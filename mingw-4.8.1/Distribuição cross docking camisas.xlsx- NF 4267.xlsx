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operador\Documents\Connect\Colombo\Distribuição Cross Docking\"/>
    </mc:Choice>
  </mc:AlternateContent>
  <bookViews>
    <workbookView xWindow="-110" yWindow="-110" windowWidth="19420" windowHeight="10460"/>
  </bookViews>
  <sheets>
    <sheet name="DISTRIBUIÇÃO NF4267" sheetId="6" r:id="rId1"/>
    <sheet name="Planilha2" sheetId="12" r:id="rId2"/>
    <sheet name="planilha de pedidos" sheetId="8" r:id="rId3"/>
    <sheet name="faturamento" sheetId="10" r:id="rId4"/>
  </sheets>
  <definedNames>
    <definedName name="_xlnm._FilterDatabase" localSheetId="0" hidden="1">'DISTRIBUIÇÃO NF4267'!$A$3:$I$79</definedName>
    <definedName name="_xlnm._FilterDatabase" localSheetId="2" hidden="1">'planilha de pedidos'!$A$1:$G$7219</definedName>
    <definedName name="_xlnm.Extract" localSheetId="2">'planilha de pedidos'!#REF!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429" i="8" l="1"/>
  <c r="F4428" i="8"/>
  <c r="F4427" i="8"/>
  <c r="F4426" i="8"/>
  <c r="F4425" i="8"/>
  <c r="F4424" i="8"/>
  <c r="F4423" i="8"/>
  <c r="F4422" i="8"/>
  <c r="F4421" i="8"/>
  <c r="F4420" i="8"/>
  <c r="F4419" i="8"/>
  <c r="F4418" i="8"/>
  <c r="F4417" i="8"/>
  <c r="F4416" i="8"/>
  <c r="F4415" i="8"/>
  <c r="F4414" i="8"/>
  <c r="F4413" i="8"/>
  <c r="F4412" i="8"/>
  <c r="F4411" i="8"/>
  <c r="F4410" i="8"/>
  <c r="F4409" i="8"/>
  <c r="F4408" i="8"/>
  <c r="F4407" i="8"/>
  <c r="F4406" i="8"/>
  <c r="F4405" i="8"/>
  <c r="F4404" i="8"/>
  <c r="F4403" i="8"/>
  <c r="F4402" i="8"/>
  <c r="F4401" i="8"/>
  <c r="F4400" i="8"/>
  <c r="F4399" i="8"/>
  <c r="F4398" i="8"/>
  <c r="F4397" i="8"/>
  <c r="F4396" i="8"/>
  <c r="F4395" i="8"/>
  <c r="F4394" i="8"/>
  <c r="F4393" i="8"/>
  <c r="F4392" i="8"/>
  <c r="F4391" i="8"/>
  <c r="F4390" i="8"/>
  <c r="F4389" i="8"/>
  <c r="F4388" i="8"/>
  <c r="F4387" i="8"/>
  <c r="F4386" i="8"/>
  <c r="F4385" i="8"/>
  <c r="F4384" i="8"/>
  <c r="F4383" i="8"/>
  <c r="F4382" i="8"/>
  <c r="F4381" i="8"/>
  <c r="F4380" i="8"/>
  <c r="F4379" i="8"/>
  <c r="F4378" i="8"/>
  <c r="F4377" i="8"/>
  <c r="F4376" i="8"/>
  <c r="F4375" i="8"/>
  <c r="F4374" i="8"/>
  <c r="F4373" i="8"/>
  <c r="F4372" i="8"/>
  <c r="F4371" i="8"/>
  <c r="F4370" i="8"/>
  <c r="F4369" i="8"/>
  <c r="F4368" i="8"/>
  <c r="F4367" i="8"/>
  <c r="F4366" i="8"/>
  <c r="F4365" i="8"/>
  <c r="F4364" i="8"/>
  <c r="F4363" i="8"/>
  <c r="F4362" i="8"/>
  <c r="F4361" i="8"/>
  <c r="F4360" i="8"/>
  <c r="F4359" i="8"/>
  <c r="F4358" i="8"/>
  <c r="F4357" i="8"/>
  <c r="F4356" i="8"/>
  <c r="F4355" i="8"/>
  <c r="F4354" i="8"/>
  <c r="F4353" i="8"/>
  <c r="F4352" i="8"/>
  <c r="F4351" i="8"/>
  <c r="F4350" i="8"/>
  <c r="F4349" i="8"/>
  <c r="F4348" i="8"/>
  <c r="F4347" i="8"/>
  <c r="F4346" i="8"/>
  <c r="F4345" i="8"/>
  <c r="F4344" i="8"/>
  <c r="F4343" i="8"/>
  <c r="F4342" i="8"/>
  <c r="F4341" i="8"/>
  <c r="F4340" i="8"/>
  <c r="F4339" i="8"/>
  <c r="F4338" i="8"/>
  <c r="F4337" i="8"/>
  <c r="F4336" i="8"/>
  <c r="F4335" i="8"/>
  <c r="F4334" i="8"/>
  <c r="F4333" i="8"/>
  <c r="F4332" i="8"/>
  <c r="F4331" i="8"/>
  <c r="F4330" i="8"/>
  <c r="F4329" i="8"/>
  <c r="F4328" i="8"/>
  <c r="F4327" i="8"/>
  <c r="F4326" i="8"/>
  <c r="F4325" i="8"/>
  <c r="F4324" i="8"/>
  <c r="F4323" i="8"/>
  <c r="F4322" i="8"/>
  <c r="F4321" i="8"/>
  <c r="F4320" i="8"/>
  <c r="F4319" i="8"/>
  <c r="F4318" i="8"/>
  <c r="F4317" i="8"/>
  <c r="F4316" i="8"/>
  <c r="F4315" i="8"/>
  <c r="F4314" i="8"/>
  <c r="F4313" i="8"/>
  <c r="F4312" i="8"/>
  <c r="F4311" i="8"/>
  <c r="F4310" i="8"/>
  <c r="F4309" i="8"/>
  <c r="F4308" i="8"/>
  <c r="F4307" i="8"/>
  <c r="F4306" i="8"/>
  <c r="F4305" i="8"/>
  <c r="F4304" i="8"/>
  <c r="F4303" i="8"/>
  <c r="F4302" i="8"/>
  <c r="F4301" i="8"/>
  <c r="F4300" i="8"/>
  <c r="F4299" i="8"/>
  <c r="F4298" i="8"/>
  <c r="F4297" i="8"/>
  <c r="F4296" i="8"/>
  <c r="F4295" i="8"/>
  <c r="F4294" i="8"/>
  <c r="F4293" i="8"/>
  <c r="F4292" i="8"/>
  <c r="F4291" i="8"/>
  <c r="F4290" i="8"/>
  <c r="F4289" i="8"/>
  <c r="F4288" i="8"/>
  <c r="F4287" i="8"/>
  <c r="F4286" i="8"/>
  <c r="F4285" i="8"/>
  <c r="F4284" i="8"/>
  <c r="F4283" i="8"/>
  <c r="F4282" i="8"/>
  <c r="F4281" i="8"/>
  <c r="F4280" i="8"/>
  <c r="F4279" i="8"/>
  <c r="F4278" i="8"/>
  <c r="F4277" i="8"/>
  <c r="F4276" i="8"/>
  <c r="F4275" i="8"/>
  <c r="F4274" i="8"/>
  <c r="F4273" i="8"/>
  <c r="F4272" i="8"/>
  <c r="F4271" i="8"/>
  <c r="F4270" i="8"/>
  <c r="F4269" i="8"/>
  <c r="F4268" i="8"/>
  <c r="F4267" i="8"/>
  <c r="F4266" i="8"/>
  <c r="F4265" i="8"/>
  <c r="F4264" i="8"/>
  <c r="F4263" i="8"/>
  <c r="F4262" i="8"/>
  <c r="F4261" i="8"/>
  <c r="F4260" i="8"/>
  <c r="F4259" i="8"/>
  <c r="F4258" i="8"/>
  <c r="F4257" i="8"/>
  <c r="F4256" i="8"/>
  <c r="F4255" i="8"/>
  <c r="F4254" i="8"/>
  <c r="F4253" i="8"/>
  <c r="F4252" i="8"/>
  <c r="F4251" i="8"/>
  <c r="F4250" i="8"/>
  <c r="F4249" i="8"/>
  <c r="F4248" i="8"/>
  <c r="F4247" i="8"/>
  <c r="F4246" i="8"/>
  <c r="F4245" i="8"/>
  <c r="F4244" i="8"/>
  <c r="F4243" i="8"/>
  <c r="F4242" i="8"/>
  <c r="F4241" i="8"/>
  <c r="F4240" i="8"/>
  <c r="F4239" i="8"/>
  <c r="F4238" i="8"/>
  <c r="F4237" i="8"/>
  <c r="F4236" i="8"/>
  <c r="F4235" i="8"/>
  <c r="F4234" i="8"/>
  <c r="F4233" i="8"/>
  <c r="F4232" i="8"/>
  <c r="F4231" i="8"/>
  <c r="F4230" i="8"/>
  <c r="F4229" i="8"/>
  <c r="F4228" i="8"/>
  <c r="F4227" i="8"/>
  <c r="F4226" i="8"/>
  <c r="F4225" i="8"/>
  <c r="F4224" i="8"/>
  <c r="F4223" i="8"/>
  <c r="F4222" i="8"/>
  <c r="F4221" i="8"/>
  <c r="F4220" i="8"/>
  <c r="F4219" i="8"/>
  <c r="F4218" i="8"/>
  <c r="F4217" i="8"/>
  <c r="F4216" i="8"/>
  <c r="F4215" i="8"/>
  <c r="F4214" i="8"/>
  <c r="F4213" i="8"/>
  <c r="F4212" i="8"/>
  <c r="F4211" i="8"/>
  <c r="F4210" i="8"/>
  <c r="F4209" i="8"/>
  <c r="F4208" i="8"/>
  <c r="F4207" i="8"/>
  <c r="F4206" i="8"/>
  <c r="F4205" i="8"/>
  <c r="F4204" i="8"/>
  <c r="F4203" i="8"/>
  <c r="F4202" i="8"/>
  <c r="F4201" i="8"/>
  <c r="F4200" i="8"/>
  <c r="F4199" i="8"/>
  <c r="F4198" i="8"/>
  <c r="F4197" i="8"/>
  <c r="F4196" i="8"/>
  <c r="F4195" i="8"/>
  <c r="F4194" i="8"/>
  <c r="F4193" i="8"/>
  <c r="F4192" i="8"/>
  <c r="F4191" i="8"/>
  <c r="F4190" i="8"/>
  <c r="F4189" i="8"/>
  <c r="F4188" i="8"/>
  <c r="F4187" i="8"/>
  <c r="F4186" i="8"/>
  <c r="F4185" i="8"/>
  <c r="F4184" i="8"/>
  <c r="F4183" i="8"/>
  <c r="F4182" i="8"/>
  <c r="F4181" i="8"/>
  <c r="F4180" i="8"/>
  <c r="F4179" i="8"/>
  <c r="F4178" i="8"/>
  <c r="F4177" i="8"/>
  <c r="F4176" i="8"/>
  <c r="F4175" i="8"/>
  <c r="F4174" i="8"/>
  <c r="F4173" i="8"/>
  <c r="F4172" i="8"/>
  <c r="F4171" i="8"/>
  <c r="F4170" i="8"/>
  <c r="F4169" i="8"/>
  <c r="F4168" i="8"/>
  <c r="F4167" i="8"/>
  <c r="F4166" i="8"/>
  <c r="F4165" i="8"/>
  <c r="F4164" i="8"/>
  <c r="F4163" i="8"/>
  <c r="F4162" i="8"/>
  <c r="F4161" i="8"/>
  <c r="F4160" i="8"/>
  <c r="F4159" i="8"/>
  <c r="F4158" i="8"/>
  <c r="F4157" i="8"/>
  <c r="F4156" i="8"/>
  <c r="F4155" i="8"/>
  <c r="F4154" i="8"/>
  <c r="F4153" i="8"/>
  <c r="F4152" i="8"/>
  <c r="F4151" i="8"/>
  <c r="F4150" i="8"/>
  <c r="F4149" i="8"/>
  <c r="F4148" i="8"/>
  <c r="F4147" i="8"/>
  <c r="F4146" i="8"/>
  <c r="F4145" i="8"/>
  <c r="F4144" i="8"/>
  <c r="F4143" i="8"/>
  <c r="F4142" i="8"/>
  <c r="F4141" i="8"/>
  <c r="F4140" i="8"/>
  <c r="F4139" i="8"/>
  <c r="F4138" i="8"/>
  <c r="F4137" i="8"/>
  <c r="F4136" i="8"/>
  <c r="F4135" i="8"/>
  <c r="F4134" i="8"/>
  <c r="F4133" i="8"/>
  <c r="F4132" i="8"/>
  <c r="F4131" i="8"/>
  <c r="F4130" i="8"/>
  <c r="F4129" i="8"/>
  <c r="F4128" i="8"/>
  <c r="F4127" i="8"/>
  <c r="F4126" i="8"/>
  <c r="F4125" i="8"/>
  <c r="F4124" i="8"/>
  <c r="F4123" i="8"/>
  <c r="F4122" i="8"/>
  <c r="F4121" i="8"/>
  <c r="F4120" i="8"/>
  <c r="F4119" i="8"/>
  <c r="F4118" i="8"/>
  <c r="F4117" i="8"/>
  <c r="F4116" i="8"/>
  <c r="F4115" i="8"/>
  <c r="F4114" i="8"/>
  <c r="F4113" i="8"/>
  <c r="F4112" i="8"/>
  <c r="F4111" i="8"/>
  <c r="F4110" i="8"/>
  <c r="F4109" i="8"/>
  <c r="F4108" i="8"/>
  <c r="F4107" i="8"/>
  <c r="F4106" i="8"/>
  <c r="F4105" i="8"/>
  <c r="F4104" i="8"/>
  <c r="F4103" i="8"/>
  <c r="F4102" i="8"/>
  <c r="F4101" i="8"/>
  <c r="F4100" i="8"/>
  <c r="F4099" i="8"/>
  <c r="F4098" i="8"/>
  <c r="F4097" i="8"/>
  <c r="F4096" i="8"/>
  <c r="F4095" i="8"/>
  <c r="F4094" i="8"/>
  <c r="F4093" i="8"/>
  <c r="F4092" i="8"/>
  <c r="F4091" i="8"/>
  <c r="F4090" i="8"/>
  <c r="F4089" i="8"/>
  <c r="F4088" i="8"/>
  <c r="F4087" i="8"/>
  <c r="F4086" i="8"/>
  <c r="F4085" i="8"/>
  <c r="F4084" i="8"/>
  <c r="F4083" i="8"/>
  <c r="F4082" i="8"/>
  <c r="F4081" i="8"/>
  <c r="F4080" i="8"/>
  <c r="F4079" i="8"/>
  <c r="F4078" i="8"/>
  <c r="F4077" i="8"/>
  <c r="F4076" i="8"/>
  <c r="F4075" i="8"/>
  <c r="F4074" i="8"/>
  <c r="F4073" i="8"/>
  <c r="F4072" i="8"/>
  <c r="F4071" i="8"/>
  <c r="F4070" i="8"/>
  <c r="F4069" i="8"/>
  <c r="F4068" i="8"/>
  <c r="F4067" i="8"/>
  <c r="F4066" i="8"/>
  <c r="F4065" i="8"/>
  <c r="F4064" i="8"/>
  <c r="F4063" i="8"/>
  <c r="F4062" i="8"/>
  <c r="F4061" i="8"/>
  <c r="F4060" i="8"/>
  <c r="F4059" i="8"/>
  <c r="F4058" i="8"/>
  <c r="F4057" i="8"/>
  <c r="F4056" i="8"/>
  <c r="F4055" i="8"/>
  <c r="F4054" i="8"/>
  <c r="F4053" i="8"/>
  <c r="F4052" i="8"/>
  <c r="F4051" i="8"/>
  <c r="F4050" i="8"/>
  <c r="F4049" i="8"/>
  <c r="F4048" i="8"/>
  <c r="F4047" i="8"/>
  <c r="F4046" i="8"/>
  <c r="F4045" i="8"/>
  <c r="F4044" i="8"/>
  <c r="F4043" i="8"/>
  <c r="F4042" i="8"/>
  <c r="F4041" i="8"/>
  <c r="F4040" i="8"/>
  <c r="F4039" i="8"/>
  <c r="F4038" i="8"/>
  <c r="F4037" i="8"/>
  <c r="F4036" i="8"/>
  <c r="F4035" i="8"/>
  <c r="F4034" i="8"/>
  <c r="F4033" i="8"/>
  <c r="F4032" i="8"/>
  <c r="F4031" i="8"/>
  <c r="F4030" i="8"/>
  <c r="F4029" i="8"/>
  <c r="F4028" i="8"/>
  <c r="F4027" i="8"/>
  <c r="F4026" i="8"/>
  <c r="F4025" i="8"/>
  <c r="F4024" i="8"/>
  <c r="F4023" i="8"/>
  <c r="F4022" i="8"/>
  <c r="F4021" i="8"/>
  <c r="F4020" i="8"/>
  <c r="F4019" i="8"/>
  <c r="F4018" i="8"/>
  <c r="F4017" i="8"/>
  <c r="F4016" i="8"/>
  <c r="F4015" i="8"/>
  <c r="F4014" i="8"/>
  <c r="F4013" i="8"/>
  <c r="F4012" i="8"/>
  <c r="F4011" i="8"/>
  <c r="F4010" i="8"/>
  <c r="F4009" i="8"/>
  <c r="F4008" i="8"/>
  <c r="F4007" i="8"/>
  <c r="F4006" i="8"/>
  <c r="F4005" i="8"/>
  <c r="F4004" i="8"/>
  <c r="F4003" i="8"/>
  <c r="F4002" i="8"/>
  <c r="F4001" i="8"/>
  <c r="F4000" i="8"/>
  <c r="F3999" i="8"/>
  <c r="F3998" i="8"/>
  <c r="F3997" i="8"/>
  <c r="F3996" i="8"/>
  <c r="F3995" i="8"/>
  <c r="F3994" i="8"/>
  <c r="F3993" i="8"/>
  <c r="F3992" i="8"/>
  <c r="F3991" i="8"/>
  <c r="F3990" i="8"/>
  <c r="F3989" i="8"/>
  <c r="F3988" i="8"/>
  <c r="F3987" i="8"/>
  <c r="F3986" i="8"/>
  <c r="F3985" i="8"/>
  <c r="F3984" i="8"/>
  <c r="F3983" i="8"/>
  <c r="F3982" i="8"/>
  <c r="F3981" i="8"/>
  <c r="F3980" i="8"/>
  <c r="F3979" i="8"/>
  <c r="F3978" i="8"/>
  <c r="F3977" i="8"/>
  <c r="F3976" i="8"/>
  <c r="F3975" i="8"/>
  <c r="F3974" i="8"/>
  <c r="F3973" i="8"/>
  <c r="F3972" i="8"/>
  <c r="F3971" i="8"/>
  <c r="F3970" i="8"/>
  <c r="F3969" i="8"/>
  <c r="F3968" i="8"/>
  <c r="F3967" i="8"/>
  <c r="F3966" i="8"/>
  <c r="F3965" i="8"/>
  <c r="F3964" i="8"/>
  <c r="F3963" i="8"/>
  <c r="F3962" i="8"/>
  <c r="F3961" i="8"/>
  <c r="F3960" i="8"/>
  <c r="F3959" i="8"/>
  <c r="F3958" i="8"/>
  <c r="F3957" i="8"/>
  <c r="F3956" i="8"/>
  <c r="F3955" i="8"/>
  <c r="F3954" i="8"/>
  <c r="F3953" i="8"/>
  <c r="F3952" i="8"/>
  <c r="F3951" i="8"/>
  <c r="F3950" i="8"/>
  <c r="F3949" i="8"/>
  <c r="F3948" i="8"/>
  <c r="F3947" i="8"/>
  <c r="F3946" i="8"/>
  <c r="F3945" i="8"/>
  <c r="F3944" i="8"/>
  <c r="F3943" i="8"/>
  <c r="F3942" i="8"/>
  <c r="F3941" i="8"/>
  <c r="F3940" i="8"/>
  <c r="F3939" i="8"/>
  <c r="F3938" i="8"/>
  <c r="F3937" i="8"/>
  <c r="F3936" i="8"/>
  <c r="F3935" i="8"/>
  <c r="F3934" i="8"/>
  <c r="F3933" i="8"/>
  <c r="F3932" i="8"/>
  <c r="F3931" i="8"/>
  <c r="F3930" i="8"/>
  <c r="F3929" i="8"/>
  <c r="F3928" i="8"/>
  <c r="F3927" i="8"/>
  <c r="F3926" i="8"/>
  <c r="F3925" i="8"/>
  <c r="F3924" i="8"/>
  <c r="F3923" i="8"/>
  <c r="F3922" i="8"/>
  <c r="F3921" i="8"/>
  <c r="F3920" i="8"/>
  <c r="F3919" i="8"/>
  <c r="F3918" i="8"/>
  <c r="F3917" i="8"/>
  <c r="F3916" i="8"/>
  <c r="F3915" i="8"/>
  <c r="F3914" i="8"/>
  <c r="F3913" i="8"/>
  <c r="F3912" i="8"/>
  <c r="F3911" i="8"/>
  <c r="F3910" i="8"/>
  <c r="F3909" i="8"/>
  <c r="F3908" i="8"/>
  <c r="F3907" i="8"/>
  <c r="F3906" i="8"/>
  <c r="F3905" i="8"/>
  <c r="F3904" i="8"/>
  <c r="F3903" i="8"/>
  <c r="F3902" i="8"/>
  <c r="F3901" i="8"/>
  <c r="F3900" i="8"/>
  <c r="F3899" i="8"/>
  <c r="F3898" i="8"/>
  <c r="F3897" i="8"/>
  <c r="F3896" i="8"/>
  <c r="F3895" i="8"/>
  <c r="F3894" i="8"/>
  <c r="F3893" i="8"/>
  <c r="F3892" i="8"/>
  <c r="F3891" i="8"/>
  <c r="F3890" i="8"/>
  <c r="F3889" i="8"/>
  <c r="F3888" i="8"/>
  <c r="F3887" i="8"/>
  <c r="F3886" i="8"/>
  <c r="F3885" i="8"/>
  <c r="F3884" i="8"/>
  <c r="F3883" i="8"/>
  <c r="F3882" i="8"/>
  <c r="F3881" i="8"/>
  <c r="F3880" i="8"/>
  <c r="F3879" i="8"/>
  <c r="F3878" i="8"/>
  <c r="F3877" i="8"/>
  <c r="F3876" i="8"/>
  <c r="F3875" i="8"/>
  <c r="F3874" i="8"/>
  <c r="F3873" i="8"/>
  <c r="F3872" i="8"/>
  <c r="F3871" i="8"/>
  <c r="F3870" i="8"/>
  <c r="F3869" i="8"/>
  <c r="F3868" i="8"/>
  <c r="F3867" i="8"/>
  <c r="F3866" i="8"/>
  <c r="F3865" i="8"/>
  <c r="F3864" i="8"/>
  <c r="F3863" i="8"/>
  <c r="F3862" i="8"/>
  <c r="F3861" i="8"/>
  <c r="F3860" i="8"/>
  <c r="F3859" i="8"/>
  <c r="F3858" i="8"/>
  <c r="F3857" i="8"/>
  <c r="F3856" i="8"/>
  <c r="F3855" i="8"/>
  <c r="F3854" i="8"/>
  <c r="F3853" i="8"/>
  <c r="F3852" i="8"/>
  <c r="F3851" i="8"/>
  <c r="F3850" i="8"/>
  <c r="F3849" i="8"/>
  <c r="F3848" i="8"/>
  <c r="F3847" i="8"/>
  <c r="F3846" i="8"/>
  <c r="F3845" i="8"/>
  <c r="F3844" i="8"/>
  <c r="F3843" i="8"/>
  <c r="F3842" i="8"/>
  <c r="F3841" i="8"/>
  <c r="F3840" i="8"/>
  <c r="F3839" i="8"/>
  <c r="F3838" i="8"/>
  <c r="F3837" i="8"/>
  <c r="F3836" i="8"/>
  <c r="F3835" i="8"/>
  <c r="F3834" i="8"/>
  <c r="F3833" i="8"/>
  <c r="F3832" i="8"/>
  <c r="F3831" i="8"/>
  <c r="F3830" i="8"/>
  <c r="F3829" i="8"/>
  <c r="F3828" i="8"/>
  <c r="F3827" i="8"/>
  <c r="F3826" i="8"/>
  <c r="F3825" i="8"/>
  <c r="F3824" i="8"/>
  <c r="F3823" i="8"/>
  <c r="F3822" i="8"/>
  <c r="F3821" i="8"/>
  <c r="F3820" i="8"/>
  <c r="F3819" i="8"/>
  <c r="F3818" i="8"/>
  <c r="F3817" i="8"/>
  <c r="F3816" i="8"/>
  <c r="F3815" i="8"/>
  <c r="F3814" i="8"/>
  <c r="F3813" i="8"/>
  <c r="F3812" i="8"/>
  <c r="F3811" i="8"/>
  <c r="F3810" i="8"/>
  <c r="F3809" i="8"/>
  <c r="F3808" i="8"/>
  <c r="F3807" i="8"/>
  <c r="F3806" i="8"/>
  <c r="F3805" i="8"/>
  <c r="F3804" i="8"/>
  <c r="F3803" i="8"/>
  <c r="F3802" i="8"/>
  <c r="F3801" i="8"/>
  <c r="F3800" i="8"/>
  <c r="F3799" i="8"/>
  <c r="F3798" i="8"/>
  <c r="F3797" i="8"/>
  <c r="F3796" i="8"/>
  <c r="F3795" i="8"/>
  <c r="F3794" i="8"/>
  <c r="F3793" i="8"/>
  <c r="F3792" i="8"/>
  <c r="F3791" i="8"/>
  <c r="F3790" i="8"/>
  <c r="F3789" i="8"/>
  <c r="F3788" i="8"/>
  <c r="F3787" i="8"/>
  <c r="F3786" i="8"/>
  <c r="F3785" i="8"/>
  <c r="F3784" i="8"/>
  <c r="F3783" i="8"/>
  <c r="F3782" i="8"/>
  <c r="F3781" i="8"/>
  <c r="F3780" i="8"/>
  <c r="F3779" i="8"/>
  <c r="F3778" i="8"/>
  <c r="F3777" i="8"/>
  <c r="F3776" i="8"/>
  <c r="F3775" i="8"/>
  <c r="F3774" i="8"/>
  <c r="F3773" i="8"/>
  <c r="F3772" i="8"/>
  <c r="F3771" i="8"/>
  <c r="F3770" i="8"/>
  <c r="F3769" i="8"/>
  <c r="F3768" i="8"/>
  <c r="F3767" i="8"/>
  <c r="F3766" i="8"/>
  <c r="F3765" i="8"/>
  <c r="F3764" i="8"/>
  <c r="F3763" i="8"/>
  <c r="F3762" i="8"/>
  <c r="F3761" i="8"/>
  <c r="F3760" i="8"/>
  <c r="F3759" i="8"/>
  <c r="F3758" i="8"/>
  <c r="F3757" i="8"/>
  <c r="F3756" i="8"/>
  <c r="F3755" i="8"/>
  <c r="F3754" i="8"/>
  <c r="F3753" i="8"/>
  <c r="F3752" i="8"/>
  <c r="F3751" i="8"/>
  <c r="F3750" i="8"/>
  <c r="F3749" i="8"/>
  <c r="F3748" i="8"/>
  <c r="F3747" i="8"/>
  <c r="F3746" i="8"/>
  <c r="F3745" i="8"/>
  <c r="F3744" i="8"/>
  <c r="F3743" i="8"/>
  <c r="F3742" i="8"/>
  <c r="F3741" i="8"/>
  <c r="F3740" i="8"/>
  <c r="F3739" i="8"/>
  <c r="F3738" i="8"/>
  <c r="F3737" i="8"/>
  <c r="F3736" i="8"/>
  <c r="F3735" i="8"/>
  <c r="F3734" i="8"/>
  <c r="F3733" i="8"/>
  <c r="F3732" i="8"/>
  <c r="F3731" i="8"/>
  <c r="F3730" i="8"/>
  <c r="F3729" i="8"/>
  <c r="F3728" i="8"/>
  <c r="F3727" i="8"/>
  <c r="F3726" i="8"/>
  <c r="F3725" i="8"/>
  <c r="F3724" i="8"/>
  <c r="F3723" i="8"/>
  <c r="F3722" i="8"/>
  <c r="F3721" i="8"/>
  <c r="F3720" i="8"/>
  <c r="F3719" i="8"/>
  <c r="F3718" i="8"/>
  <c r="F3717" i="8"/>
  <c r="F3716" i="8"/>
  <c r="F3715" i="8"/>
  <c r="F3714" i="8"/>
  <c r="F3713" i="8"/>
  <c r="F3712" i="8"/>
  <c r="F3711" i="8"/>
  <c r="F3710" i="8"/>
  <c r="F3709" i="8"/>
  <c r="F3708" i="8"/>
  <c r="F3707" i="8"/>
  <c r="F3706" i="8"/>
  <c r="F3705" i="8"/>
  <c r="F3704" i="8"/>
  <c r="F3703" i="8"/>
  <c r="F3702" i="8"/>
  <c r="F3701" i="8"/>
  <c r="F3700" i="8"/>
  <c r="F3699" i="8"/>
  <c r="F3698" i="8"/>
  <c r="F3697" i="8"/>
  <c r="F3696" i="8"/>
  <c r="F3695" i="8"/>
  <c r="F3694" i="8"/>
  <c r="F3693" i="8"/>
  <c r="F3692" i="8"/>
  <c r="F3691" i="8"/>
  <c r="F3690" i="8"/>
  <c r="F3689" i="8"/>
  <c r="F3688" i="8"/>
  <c r="F3687" i="8"/>
  <c r="F3686" i="8"/>
  <c r="F3685" i="8"/>
  <c r="F3684" i="8"/>
  <c r="F3683" i="8"/>
  <c r="F3682" i="8"/>
  <c r="F3681" i="8"/>
  <c r="F3680" i="8"/>
  <c r="F3679" i="8"/>
  <c r="F3678" i="8"/>
  <c r="F3677" i="8"/>
  <c r="F3676" i="8"/>
  <c r="F3675" i="8"/>
  <c r="F3674" i="8"/>
  <c r="F3673" i="8"/>
  <c r="F3672" i="8"/>
  <c r="F3671" i="8"/>
  <c r="F3670" i="8"/>
  <c r="F3669" i="8"/>
  <c r="F3668" i="8"/>
  <c r="F3667" i="8"/>
  <c r="F3666" i="8"/>
  <c r="F3665" i="8"/>
  <c r="F3664" i="8"/>
  <c r="F3663" i="8"/>
  <c r="F3662" i="8"/>
  <c r="F3661" i="8"/>
  <c r="F3660" i="8"/>
  <c r="F3659" i="8"/>
  <c r="F3658" i="8"/>
  <c r="F3657" i="8"/>
  <c r="F3656" i="8"/>
  <c r="F3655" i="8"/>
  <c r="F3654" i="8"/>
  <c r="F3653" i="8"/>
  <c r="F3652" i="8"/>
  <c r="F3651" i="8"/>
  <c r="F3650" i="8"/>
  <c r="F3649" i="8"/>
  <c r="F3648" i="8"/>
  <c r="F3647" i="8"/>
  <c r="F3646" i="8"/>
  <c r="F3645" i="8"/>
  <c r="F3644" i="8"/>
  <c r="F3643" i="8"/>
  <c r="F3642" i="8"/>
  <c r="F3641" i="8"/>
  <c r="F3640" i="8"/>
  <c r="F3639" i="8"/>
  <c r="F3638" i="8"/>
  <c r="F3637" i="8"/>
  <c r="F3636" i="8"/>
  <c r="F3635" i="8"/>
  <c r="F3634" i="8"/>
  <c r="F3633" i="8"/>
  <c r="F3632" i="8"/>
  <c r="F3631" i="8"/>
  <c r="F3630" i="8"/>
  <c r="F3629" i="8"/>
  <c r="F3628" i="8"/>
  <c r="F3627" i="8"/>
  <c r="F3626" i="8"/>
  <c r="F3625" i="8"/>
  <c r="F3624" i="8"/>
  <c r="F3623" i="8"/>
  <c r="F3622" i="8"/>
  <c r="F3621" i="8"/>
  <c r="F3620" i="8"/>
  <c r="F3619" i="8"/>
  <c r="F3618" i="8"/>
  <c r="F3617" i="8"/>
  <c r="F3616" i="8"/>
  <c r="F3615" i="8"/>
  <c r="F3614" i="8"/>
  <c r="F3613" i="8"/>
  <c r="F3612" i="8"/>
  <c r="F3611" i="8"/>
  <c r="F3610" i="8"/>
  <c r="F3609" i="8"/>
  <c r="F3608" i="8"/>
  <c r="F3607" i="8"/>
  <c r="F3606" i="8"/>
  <c r="F3605" i="8"/>
  <c r="F3604" i="8"/>
  <c r="F3603" i="8"/>
  <c r="F3602" i="8"/>
  <c r="F3601" i="8"/>
  <c r="F3600" i="8"/>
  <c r="F3599" i="8"/>
  <c r="F3598" i="8"/>
  <c r="F3597" i="8"/>
  <c r="F3596" i="8"/>
  <c r="F3595" i="8"/>
  <c r="F3594" i="8"/>
  <c r="F3593" i="8"/>
  <c r="F3592" i="8"/>
  <c r="F3591" i="8"/>
  <c r="F3590" i="8"/>
  <c r="F3589" i="8"/>
  <c r="F3588" i="8"/>
  <c r="F3587" i="8"/>
  <c r="F3586" i="8"/>
  <c r="F3585" i="8"/>
  <c r="F3584" i="8"/>
  <c r="F3583" i="8"/>
  <c r="F3582" i="8"/>
  <c r="F3581" i="8"/>
  <c r="F3580" i="8"/>
  <c r="F3579" i="8"/>
  <c r="F3578" i="8"/>
  <c r="F3577" i="8"/>
  <c r="F3576" i="8"/>
  <c r="F3575" i="8"/>
  <c r="F3574" i="8"/>
  <c r="F3573" i="8"/>
  <c r="F3572" i="8"/>
  <c r="F3571" i="8"/>
  <c r="F3570" i="8"/>
  <c r="F3569" i="8"/>
  <c r="F3568" i="8"/>
  <c r="F3567" i="8"/>
  <c r="F3566" i="8"/>
  <c r="F3565" i="8"/>
  <c r="F3564" i="8"/>
  <c r="F3563" i="8"/>
  <c r="F3562" i="8"/>
  <c r="F3561" i="8"/>
  <c r="F3560" i="8"/>
  <c r="F3559" i="8"/>
  <c r="F3558" i="8"/>
  <c r="F3557" i="8"/>
  <c r="F3556" i="8"/>
  <c r="F3555" i="8"/>
  <c r="F3554" i="8"/>
  <c r="F3553" i="8"/>
  <c r="F3552" i="8"/>
  <c r="F3551" i="8"/>
  <c r="F3550" i="8"/>
  <c r="F3549" i="8"/>
  <c r="F3548" i="8"/>
  <c r="F3547" i="8"/>
  <c r="F3546" i="8"/>
  <c r="F3545" i="8"/>
  <c r="F3544" i="8"/>
  <c r="F3543" i="8"/>
  <c r="F3542" i="8"/>
  <c r="F3541" i="8"/>
  <c r="F3540" i="8"/>
  <c r="F3539" i="8"/>
  <c r="F3538" i="8"/>
  <c r="F3537" i="8"/>
  <c r="F3536" i="8"/>
  <c r="F3535" i="8"/>
  <c r="F3534" i="8"/>
  <c r="F3533" i="8"/>
  <c r="F3532" i="8"/>
  <c r="F3531" i="8"/>
  <c r="F3530" i="8"/>
  <c r="F3529" i="8"/>
  <c r="F3528" i="8"/>
  <c r="F3527" i="8"/>
  <c r="F3526" i="8"/>
  <c r="F3525" i="8"/>
  <c r="F3524" i="8"/>
  <c r="F3523" i="8"/>
  <c r="F3522" i="8"/>
  <c r="F3521" i="8"/>
  <c r="F3520" i="8"/>
  <c r="F3519" i="8"/>
  <c r="F3518" i="8"/>
  <c r="F3517" i="8"/>
  <c r="F3516" i="8"/>
  <c r="F3515" i="8"/>
  <c r="F3514" i="8"/>
  <c r="F3513" i="8"/>
  <c r="F3512" i="8"/>
  <c r="F3511" i="8"/>
  <c r="F3510" i="8"/>
  <c r="F3509" i="8"/>
  <c r="F3508" i="8"/>
  <c r="F3507" i="8"/>
  <c r="F3506" i="8"/>
  <c r="F3505" i="8"/>
  <c r="F3504" i="8"/>
  <c r="F3503" i="8"/>
  <c r="F3502" i="8"/>
  <c r="F3501" i="8"/>
  <c r="F3500" i="8"/>
  <c r="F3499" i="8"/>
  <c r="F3498" i="8"/>
  <c r="F3497" i="8"/>
  <c r="F3496" i="8"/>
  <c r="F3495" i="8"/>
  <c r="F3494" i="8"/>
  <c r="F3493" i="8"/>
  <c r="F3492" i="8"/>
  <c r="F3491" i="8"/>
  <c r="F3490" i="8"/>
  <c r="F3489" i="8"/>
  <c r="F3488" i="8"/>
  <c r="F3487" i="8"/>
  <c r="F3486" i="8"/>
  <c r="F3485" i="8"/>
  <c r="F3484" i="8"/>
  <c r="F3483" i="8"/>
  <c r="F3482" i="8"/>
  <c r="F3481" i="8"/>
  <c r="F3480" i="8"/>
  <c r="F3479" i="8"/>
  <c r="F3478" i="8"/>
  <c r="F3477" i="8"/>
  <c r="F3476" i="8"/>
  <c r="F3475" i="8"/>
  <c r="F3474" i="8"/>
  <c r="F3473" i="8"/>
  <c r="F3472" i="8"/>
  <c r="F3471" i="8"/>
  <c r="F3470" i="8"/>
  <c r="F3469" i="8"/>
  <c r="F3468" i="8"/>
  <c r="F3467" i="8"/>
  <c r="F3466" i="8"/>
  <c r="F3465" i="8"/>
  <c r="F3464" i="8"/>
  <c r="F3463" i="8"/>
  <c r="F3462" i="8"/>
  <c r="F3461" i="8"/>
  <c r="F3460" i="8"/>
  <c r="F3459" i="8"/>
  <c r="F3458" i="8"/>
  <c r="F3457" i="8"/>
  <c r="F3456" i="8"/>
  <c r="F3455" i="8"/>
  <c r="F3454" i="8"/>
  <c r="F3453" i="8"/>
  <c r="F3452" i="8"/>
  <c r="F3451" i="8"/>
  <c r="F3450" i="8"/>
  <c r="F3449" i="8"/>
  <c r="F3448" i="8"/>
  <c r="F3447" i="8"/>
  <c r="F3446" i="8"/>
  <c r="F3445" i="8"/>
  <c r="F3444" i="8"/>
  <c r="F3443" i="8"/>
  <c r="F3442" i="8"/>
  <c r="F3441" i="8"/>
  <c r="F3440" i="8"/>
  <c r="F3439" i="8"/>
  <c r="F3438" i="8"/>
  <c r="F3437" i="8"/>
  <c r="F3436" i="8"/>
  <c r="F3435" i="8"/>
  <c r="F3434" i="8"/>
  <c r="F3433" i="8"/>
  <c r="F3432" i="8"/>
  <c r="F3431" i="8"/>
  <c r="F3430" i="8"/>
  <c r="F3429" i="8"/>
  <c r="F3428" i="8"/>
  <c r="F3427" i="8"/>
  <c r="F3426" i="8"/>
  <c r="F3425" i="8"/>
  <c r="F3424" i="8"/>
  <c r="F3423" i="8"/>
  <c r="F3422" i="8"/>
  <c r="F3421" i="8"/>
  <c r="F3420" i="8"/>
  <c r="F3419" i="8"/>
  <c r="F3418" i="8"/>
  <c r="F3417" i="8"/>
  <c r="F3416" i="8"/>
  <c r="F3415" i="8"/>
  <c r="F3414" i="8"/>
  <c r="F3413" i="8"/>
  <c r="F3412" i="8"/>
  <c r="F3411" i="8"/>
  <c r="F3410" i="8"/>
  <c r="F3409" i="8"/>
  <c r="F3408" i="8"/>
  <c r="F3407" i="8"/>
  <c r="F3406" i="8"/>
  <c r="F3405" i="8"/>
  <c r="F3404" i="8"/>
  <c r="F3403" i="8"/>
  <c r="F3402" i="8"/>
  <c r="F3401" i="8"/>
  <c r="F3400" i="8"/>
  <c r="F3399" i="8"/>
  <c r="F3398" i="8"/>
  <c r="F3397" i="8"/>
  <c r="F3396" i="8"/>
  <c r="F3395" i="8"/>
  <c r="F3394" i="8"/>
  <c r="F3393" i="8"/>
  <c r="F3392" i="8"/>
  <c r="F3391" i="8"/>
  <c r="F3390" i="8"/>
  <c r="F3389" i="8"/>
  <c r="F3388" i="8"/>
  <c r="F3387" i="8"/>
  <c r="F3386" i="8"/>
  <c r="F3385" i="8"/>
  <c r="F3384" i="8"/>
  <c r="F3383" i="8"/>
  <c r="F3382" i="8"/>
  <c r="F3381" i="8"/>
  <c r="F3380" i="8"/>
  <c r="F3379" i="8"/>
  <c r="F3378" i="8"/>
  <c r="F3377" i="8"/>
  <c r="F3376" i="8"/>
  <c r="F3375" i="8"/>
  <c r="F3374" i="8"/>
  <c r="F3373" i="8"/>
  <c r="F3372" i="8"/>
  <c r="F3371" i="8"/>
  <c r="F3370" i="8"/>
  <c r="F3369" i="8"/>
  <c r="F3368" i="8"/>
  <c r="F3367" i="8"/>
  <c r="F3366" i="8"/>
  <c r="F3365" i="8"/>
  <c r="F3364" i="8"/>
  <c r="F3363" i="8"/>
  <c r="F3362" i="8"/>
  <c r="F3361" i="8"/>
  <c r="F3360" i="8"/>
  <c r="F3359" i="8"/>
  <c r="F3358" i="8"/>
  <c r="F3357" i="8"/>
  <c r="F3356" i="8"/>
  <c r="F3355" i="8"/>
  <c r="F3354" i="8"/>
  <c r="F3353" i="8"/>
  <c r="F3352" i="8"/>
  <c r="F3351" i="8"/>
  <c r="F3350" i="8"/>
  <c r="F3349" i="8"/>
  <c r="F3348" i="8"/>
  <c r="F3347" i="8"/>
  <c r="F3346" i="8"/>
  <c r="F3345" i="8"/>
  <c r="F3344" i="8"/>
  <c r="F3343" i="8"/>
  <c r="F3342" i="8"/>
  <c r="F3341" i="8"/>
  <c r="F3340" i="8"/>
  <c r="F3339" i="8"/>
  <c r="F3338" i="8"/>
  <c r="F3337" i="8"/>
  <c r="F3336" i="8"/>
  <c r="F3335" i="8"/>
  <c r="F3334" i="8"/>
  <c r="F3333" i="8"/>
  <c r="F3332" i="8"/>
  <c r="F3331" i="8"/>
  <c r="F3330" i="8"/>
  <c r="F3329" i="8"/>
  <c r="F3328" i="8"/>
  <c r="F3327" i="8"/>
  <c r="F3326" i="8"/>
  <c r="F3325" i="8"/>
  <c r="F3324" i="8"/>
  <c r="F3323" i="8"/>
  <c r="F3322" i="8"/>
  <c r="F3321" i="8"/>
  <c r="F3320" i="8"/>
  <c r="F3319" i="8"/>
  <c r="F3318" i="8"/>
  <c r="F3317" i="8"/>
  <c r="F3316" i="8"/>
  <c r="F3315" i="8"/>
  <c r="F3314" i="8"/>
  <c r="F3313" i="8"/>
  <c r="F3312" i="8"/>
  <c r="F3311" i="8"/>
  <c r="F3310" i="8"/>
  <c r="F3309" i="8"/>
  <c r="F3308" i="8"/>
  <c r="F3307" i="8"/>
  <c r="F3306" i="8"/>
  <c r="F3305" i="8"/>
  <c r="F3304" i="8"/>
  <c r="F3303" i="8"/>
  <c r="F3302" i="8"/>
  <c r="F3301" i="8"/>
  <c r="F3300" i="8"/>
  <c r="F3299" i="8"/>
  <c r="F3298" i="8"/>
  <c r="F3297" i="8"/>
  <c r="F3296" i="8"/>
  <c r="F3295" i="8"/>
  <c r="F3294" i="8"/>
  <c r="F3293" i="8"/>
  <c r="F3292" i="8"/>
  <c r="F3291" i="8"/>
  <c r="F3290" i="8"/>
  <c r="F3289" i="8"/>
  <c r="F3288" i="8"/>
  <c r="F3287" i="8"/>
  <c r="F3286" i="8"/>
  <c r="F3285" i="8"/>
  <c r="F3284" i="8"/>
  <c r="F3283" i="8"/>
  <c r="F3282" i="8"/>
  <c r="F3281" i="8"/>
  <c r="F3280" i="8"/>
  <c r="F3279" i="8"/>
  <c r="F3278" i="8"/>
  <c r="F3277" i="8"/>
  <c r="F3276" i="8"/>
  <c r="F3275" i="8"/>
  <c r="F3274" i="8"/>
  <c r="F3273" i="8"/>
  <c r="F3272" i="8"/>
  <c r="F3271" i="8"/>
  <c r="F3270" i="8"/>
  <c r="F3269" i="8"/>
  <c r="F3268" i="8"/>
  <c r="F3267" i="8"/>
  <c r="F3266" i="8"/>
  <c r="F3265" i="8"/>
  <c r="F3264" i="8"/>
  <c r="F3263" i="8"/>
  <c r="F3262" i="8"/>
  <c r="F3261" i="8"/>
  <c r="F3260" i="8"/>
  <c r="F3259" i="8"/>
  <c r="F3258" i="8"/>
  <c r="F3257" i="8"/>
  <c r="F3256" i="8"/>
  <c r="F3255" i="8"/>
  <c r="F3254" i="8"/>
  <c r="F3253" i="8"/>
  <c r="F3252" i="8"/>
  <c r="F3251" i="8"/>
  <c r="F3250" i="8"/>
  <c r="F3249" i="8"/>
  <c r="F3248" i="8"/>
  <c r="F3247" i="8"/>
  <c r="F3246" i="8"/>
  <c r="F3245" i="8"/>
  <c r="F3244" i="8"/>
  <c r="F3243" i="8"/>
  <c r="F3242" i="8"/>
  <c r="F3241" i="8"/>
  <c r="F3240" i="8"/>
  <c r="F3239" i="8"/>
  <c r="F3238" i="8"/>
  <c r="F3237" i="8"/>
  <c r="F3236" i="8"/>
  <c r="F3235" i="8"/>
  <c r="F3234" i="8"/>
  <c r="F3233" i="8"/>
  <c r="F3232" i="8"/>
  <c r="F3231" i="8"/>
  <c r="F3230" i="8"/>
  <c r="F3229" i="8"/>
  <c r="F3228" i="8"/>
  <c r="F3227" i="8"/>
  <c r="F3226" i="8"/>
  <c r="F3225" i="8"/>
  <c r="F3224" i="8"/>
  <c r="F3223" i="8"/>
  <c r="F3222" i="8"/>
  <c r="F3221" i="8"/>
  <c r="F3220" i="8"/>
  <c r="F3219" i="8"/>
  <c r="F3218" i="8"/>
  <c r="F3217" i="8"/>
  <c r="F3216" i="8"/>
  <c r="F3215" i="8"/>
  <c r="F3214" i="8"/>
  <c r="F3213" i="8"/>
  <c r="F3212" i="8"/>
  <c r="F3211" i="8"/>
  <c r="F3210" i="8"/>
  <c r="F3209" i="8"/>
  <c r="F3208" i="8"/>
  <c r="F3207" i="8"/>
  <c r="F3206" i="8"/>
  <c r="F3205" i="8"/>
  <c r="F3204" i="8"/>
  <c r="F3203" i="8"/>
  <c r="F3202" i="8"/>
  <c r="F3201" i="8"/>
  <c r="F3200" i="8"/>
  <c r="F3199" i="8"/>
  <c r="F3198" i="8"/>
  <c r="F3197" i="8"/>
  <c r="F3196" i="8"/>
  <c r="F3195" i="8"/>
  <c r="F3194" i="8"/>
  <c r="F3193" i="8"/>
  <c r="F3192" i="8"/>
  <c r="F3191" i="8"/>
  <c r="F3190" i="8"/>
  <c r="F3189" i="8"/>
  <c r="F3188" i="8"/>
  <c r="F3187" i="8"/>
  <c r="F3186" i="8"/>
  <c r="F3185" i="8"/>
  <c r="F3184" i="8"/>
  <c r="F3183" i="8"/>
  <c r="F3182" i="8"/>
  <c r="F3181" i="8"/>
  <c r="F3180" i="8"/>
  <c r="F3179" i="8"/>
  <c r="F3178" i="8"/>
  <c r="F3177" i="8"/>
  <c r="F3176" i="8"/>
  <c r="F3175" i="8"/>
  <c r="F3174" i="8"/>
  <c r="F3173" i="8"/>
  <c r="F3172" i="8"/>
  <c r="F3171" i="8"/>
  <c r="F3170" i="8"/>
  <c r="F3169" i="8"/>
  <c r="F3168" i="8"/>
  <c r="F3167" i="8"/>
  <c r="F3166" i="8"/>
  <c r="F3165" i="8"/>
  <c r="F3164" i="8"/>
  <c r="F3163" i="8"/>
  <c r="F3162" i="8"/>
  <c r="F3161" i="8"/>
  <c r="F3160" i="8"/>
  <c r="F3159" i="8"/>
  <c r="F3158" i="8"/>
  <c r="F3157" i="8"/>
  <c r="F3156" i="8"/>
  <c r="F3155" i="8"/>
  <c r="F3154" i="8"/>
  <c r="F3153" i="8"/>
  <c r="F3152" i="8"/>
  <c r="F3151" i="8"/>
  <c r="F3150" i="8"/>
  <c r="F3149" i="8"/>
  <c r="F3148" i="8"/>
  <c r="F3147" i="8"/>
  <c r="F3146" i="8"/>
  <c r="F3145" i="8"/>
  <c r="F3144" i="8"/>
  <c r="F3143" i="8"/>
  <c r="F3142" i="8"/>
  <c r="F3141" i="8"/>
  <c r="F3140" i="8"/>
  <c r="F3139" i="8"/>
  <c r="F3138" i="8"/>
  <c r="F3137" i="8"/>
  <c r="F3136" i="8"/>
  <c r="F3135" i="8"/>
  <c r="F3134" i="8"/>
  <c r="F3133" i="8"/>
  <c r="F3132" i="8"/>
  <c r="F3131" i="8"/>
  <c r="F3130" i="8"/>
  <c r="F3129" i="8"/>
  <c r="F3128" i="8"/>
  <c r="F3127" i="8"/>
  <c r="F3126" i="8"/>
  <c r="F3125" i="8"/>
  <c r="F3124" i="8"/>
  <c r="F3123" i="8"/>
  <c r="F3122" i="8"/>
  <c r="F3121" i="8"/>
  <c r="F3120" i="8"/>
  <c r="F3119" i="8"/>
  <c r="F3118" i="8"/>
  <c r="F3117" i="8"/>
  <c r="F3116" i="8"/>
  <c r="F3115" i="8"/>
  <c r="F3114" i="8"/>
  <c r="F3113" i="8"/>
  <c r="F3112" i="8"/>
  <c r="F3111" i="8"/>
  <c r="F3110" i="8"/>
  <c r="F3109" i="8"/>
  <c r="F3108" i="8"/>
  <c r="F3107" i="8"/>
  <c r="F3106" i="8"/>
  <c r="F3105" i="8"/>
  <c r="F3104" i="8"/>
  <c r="F3103" i="8"/>
  <c r="F3102" i="8"/>
  <c r="F3101" i="8"/>
  <c r="F3100" i="8"/>
  <c r="F3099" i="8"/>
  <c r="F3098" i="8"/>
  <c r="F3097" i="8"/>
  <c r="F3096" i="8"/>
  <c r="F3095" i="8"/>
  <c r="F3094" i="8"/>
  <c r="F3093" i="8"/>
  <c r="F3092" i="8"/>
  <c r="F3091" i="8"/>
  <c r="F3090" i="8"/>
  <c r="F3089" i="8"/>
  <c r="F3088" i="8"/>
  <c r="F3087" i="8"/>
  <c r="F3086" i="8"/>
  <c r="F3085" i="8"/>
  <c r="F3084" i="8"/>
  <c r="F3083" i="8"/>
  <c r="F3082" i="8"/>
  <c r="F3081" i="8"/>
  <c r="F3080" i="8"/>
  <c r="F3079" i="8"/>
  <c r="F3078" i="8"/>
  <c r="F3077" i="8"/>
  <c r="F3076" i="8"/>
  <c r="F3075" i="8"/>
  <c r="F3074" i="8"/>
  <c r="F3073" i="8"/>
  <c r="F3072" i="8"/>
  <c r="F3071" i="8"/>
  <c r="F3070" i="8"/>
  <c r="F3069" i="8"/>
  <c r="F3068" i="8"/>
  <c r="F3067" i="8"/>
  <c r="F3066" i="8"/>
  <c r="F3065" i="8"/>
  <c r="F3064" i="8"/>
  <c r="F3063" i="8"/>
  <c r="F3062" i="8"/>
  <c r="F3061" i="8"/>
  <c r="F3060" i="8"/>
  <c r="F3059" i="8"/>
  <c r="F3058" i="8"/>
  <c r="F3057" i="8"/>
  <c r="F3056" i="8"/>
  <c r="F3055" i="8"/>
  <c r="F3054" i="8"/>
  <c r="F3053" i="8"/>
  <c r="F3052" i="8"/>
  <c r="F3051" i="8"/>
  <c r="F3050" i="8"/>
  <c r="F3049" i="8"/>
  <c r="F3048" i="8"/>
  <c r="F3047" i="8"/>
  <c r="F3046" i="8"/>
  <c r="F3045" i="8"/>
  <c r="F3044" i="8"/>
  <c r="F3043" i="8"/>
  <c r="F3042" i="8"/>
  <c r="F3041" i="8"/>
  <c r="F3040" i="8"/>
  <c r="F3039" i="8"/>
  <c r="F3038" i="8"/>
  <c r="F3037" i="8"/>
  <c r="F3036" i="8"/>
  <c r="F3035" i="8"/>
  <c r="F3034" i="8"/>
  <c r="F3033" i="8"/>
  <c r="F3032" i="8"/>
  <c r="F3031" i="8"/>
  <c r="F3030" i="8"/>
  <c r="F3029" i="8"/>
  <c r="F3028" i="8"/>
  <c r="F3027" i="8"/>
  <c r="F3026" i="8"/>
  <c r="F3025" i="8"/>
  <c r="F3024" i="8"/>
  <c r="F3023" i="8"/>
  <c r="F3022" i="8"/>
  <c r="F3021" i="8"/>
  <c r="F3020" i="8"/>
  <c r="F3019" i="8"/>
  <c r="F3018" i="8"/>
  <c r="F3017" i="8"/>
  <c r="F3016" i="8"/>
  <c r="F3015" i="8"/>
  <c r="F3014" i="8"/>
  <c r="F3013" i="8"/>
  <c r="F3012" i="8"/>
  <c r="F3011" i="8"/>
  <c r="F3010" i="8"/>
  <c r="F3009" i="8"/>
  <c r="F3008" i="8"/>
  <c r="F3007" i="8"/>
  <c r="F3006" i="8"/>
  <c r="F3005" i="8"/>
  <c r="F3004" i="8"/>
  <c r="F3003" i="8"/>
  <c r="F3002" i="8"/>
  <c r="F3001" i="8"/>
  <c r="F3000" i="8"/>
  <c r="F2999" i="8"/>
  <c r="F2998" i="8"/>
  <c r="F2997" i="8"/>
  <c r="F2996" i="8"/>
  <c r="F2995" i="8"/>
  <c r="F2994" i="8"/>
  <c r="F2993" i="8"/>
  <c r="F2992" i="8"/>
  <c r="F2991" i="8"/>
  <c r="F2990" i="8"/>
  <c r="F2989" i="8"/>
  <c r="F2988" i="8"/>
  <c r="F2987" i="8"/>
  <c r="F2986" i="8"/>
  <c r="F2985" i="8"/>
  <c r="F2984" i="8"/>
  <c r="F2983" i="8"/>
  <c r="F2982" i="8"/>
  <c r="F2981" i="8"/>
  <c r="F2980" i="8"/>
  <c r="F2979" i="8"/>
  <c r="F2978" i="8"/>
  <c r="F2977" i="8"/>
  <c r="F2976" i="8"/>
  <c r="F2975" i="8"/>
  <c r="F2974" i="8"/>
  <c r="F2973" i="8"/>
  <c r="F2972" i="8"/>
  <c r="F2971" i="8"/>
  <c r="F2970" i="8"/>
  <c r="F2969" i="8"/>
  <c r="F2968" i="8"/>
  <c r="F2967" i="8"/>
  <c r="F2966" i="8"/>
  <c r="F2965" i="8"/>
  <c r="F2964" i="8"/>
  <c r="F2963" i="8"/>
  <c r="F2962" i="8"/>
  <c r="F2961" i="8"/>
  <c r="F2960" i="8"/>
  <c r="F2959" i="8"/>
  <c r="F2958" i="8"/>
  <c r="F2957" i="8"/>
  <c r="F2956" i="8"/>
  <c r="F2955" i="8"/>
  <c r="F2954" i="8"/>
  <c r="F2953" i="8"/>
  <c r="F2952" i="8"/>
  <c r="F2951" i="8"/>
  <c r="F2950" i="8"/>
  <c r="F2949" i="8"/>
  <c r="F2948" i="8"/>
  <c r="F2947" i="8"/>
  <c r="F2946" i="8"/>
  <c r="F2945" i="8"/>
  <c r="F2944" i="8"/>
  <c r="F2943" i="8"/>
  <c r="F2942" i="8"/>
  <c r="F2941" i="8"/>
  <c r="F2940" i="8"/>
  <c r="F2939" i="8"/>
  <c r="F2938" i="8"/>
  <c r="F2937" i="8"/>
  <c r="F2936" i="8"/>
  <c r="F2935" i="8"/>
  <c r="F2934" i="8"/>
  <c r="F2933" i="8"/>
  <c r="F2932" i="8"/>
  <c r="F2931" i="8"/>
  <c r="F2930" i="8"/>
  <c r="F2929" i="8"/>
  <c r="F2928" i="8"/>
  <c r="F2927" i="8"/>
  <c r="F2926" i="8"/>
  <c r="F2925" i="8"/>
  <c r="F2924" i="8"/>
  <c r="F2923" i="8"/>
  <c r="F2922" i="8"/>
  <c r="F2921" i="8"/>
  <c r="F2920" i="8"/>
  <c r="F2919" i="8"/>
  <c r="F2918" i="8"/>
  <c r="F2917" i="8"/>
  <c r="F2916" i="8"/>
  <c r="F2915" i="8"/>
  <c r="F2914" i="8"/>
  <c r="F2913" i="8"/>
  <c r="F2912" i="8"/>
  <c r="F2911" i="8"/>
  <c r="F2910" i="8"/>
  <c r="F2909" i="8"/>
  <c r="F2908" i="8"/>
  <c r="F2907" i="8"/>
  <c r="F2906" i="8"/>
  <c r="F2905" i="8"/>
  <c r="F2904" i="8"/>
  <c r="F2903" i="8"/>
  <c r="F2902" i="8"/>
  <c r="F2901" i="8"/>
  <c r="F2900" i="8"/>
  <c r="F2899" i="8"/>
  <c r="F2898" i="8"/>
  <c r="F2897" i="8"/>
  <c r="F2896" i="8"/>
  <c r="F2895" i="8"/>
  <c r="F2894" i="8"/>
  <c r="F2893" i="8"/>
  <c r="F2892" i="8"/>
  <c r="F2891" i="8"/>
  <c r="F2890" i="8"/>
  <c r="F2889" i="8"/>
  <c r="F2888" i="8"/>
  <c r="F2887" i="8"/>
  <c r="F2886" i="8"/>
  <c r="F2885" i="8"/>
  <c r="F2884" i="8"/>
  <c r="F2883" i="8"/>
  <c r="F2882" i="8"/>
  <c r="F2881" i="8"/>
  <c r="F2880" i="8"/>
  <c r="F2879" i="8"/>
  <c r="F2878" i="8"/>
  <c r="F2877" i="8"/>
  <c r="F2876" i="8"/>
  <c r="F2875" i="8"/>
  <c r="F2874" i="8"/>
  <c r="F2873" i="8"/>
  <c r="F2872" i="8"/>
  <c r="F2871" i="8"/>
  <c r="F2870" i="8"/>
  <c r="F2869" i="8"/>
  <c r="F2868" i="8"/>
  <c r="F2867" i="8"/>
  <c r="F2866" i="8"/>
  <c r="F2865" i="8"/>
  <c r="F2864" i="8"/>
  <c r="F2863" i="8"/>
  <c r="F2862" i="8"/>
  <c r="F2861" i="8"/>
  <c r="F2860" i="8"/>
  <c r="F2859" i="8"/>
  <c r="F2858" i="8"/>
  <c r="F2857" i="8"/>
  <c r="F2856" i="8"/>
  <c r="F2855" i="8"/>
  <c r="F2854" i="8"/>
  <c r="F2853" i="8"/>
  <c r="F2852" i="8"/>
  <c r="F2851" i="8"/>
  <c r="F2850" i="8"/>
  <c r="F2849" i="8"/>
  <c r="F2848" i="8"/>
  <c r="F2847" i="8"/>
  <c r="F2846" i="8"/>
  <c r="F2845" i="8"/>
  <c r="F2844" i="8"/>
  <c r="F2843" i="8"/>
  <c r="F2842" i="8"/>
  <c r="F2841" i="8"/>
  <c r="F2840" i="8"/>
  <c r="F2839" i="8"/>
  <c r="F2838" i="8"/>
  <c r="F2837" i="8"/>
  <c r="F2836" i="8"/>
  <c r="F2835" i="8"/>
  <c r="F2834" i="8"/>
  <c r="F2833" i="8"/>
  <c r="F2832" i="8"/>
  <c r="F2831" i="8"/>
  <c r="F2830" i="8"/>
  <c r="F2829" i="8"/>
  <c r="F2828" i="8"/>
  <c r="F2827" i="8"/>
  <c r="F2826" i="8"/>
  <c r="F2825" i="8"/>
  <c r="F2824" i="8"/>
  <c r="F2823" i="8"/>
  <c r="F2822" i="8"/>
  <c r="F2821" i="8"/>
  <c r="F2820" i="8"/>
  <c r="F2819" i="8"/>
  <c r="F2818" i="8"/>
  <c r="F2817" i="8"/>
  <c r="F2816" i="8"/>
  <c r="F2815" i="8"/>
  <c r="F2814" i="8"/>
  <c r="F2813" i="8"/>
  <c r="F2812" i="8"/>
  <c r="F2811" i="8"/>
  <c r="F2810" i="8"/>
  <c r="F2809" i="8"/>
  <c r="F2808" i="8"/>
  <c r="F2807" i="8"/>
  <c r="F2806" i="8"/>
  <c r="F2805" i="8"/>
  <c r="F2804" i="8"/>
  <c r="F2803" i="8"/>
  <c r="F2802" i="8"/>
  <c r="F2801" i="8"/>
  <c r="F2800" i="8"/>
  <c r="F2799" i="8"/>
  <c r="F2798" i="8"/>
  <c r="F2797" i="8"/>
  <c r="F2796" i="8"/>
  <c r="F2795" i="8"/>
  <c r="F2794" i="8"/>
  <c r="F2793" i="8"/>
  <c r="F2792" i="8"/>
  <c r="F2791" i="8"/>
  <c r="F2790" i="8"/>
  <c r="F2789" i="8"/>
  <c r="F2788" i="8"/>
  <c r="F2787" i="8"/>
  <c r="F2786" i="8"/>
  <c r="F2785" i="8"/>
  <c r="F2784" i="8"/>
  <c r="F2783" i="8"/>
  <c r="F2782" i="8"/>
  <c r="F2781" i="8"/>
  <c r="F2780" i="8"/>
  <c r="F2779" i="8"/>
  <c r="F2778" i="8"/>
  <c r="F2777" i="8"/>
  <c r="F2776" i="8"/>
  <c r="F2775" i="8"/>
  <c r="F2774" i="8"/>
  <c r="F2773" i="8"/>
  <c r="F2772" i="8"/>
  <c r="F2771" i="8"/>
  <c r="F2770" i="8"/>
  <c r="F2769" i="8"/>
  <c r="F2768" i="8"/>
  <c r="F2767" i="8"/>
  <c r="F2766" i="8"/>
  <c r="F2765" i="8"/>
  <c r="F2764" i="8"/>
  <c r="F2763" i="8"/>
  <c r="F2762" i="8"/>
  <c r="F2761" i="8"/>
  <c r="F2760" i="8"/>
  <c r="F2759" i="8"/>
  <c r="F2758" i="8"/>
  <c r="F2757" i="8"/>
  <c r="F2756" i="8"/>
  <c r="F2755" i="8"/>
  <c r="F2754" i="8"/>
  <c r="F2753" i="8"/>
  <c r="F2752" i="8"/>
  <c r="F2751" i="8"/>
  <c r="F2750" i="8"/>
  <c r="F2749" i="8"/>
  <c r="F2748" i="8"/>
  <c r="F2747" i="8"/>
  <c r="F2746" i="8"/>
  <c r="F2745" i="8"/>
  <c r="F2744" i="8"/>
  <c r="F2743" i="8"/>
  <c r="F2742" i="8"/>
  <c r="F2741" i="8"/>
  <c r="F2740" i="8"/>
  <c r="F2739" i="8"/>
  <c r="F2738" i="8"/>
  <c r="F2737" i="8"/>
  <c r="F2736" i="8"/>
  <c r="F2735" i="8"/>
  <c r="F2734" i="8"/>
  <c r="F2733" i="8"/>
  <c r="F2732" i="8"/>
  <c r="F2731" i="8"/>
  <c r="F2730" i="8"/>
  <c r="F2729" i="8"/>
  <c r="F2728" i="8"/>
  <c r="F2727" i="8"/>
  <c r="F2726" i="8"/>
  <c r="F2725" i="8"/>
  <c r="F2724" i="8"/>
  <c r="F2723" i="8"/>
  <c r="F2722" i="8"/>
  <c r="F2721" i="8"/>
  <c r="F2720" i="8"/>
  <c r="F2719" i="8"/>
  <c r="F2718" i="8"/>
  <c r="F2717" i="8"/>
  <c r="F2716" i="8"/>
  <c r="F2715" i="8"/>
  <c r="F2714" i="8"/>
  <c r="F2713" i="8"/>
  <c r="F2712" i="8"/>
  <c r="F2711" i="8"/>
  <c r="F2710" i="8"/>
  <c r="F2709" i="8"/>
  <c r="F2708" i="8"/>
  <c r="F2707" i="8"/>
  <c r="F2706" i="8"/>
  <c r="F2705" i="8"/>
  <c r="F2704" i="8"/>
  <c r="F2703" i="8"/>
  <c r="F2702" i="8"/>
  <c r="F2701" i="8"/>
  <c r="F2700" i="8"/>
  <c r="F2699" i="8"/>
  <c r="F2698" i="8"/>
  <c r="F2697" i="8"/>
  <c r="F2696" i="8"/>
  <c r="F2695" i="8"/>
  <c r="F2694" i="8"/>
  <c r="F2693" i="8"/>
  <c r="F2692" i="8"/>
  <c r="F2691" i="8"/>
  <c r="F2690" i="8"/>
  <c r="F2689" i="8"/>
  <c r="F2688" i="8"/>
  <c r="F2687" i="8"/>
  <c r="F2686" i="8"/>
  <c r="F2685" i="8"/>
  <c r="F2684" i="8"/>
  <c r="F2683" i="8"/>
  <c r="F2682" i="8"/>
  <c r="F2681" i="8"/>
  <c r="F2680" i="8"/>
  <c r="F2679" i="8"/>
  <c r="F2678" i="8"/>
  <c r="F2677" i="8"/>
  <c r="F2676" i="8"/>
  <c r="F2675" i="8"/>
  <c r="F2674" i="8"/>
  <c r="F2673" i="8"/>
  <c r="F2672" i="8"/>
  <c r="F2671" i="8"/>
  <c r="F2670" i="8"/>
  <c r="F2669" i="8"/>
  <c r="F2668" i="8"/>
  <c r="F2667" i="8"/>
  <c r="F2666" i="8"/>
  <c r="F2665" i="8"/>
  <c r="F2664" i="8"/>
  <c r="F2663" i="8"/>
  <c r="F2662" i="8"/>
  <c r="F2661" i="8"/>
  <c r="F2660" i="8"/>
  <c r="F2659" i="8"/>
  <c r="F2658" i="8"/>
  <c r="F2657" i="8"/>
  <c r="F2656" i="8"/>
  <c r="F2655" i="8"/>
  <c r="F2654" i="8"/>
  <c r="F2653" i="8"/>
  <c r="F2652" i="8"/>
  <c r="F2651" i="8"/>
  <c r="F2650" i="8"/>
  <c r="F2649" i="8"/>
  <c r="F2648" i="8"/>
  <c r="F2647" i="8"/>
  <c r="F2646" i="8"/>
  <c r="F2645" i="8"/>
  <c r="F2644" i="8"/>
  <c r="F2643" i="8"/>
  <c r="F2642" i="8"/>
  <c r="F2641" i="8"/>
  <c r="F2640" i="8"/>
  <c r="F2639" i="8"/>
  <c r="F2638" i="8"/>
  <c r="F2637" i="8"/>
  <c r="F2636" i="8"/>
  <c r="F2635" i="8"/>
  <c r="F2634" i="8"/>
  <c r="F2633" i="8"/>
  <c r="F2632" i="8"/>
  <c r="F2631" i="8"/>
  <c r="F2630" i="8"/>
  <c r="F2629" i="8"/>
  <c r="F2628" i="8"/>
  <c r="F2627" i="8"/>
  <c r="F2626" i="8"/>
  <c r="F2625" i="8"/>
  <c r="F2624" i="8"/>
  <c r="F2623" i="8"/>
  <c r="F2622" i="8"/>
  <c r="F2621" i="8"/>
  <c r="F2620" i="8"/>
  <c r="F2619" i="8"/>
  <c r="F2618" i="8"/>
  <c r="F2617" i="8"/>
  <c r="F2616" i="8"/>
  <c r="F2615" i="8"/>
  <c r="F2614" i="8"/>
  <c r="F2613" i="8"/>
  <c r="F2612" i="8"/>
  <c r="F2611" i="8"/>
  <c r="F2610" i="8"/>
  <c r="F2609" i="8"/>
  <c r="F2608" i="8"/>
  <c r="F2607" i="8"/>
  <c r="F2606" i="8"/>
  <c r="F2605" i="8"/>
  <c r="F2604" i="8"/>
  <c r="F2603" i="8"/>
  <c r="F2602" i="8"/>
  <c r="F2601" i="8"/>
  <c r="F2600" i="8"/>
  <c r="F2599" i="8"/>
  <c r="F2598" i="8"/>
  <c r="F2597" i="8"/>
  <c r="F2596" i="8"/>
  <c r="F2595" i="8"/>
  <c r="F2594" i="8"/>
  <c r="F2593" i="8"/>
  <c r="F2592" i="8"/>
  <c r="F2591" i="8"/>
  <c r="F2590" i="8"/>
  <c r="F2589" i="8"/>
  <c r="F2588" i="8"/>
  <c r="F2587" i="8"/>
  <c r="F2586" i="8"/>
  <c r="F2585" i="8"/>
  <c r="F2584" i="8"/>
  <c r="F2583" i="8"/>
  <c r="F2582" i="8"/>
  <c r="F2581" i="8"/>
  <c r="F2580" i="8"/>
  <c r="F2579" i="8"/>
  <c r="F2578" i="8"/>
  <c r="F2577" i="8"/>
  <c r="F2576" i="8"/>
  <c r="F2575" i="8"/>
  <c r="F2574" i="8"/>
  <c r="F2573" i="8"/>
  <c r="F2572" i="8"/>
  <c r="F2571" i="8"/>
  <c r="F2570" i="8"/>
  <c r="F2569" i="8"/>
  <c r="F2568" i="8"/>
  <c r="F2567" i="8"/>
  <c r="F2566" i="8"/>
  <c r="F2565" i="8"/>
  <c r="F2564" i="8"/>
  <c r="F2563" i="8"/>
  <c r="F2562" i="8"/>
  <c r="F2561" i="8"/>
  <c r="F2560" i="8"/>
  <c r="F2559" i="8"/>
  <c r="F2558" i="8"/>
  <c r="F2557" i="8"/>
  <c r="F2556" i="8"/>
  <c r="F2555" i="8"/>
  <c r="F2554" i="8"/>
  <c r="F2553" i="8"/>
  <c r="F2552" i="8"/>
  <c r="F2551" i="8"/>
  <c r="F2550" i="8"/>
  <c r="F2549" i="8"/>
  <c r="F2548" i="8"/>
  <c r="F2547" i="8"/>
  <c r="F2546" i="8"/>
  <c r="F2545" i="8"/>
  <c r="F2544" i="8"/>
  <c r="F2543" i="8"/>
  <c r="F2542" i="8"/>
  <c r="F2541" i="8"/>
  <c r="F2540" i="8"/>
  <c r="F2539" i="8"/>
  <c r="F2538" i="8"/>
  <c r="F2537" i="8"/>
  <c r="F2536" i="8"/>
  <c r="F2535" i="8"/>
  <c r="F2534" i="8"/>
  <c r="F2533" i="8"/>
  <c r="F2532" i="8"/>
  <c r="F2531" i="8"/>
  <c r="F2530" i="8"/>
  <c r="F2529" i="8"/>
  <c r="F2528" i="8"/>
  <c r="F2527" i="8"/>
  <c r="F2526" i="8"/>
  <c r="F2525" i="8"/>
  <c r="F2524" i="8"/>
  <c r="F2523" i="8"/>
  <c r="F2522" i="8"/>
  <c r="F2521" i="8"/>
  <c r="F2520" i="8"/>
  <c r="F2519" i="8"/>
  <c r="F2518" i="8"/>
  <c r="F2517" i="8"/>
  <c r="F2516" i="8"/>
  <c r="F2515" i="8"/>
  <c r="F2514" i="8"/>
  <c r="F2513" i="8"/>
  <c r="F2512" i="8"/>
  <c r="F2511" i="8"/>
  <c r="F2510" i="8"/>
  <c r="F2509" i="8"/>
  <c r="F2508" i="8"/>
  <c r="F2507" i="8"/>
  <c r="F2506" i="8"/>
  <c r="F2505" i="8"/>
  <c r="F2504" i="8"/>
  <c r="F2503" i="8"/>
  <c r="F2502" i="8"/>
  <c r="F2501" i="8"/>
  <c r="F2500" i="8"/>
  <c r="F2499" i="8"/>
  <c r="F2498" i="8"/>
  <c r="F2497" i="8"/>
  <c r="F2496" i="8"/>
  <c r="F2495" i="8"/>
  <c r="F2494" i="8"/>
  <c r="F2493" i="8"/>
  <c r="F2492" i="8"/>
  <c r="F2491" i="8"/>
  <c r="F2490" i="8"/>
  <c r="F2489" i="8"/>
  <c r="F2488" i="8"/>
  <c r="F2487" i="8"/>
  <c r="F2486" i="8"/>
  <c r="F2485" i="8"/>
  <c r="F2484" i="8"/>
  <c r="F2483" i="8"/>
  <c r="F2482" i="8"/>
  <c r="F2481" i="8"/>
  <c r="F2480" i="8"/>
  <c r="F2479" i="8"/>
  <c r="F2478" i="8"/>
  <c r="F2477" i="8"/>
  <c r="F2476" i="8"/>
  <c r="F2475" i="8"/>
  <c r="F2474" i="8"/>
  <c r="F2473" i="8"/>
  <c r="F2472" i="8"/>
  <c r="F2471" i="8"/>
  <c r="F2470" i="8"/>
  <c r="F2469" i="8"/>
  <c r="F2468" i="8"/>
  <c r="F2467" i="8"/>
  <c r="F2466" i="8"/>
  <c r="F2465" i="8"/>
  <c r="F2464" i="8"/>
  <c r="F2463" i="8"/>
  <c r="F2462" i="8"/>
  <c r="F2461" i="8"/>
  <c r="F2460" i="8"/>
  <c r="F2459" i="8"/>
  <c r="F2458" i="8"/>
  <c r="F2457" i="8"/>
  <c r="F2456" i="8"/>
  <c r="F2455" i="8"/>
  <c r="F2454" i="8"/>
  <c r="F2453" i="8"/>
  <c r="F2452" i="8"/>
  <c r="F2451" i="8"/>
  <c r="F2450" i="8"/>
  <c r="F2449" i="8"/>
  <c r="F2448" i="8"/>
  <c r="F2447" i="8"/>
  <c r="F2446" i="8"/>
  <c r="F2445" i="8"/>
  <c r="F2444" i="8"/>
  <c r="F2443" i="8"/>
  <c r="F2442" i="8"/>
  <c r="F2441" i="8"/>
  <c r="F2440" i="8"/>
  <c r="F2439" i="8"/>
  <c r="F2438" i="8"/>
  <c r="F2437" i="8"/>
  <c r="F2436" i="8"/>
  <c r="F2435" i="8"/>
  <c r="F2434" i="8"/>
  <c r="F2433" i="8"/>
  <c r="F2432" i="8"/>
  <c r="F2431" i="8"/>
  <c r="F2430" i="8"/>
  <c r="F2429" i="8"/>
  <c r="F2428" i="8"/>
  <c r="F2427" i="8"/>
  <c r="F2426" i="8"/>
  <c r="F2425" i="8"/>
  <c r="F2424" i="8"/>
  <c r="F2423" i="8"/>
  <c r="F2422" i="8"/>
  <c r="F2421" i="8"/>
  <c r="F2420" i="8"/>
  <c r="F2419" i="8"/>
  <c r="F2418" i="8"/>
  <c r="F2417" i="8"/>
  <c r="F2416" i="8"/>
  <c r="F2415" i="8"/>
  <c r="F2414" i="8"/>
  <c r="F2413" i="8"/>
  <c r="F2412" i="8"/>
  <c r="F2411" i="8"/>
  <c r="F2410" i="8"/>
  <c r="F2409" i="8"/>
  <c r="F2408" i="8"/>
  <c r="F2407" i="8"/>
  <c r="F2406" i="8"/>
  <c r="F2405" i="8"/>
  <c r="F2404" i="8"/>
  <c r="F2403" i="8"/>
  <c r="F2402" i="8"/>
  <c r="F2401" i="8"/>
  <c r="F2400" i="8"/>
  <c r="F2399" i="8"/>
  <c r="F2398" i="8"/>
  <c r="F2397" i="8"/>
  <c r="F2396" i="8"/>
  <c r="F2395" i="8"/>
  <c r="F2394" i="8"/>
  <c r="F2393" i="8"/>
  <c r="F2392" i="8"/>
  <c r="F2391" i="8"/>
  <c r="F2390" i="8"/>
  <c r="F2389" i="8"/>
  <c r="F2388" i="8"/>
  <c r="F2387" i="8"/>
  <c r="F2386" i="8"/>
  <c r="F2385" i="8"/>
  <c r="F2384" i="8"/>
  <c r="F2383" i="8"/>
  <c r="F2382" i="8"/>
  <c r="F2381" i="8"/>
  <c r="F2380" i="8"/>
  <c r="F2379" i="8"/>
  <c r="F2378" i="8"/>
  <c r="F2377" i="8"/>
  <c r="F2376" i="8"/>
  <c r="F2375" i="8"/>
  <c r="F2374" i="8"/>
  <c r="F2373" i="8"/>
  <c r="F2372" i="8"/>
  <c r="F2371" i="8"/>
  <c r="F2370" i="8"/>
  <c r="F2369" i="8"/>
  <c r="F2368" i="8"/>
  <c r="F2367" i="8"/>
  <c r="F2366" i="8"/>
  <c r="F2365" i="8"/>
  <c r="F2364" i="8"/>
  <c r="F2363" i="8"/>
  <c r="F2362" i="8"/>
  <c r="F2361" i="8"/>
  <c r="F2360" i="8"/>
  <c r="F2359" i="8"/>
  <c r="F2358" i="8"/>
  <c r="F2357" i="8"/>
  <c r="F2356" i="8"/>
  <c r="F2355" i="8"/>
  <c r="F2354" i="8"/>
  <c r="F2353" i="8"/>
  <c r="F2352" i="8"/>
  <c r="F2351" i="8"/>
  <c r="F2350" i="8"/>
  <c r="F2349" i="8"/>
  <c r="F2348" i="8"/>
  <c r="F2347" i="8"/>
  <c r="F2346" i="8"/>
  <c r="F2345" i="8"/>
  <c r="F2344" i="8"/>
  <c r="F2343" i="8"/>
  <c r="F2342" i="8"/>
  <c r="F2341" i="8"/>
  <c r="F2340" i="8"/>
  <c r="F2339" i="8"/>
  <c r="F2338" i="8"/>
  <c r="F2337" i="8"/>
  <c r="F2336" i="8"/>
  <c r="F2335" i="8"/>
  <c r="F2334" i="8"/>
  <c r="F2333" i="8"/>
  <c r="F2332" i="8"/>
  <c r="F2331" i="8"/>
  <c r="F2330" i="8"/>
  <c r="F2329" i="8"/>
  <c r="F2328" i="8"/>
  <c r="F2327" i="8"/>
  <c r="F2326" i="8"/>
  <c r="F2325" i="8"/>
  <c r="F2324" i="8"/>
  <c r="F2323" i="8"/>
  <c r="F2322" i="8"/>
  <c r="F2321" i="8"/>
  <c r="F2320" i="8"/>
  <c r="F2319" i="8"/>
  <c r="F2318" i="8"/>
  <c r="F2317" i="8"/>
  <c r="F2316" i="8"/>
  <c r="F2315" i="8"/>
  <c r="F2314" i="8"/>
  <c r="F2313" i="8"/>
  <c r="F2312" i="8"/>
  <c r="F2311" i="8"/>
  <c r="F2310" i="8"/>
  <c r="F2309" i="8"/>
  <c r="F2308" i="8"/>
  <c r="F2307" i="8"/>
  <c r="F2306" i="8"/>
  <c r="F2305" i="8"/>
  <c r="F2304" i="8"/>
  <c r="F2303" i="8"/>
  <c r="F2302" i="8"/>
  <c r="F2301" i="8"/>
  <c r="F2300" i="8"/>
  <c r="F2299" i="8"/>
  <c r="F2298" i="8"/>
  <c r="F2297" i="8"/>
  <c r="F2296" i="8"/>
  <c r="F2295" i="8"/>
  <c r="F2294" i="8"/>
  <c r="F2293" i="8"/>
  <c r="F2292" i="8"/>
  <c r="F2291" i="8"/>
  <c r="F2290" i="8"/>
  <c r="F2289" i="8"/>
  <c r="F2288" i="8"/>
  <c r="F2287" i="8"/>
  <c r="F2286" i="8"/>
  <c r="F2285" i="8"/>
  <c r="F2284" i="8"/>
  <c r="F2283" i="8"/>
  <c r="F2282" i="8"/>
  <c r="F2281" i="8"/>
  <c r="F2280" i="8"/>
  <c r="F2279" i="8"/>
  <c r="F2278" i="8"/>
  <c r="F2277" i="8"/>
  <c r="F2276" i="8"/>
  <c r="F2275" i="8"/>
  <c r="F2274" i="8"/>
  <c r="F2273" i="8"/>
  <c r="F2272" i="8"/>
  <c r="F2271" i="8"/>
  <c r="F2270" i="8"/>
  <c r="F2269" i="8"/>
  <c r="F2268" i="8"/>
  <c r="F2267" i="8"/>
  <c r="F2266" i="8"/>
  <c r="F2265" i="8"/>
  <c r="F2264" i="8"/>
  <c r="F2263" i="8"/>
  <c r="F2262" i="8"/>
  <c r="F2261" i="8"/>
  <c r="F2260" i="8"/>
  <c r="F2259" i="8"/>
  <c r="F2258" i="8"/>
  <c r="F2257" i="8"/>
  <c r="F2256" i="8"/>
  <c r="F2255" i="8"/>
  <c r="F2254" i="8"/>
  <c r="F2253" i="8"/>
  <c r="F2252" i="8"/>
  <c r="F2251" i="8"/>
  <c r="F2250" i="8"/>
  <c r="F2249" i="8"/>
  <c r="F2248" i="8"/>
  <c r="F2247" i="8"/>
  <c r="F2246" i="8"/>
  <c r="F2245" i="8"/>
  <c r="F2244" i="8"/>
  <c r="F2243" i="8"/>
  <c r="F2242" i="8"/>
  <c r="F2241" i="8"/>
  <c r="F2240" i="8"/>
  <c r="F2239" i="8"/>
  <c r="F2238" i="8"/>
  <c r="F2237" i="8"/>
  <c r="F2236" i="8"/>
  <c r="F2235" i="8"/>
  <c r="F2234" i="8"/>
  <c r="F2233" i="8"/>
  <c r="F2232" i="8"/>
  <c r="F2231" i="8"/>
  <c r="F2230" i="8"/>
  <c r="F2229" i="8"/>
  <c r="F2228" i="8"/>
  <c r="F2227" i="8"/>
  <c r="F2226" i="8"/>
  <c r="F2225" i="8"/>
  <c r="F2224" i="8"/>
  <c r="F2223" i="8"/>
  <c r="F2222" i="8"/>
  <c r="F2221" i="8"/>
  <c r="F2220" i="8"/>
  <c r="F2219" i="8"/>
  <c r="F2218" i="8"/>
  <c r="F2217" i="8"/>
  <c r="F2216" i="8"/>
  <c r="F2215" i="8"/>
  <c r="F2214" i="8"/>
  <c r="F2213" i="8"/>
  <c r="F2212" i="8"/>
  <c r="F2211" i="8"/>
  <c r="F2210" i="8"/>
  <c r="F2209" i="8"/>
  <c r="F2208" i="8"/>
  <c r="F2207" i="8"/>
  <c r="F2206" i="8"/>
  <c r="F2205" i="8"/>
  <c r="F2204" i="8"/>
  <c r="F2203" i="8"/>
  <c r="F2202" i="8"/>
  <c r="F2201" i="8"/>
  <c r="F2200" i="8"/>
  <c r="F2199" i="8"/>
  <c r="F2198" i="8"/>
  <c r="F2197" i="8"/>
  <c r="F2196" i="8"/>
  <c r="F2195" i="8"/>
  <c r="F2194" i="8"/>
  <c r="F2193" i="8"/>
  <c r="F2192" i="8"/>
  <c r="F2191" i="8"/>
  <c r="F2190" i="8"/>
  <c r="F2189" i="8"/>
  <c r="F2188" i="8"/>
  <c r="F2187" i="8"/>
  <c r="F2186" i="8"/>
  <c r="F2185" i="8"/>
  <c r="F2184" i="8"/>
  <c r="F2183" i="8"/>
  <c r="F2182" i="8"/>
  <c r="F2181" i="8"/>
  <c r="F2180" i="8"/>
  <c r="F2179" i="8"/>
  <c r="F2178" i="8"/>
  <c r="F2177" i="8"/>
  <c r="F2176" i="8"/>
  <c r="F2175" i="8"/>
  <c r="F2174" i="8"/>
  <c r="F2173" i="8"/>
  <c r="F2172" i="8"/>
  <c r="F2171" i="8"/>
  <c r="F2170" i="8"/>
  <c r="F2169" i="8"/>
  <c r="F2168" i="8"/>
  <c r="F2167" i="8"/>
  <c r="F2166" i="8"/>
  <c r="F2165" i="8"/>
  <c r="F2164" i="8"/>
  <c r="F2163" i="8"/>
  <c r="F2162" i="8"/>
  <c r="F2161" i="8"/>
  <c r="F2160" i="8"/>
  <c r="F2159" i="8"/>
  <c r="F2158" i="8"/>
  <c r="F2157" i="8"/>
  <c r="F2156" i="8"/>
  <c r="F2155" i="8"/>
  <c r="F2154" i="8"/>
  <c r="F2153" i="8"/>
  <c r="F2152" i="8"/>
  <c r="F2151" i="8"/>
  <c r="F2150" i="8"/>
  <c r="F2149" i="8"/>
  <c r="F2148" i="8"/>
  <c r="F2147" i="8"/>
  <c r="F2146" i="8"/>
  <c r="F2145" i="8"/>
  <c r="F2144" i="8"/>
  <c r="F2143" i="8"/>
  <c r="F2142" i="8"/>
  <c r="F2141" i="8"/>
  <c r="F2140" i="8"/>
  <c r="F2139" i="8"/>
  <c r="F2138" i="8"/>
  <c r="F2137" i="8"/>
  <c r="F2136" i="8"/>
  <c r="F2135" i="8"/>
  <c r="F2134" i="8"/>
  <c r="F2133" i="8"/>
  <c r="F2132" i="8"/>
  <c r="F2131" i="8"/>
  <c r="F2130" i="8"/>
  <c r="F2129" i="8"/>
  <c r="F2128" i="8"/>
  <c r="F2127" i="8"/>
  <c r="F2126" i="8"/>
  <c r="F2125" i="8"/>
  <c r="F2124" i="8"/>
  <c r="F2123" i="8"/>
  <c r="F2122" i="8"/>
  <c r="F2121" i="8"/>
  <c r="F2120" i="8"/>
  <c r="F2119" i="8"/>
  <c r="F2118" i="8"/>
  <c r="F2117" i="8"/>
  <c r="F2116" i="8"/>
  <c r="F2115" i="8"/>
  <c r="F2114" i="8"/>
  <c r="F2113" i="8"/>
  <c r="F2112" i="8"/>
  <c r="F2111" i="8"/>
  <c r="F2110" i="8"/>
  <c r="F2109" i="8"/>
  <c r="F2108" i="8"/>
  <c r="F2107" i="8"/>
  <c r="F2106" i="8"/>
  <c r="F2105" i="8"/>
  <c r="F2104" i="8"/>
  <c r="F2103" i="8"/>
  <c r="F2102" i="8"/>
  <c r="F2101" i="8"/>
  <c r="F2100" i="8"/>
  <c r="F2099" i="8"/>
  <c r="F2098" i="8"/>
  <c r="F2097" i="8"/>
  <c r="F2096" i="8"/>
  <c r="F2095" i="8"/>
  <c r="F2094" i="8"/>
  <c r="F2093" i="8"/>
  <c r="F2092" i="8"/>
  <c r="F2091" i="8"/>
  <c r="F2090" i="8"/>
  <c r="F2089" i="8"/>
  <c r="F2088" i="8"/>
  <c r="F2087" i="8"/>
  <c r="F2086" i="8"/>
  <c r="F2085" i="8"/>
  <c r="F2084" i="8"/>
  <c r="F2083" i="8"/>
  <c r="F2082" i="8"/>
  <c r="F2081" i="8"/>
  <c r="F2080" i="8"/>
  <c r="F2079" i="8"/>
  <c r="F2078" i="8"/>
  <c r="F2077" i="8"/>
  <c r="F2076" i="8"/>
  <c r="F2075" i="8"/>
  <c r="F2074" i="8"/>
  <c r="F2073" i="8"/>
  <c r="F2072" i="8"/>
  <c r="F2071" i="8"/>
  <c r="F2070" i="8"/>
  <c r="F2069" i="8"/>
  <c r="F2068" i="8"/>
  <c r="F2067" i="8"/>
  <c r="F2066" i="8"/>
  <c r="F2065" i="8"/>
  <c r="F2064" i="8"/>
  <c r="F2063" i="8"/>
  <c r="F2062" i="8"/>
  <c r="F2061" i="8"/>
  <c r="F2060" i="8"/>
  <c r="F2059" i="8"/>
  <c r="F2058" i="8"/>
  <c r="F2057" i="8"/>
  <c r="F2056" i="8"/>
  <c r="F2055" i="8"/>
  <c r="F2054" i="8"/>
  <c r="F2053" i="8"/>
  <c r="F2052" i="8"/>
  <c r="F2051" i="8"/>
  <c r="F2050" i="8"/>
  <c r="F2049" i="8"/>
  <c r="F2048" i="8"/>
  <c r="F2047" i="8"/>
  <c r="F2046" i="8"/>
  <c r="F2045" i="8"/>
  <c r="F2044" i="8"/>
  <c r="F2043" i="8"/>
  <c r="F2042" i="8"/>
  <c r="F2041" i="8"/>
  <c r="F2040" i="8"/>
  <c r="F2039" i="8"/>
  <c r="F2038" i="8"/>
  <c r="F2037" i="8"/>
  <c r="F2036" i="8"/>
  <c r="F2035" i="8"/>
  <c r="F2034" i="8"/>
  <c r="F2033" i="8"/>
  <c r="F2032" i="8"/>
  <c r="F2031" i="8"/>
  <c r="F2030" i="8"/>
  <c r="F2029" i="8"/>
  <c r="F2028" i="8"/>
  <c r="F2027" i="8"/>
  <c r="F2026" i="8"/>
  <c r="F2025" i="8"/>
  <c r="F2024" i="8"/>
  <c r="F2023" i="8"/>
  <c r="F2022" i="8"/>
  <c r="F2021" i="8"/>
  <c r="F2020" i="8"/>
  <c r="F2019" i="8"/>
  <c r="F2018" i="8"/>
  <c r="F2017" i="8"/>
  <c r="F2016" i="8"/>
  <c r="F2015" i="8"/>
  <c r="F2014" i="8"/>
  <c r="F2013" i="8"/>
  <c r="F2012" i="8"/>
  <c r="F2011" i="8"/>
  <c r="F2010" i="8"/>
  <c r="F2009" i="8"/>
  <c r="F2008" i="8"/>
  <c r="F2007" i="8"/>
  <c r="F2006" i="8"/>
  <c r="F2005" i="8"/>
  <c r="F2004" i="8"/>
  <c r="F2003" i="8"/>
  <c r="F2002" i="8"/>
  <c r="F2001" i="8"/>
  <c r="F2000" i="8"/>
  <c r="F1999" i="8"/>
  <c r="F1998" i="8"/>
  <c r="F1997" i="8"/>
  <c r="F1996" i="8"/>
  <c r="F1995" i="8"/>
  <c r="F1994" i="8"/>
  <c r="F1993" i="8"/>
  <c r="F1992" i="8"/>
  <c r="F1991" i="8"/>
  <c r="F1990" i="8"/>
  <c r="F1989" i="8"/>
  <c r="F1988" i="8"/>
  <c r="F1987" i="8"/>
  <c r="F1986" i="8"/>
  <c r="F1985" i="8"/>
  <c r="F1984" i="8"/>
  <c r="F1983" i="8"/>
  <c r="F1982" i="8"/>
  <c r="F1981" i="8"/>
  <c r="F1980" i="8"/>
  <c r="F1979" i="8"/>
  <c r="F1978" i="8"/>
  <c r="F1977" i="8"/>
  <c r="F1976" i="8"/>
  <c r="F1975" i="8"/>
  <c r="F1974" i="8"/>
  <c r="F1973" i="8"/>
  <c r="F1972" i="8"/>
  <c r="F1971" i="8"/>
  <c r="F1970" i="8"/>
  <c r="F1969" i="8"/>
  <c r="F1968" i="8"/>
  <c r="F1967" i="8"/>
  <c r="F1966" i="8"/>
  <c r="F1965" i="8"/>
  <c r="F1964" i="8"/>
  <c r="F1963" i="8"/>
  <c r="F1962" i="8"/>
  <c r="F1961" i="8"/>
  <c r="F1960" i="8"/>
  <c r="F1959" i="8"/>
  <c r="F1958" i="8"/>
  <c r="F1957" i="8"/>
  <c r="F1956" i="8"/>
  <c r="F1955" i="8"/>
  <c r="F1954" i="8"/>
  <c r="F1953" i="8"/>
  <c r="F1952" i="8"/>
  <c r="F1951" i="8"/>
  <c r="F1950" i="8"/>
  <c r="F1949" i="8"/>
  <c r="F1948" i="8"/>
  <c r="F1947" i="8"/>
  <c r="F1946" i="8"/>
  <c r="F1945" i="8"/>
  <c r="F1944" i="8"/>
  <c r="F1943" i="8"/>
  <c r="F1942" i="8"/>
  <c r="F1941" i="8"/>
  <c r="F1940" i="8"/>
  <c r="F1939" i="8"/>
  <c r="F1938" i="8"/>
  <c r="F1937" i="8"/>
  <c r="F1936" i="8"/>
  <c r="F1935" i="8"/>
  <c r="F1934" i="8"/>
  <c r="F1933" i="8"/>
  <c r="F1932" i="8"/>
  <c r="F1931" i="8"/>
  <c r="F1930" i="8"/>
  <c r="F1929" i="8"/>
  <c r="F1928" i="8"/>
  <c r="F1927" i="8"/>
  <c r="F1926" i="8"/>
  <c r="F1925" i="8"/>
  <c r="F1924" i="8"/>
  <c r="F1923" i="8"/>
  <c r="F1922" i="8"/>
  <c r="F1921" i="8"/>
  <c r="F1920" i="8"/>
  <c r="F1919" i="8"/>
  <c r="F1918" i="8"/>
  <c r="F1917" i="8"/>
  <c r="F1916" i="8"/>
  <c r="F1915" i="8"/>
  <c r="F1914" i="8"/>
  <c r="F1913" i="8"/>
  <c r="F1912" i="8"/>
  <c r="F1911" i="8"/>
  <c r="F1910" i="8"/>
  <c r="F1909" i="8"/>
  <c r="F1908" i="8"/>
  <c r="F1907" i="8"/>
  <c r="F1906" i="8"/>
  <c r="F1905" i="8"/>
  <c r="F1904" i="8"/>
  <c r="F1903" i="8"/>
  <c r="F1902" i="8"/>
  <c r="F1901" i="8"/>
  <c r="F1900" i="8"/>
  <c r="F1899" i="8"/>
  <c r="F1898" i="8"/>
  <c r="F1897" i="8"/>
  <c r="F1896" i="8"/>
  <c r="F1895" i="8"/>
  <c r="F1894" i="8"/>
  <c r="F1893" i="8"/>
  <c r="F1892" i="8"/>
  <c r="F1891" i="8"/>
  <c r="F1890" i="8"/>
  <c r="F1889" i="8"/>
  <c r="F1888" i="8"/>
  <c r="F1887" i="8"/>
  <c r="F1886" i="8"/>
  <c r="F1885" i="8"/>
  <c r="F1884" i="8"/>
  <c r="F1883" i="8"/>
  <c r="F1882" i="8"/>
  <c r="F1881" i="8"/>
  <c r="F1880" i="8"/>
  <c r="F1879" i="8"/>
  <c r="F1878" i="8"/>
  <c r="F1877" i="8"/>
  <c r="F1876" i="8"/>
  <c r="F1875" i="8"/>
  <c r="F1874" i="8"/>
  <c r="F1873" i="8"/>
  <c r="F1872" i="8"/>
  <c r="F1871" i="8"/>
  <c r="F1870" i="8"/>
  <c r="F1869" i="8"/>
  <c r="F1868" i="8"/>
  <c r="F1867" i="8"/>
  <c r="F1866" i="8"/>
  <c r="F1865" i="8"/>
  <c r="F1864" i="8"/>
  <c r="F1863" i="8"/>
  <c r="F1862" i="8"/>
  <c r="F1861" i="8"/>
  <c r="F1860" i="8"/>
  <c r="F1859" i="8"/>
  <c r="F1858" i="8"/>
  <c r="F1857" i="8"/>
  <c r="F1856" i="8"/>
  <c r="F1855" i="8"/>
  <c r="F1854" i="8"/>
  <c r="F1853" i="8"/>
  <c r="F1852" i="8"/>
  <c r="F1851" i="8"/>
  <c r="F1850" i="8"/>
  <c r="F1849" i="8"/>
  <c r="F1848" i="8"/>
  <c r="F1847" i="8"/>
  <c r="F1846" i="8"/>
  <c r="F1845" i="8"/>
  <c r="F1844" i="8"/>
  <c r="F1843" i="8"/>
  <c r="F1842" i="8"/>
  <c r="F1841" i="8"/>
  <c r="F1840" i="8"/>
  <c r="F1839" i="8"/>
  <c r="F1838" i="8"/>
  <c r="F1837" i="8"/>
  <c r="F1836" i="8"/>
  <c r="F1835" i="8"/>
  <c r="F1834" i="8"/>
  <c r="F1833" i="8"/>
  <c r="F1832" i="8"/>
  <c r="F1831" i="8"/>
  <c r="F1830" i="8"/>
  <c r="F1829" i="8"/>
  <c r="F1828" i="8"/>
  <c r="F1827" i="8"/>
  <c r="F1826" i="8"/>
  <c r="F1825" i="8"/>
  <c r="F1824" i="8"/>
  <c r="F1823" i="8"/>
  <c r="F1822" i="8"/>
  <c r="F1821" i="8"/>
  <c r="F1820" i="8"/>
  <c r="F1819" i="8"/>
  <c r="F1818" i="8"/>
  <c r="F1817" i="8"/>
  <c r="F1816" i="8"/>
  <c r="F1815" i="8"/>
  <c r="F1814" i="8"/>
  <c r="F1813" i="8"/>
  <c r="F1812" i="8"/>
  <c r="F1811" i="8"/>
  <c r="F1810" i="8"/>
  <c r="F1809" i="8"/>
  <c r="F1808" i="8"/>
  <c r="F1807" i="8"/>
  <c r="F1806" i="8"/>
  <c r="F1805" i="8"/>
  <c r="F1804" i="8"/>
  <c r="F1803" i="8"/>
  <c r="F1802" i="8"/>
  <c r="F1801" i="8"/>
  <c r="F1800" i="8"/>
  <c r="F1799" i="8"/>
  <c r="F1798" i="8"/>
  <c r="F1797" i="8"/>
  <c r="F1796" i="8"/>
  <c r="F1795" i="8"/>
  <c r="F1794" i="8"/>
  <c r="F1793" i="8"/>
  <c r="F1792" i="8"/>
  <c r="F1791" i="8"/>
  <c r="F1790" i="8"/>
  <c r="F1789" i="8"/>
  <c r="F1788" i="8"/>
  <c r="F1787" i="8"/>
  <c r="F1786" i="8"/>
  <c r="F1785" i="8"/>
  <c r="F1784" i="8"/>
  <c r="F1783" i="8"/>
  <c r="F1782" i="8"/>
  <c r="F1781" i="8"/>
  <c r="F1780" i="8"/>
  <c r="F1779" i="8"/>
  <c r="F1778" i="8"/>
  <c r="F1777" i="8"/>
  <c r="F1776" i="8"/>
  <c r="F1775" i="8"/>
  <c r="F1774" i="8"/>
  <c r="F1773" i="8"/>
  <c r="F1772" i="8"/>
  <c r="F1771" i="8"/>
  <c r="F1770" i="8"/>
  <c r="F1769" i="8"/>
  <c r="F1768" i="8"/>
  <c r="F1767" i="8"/>
  <c r="F1766" i="8"/>
  <c r="F1765" i="8"/>
  <c r="F1764" i="8"/>
  <c r="F1763" i="8"/>
  <c r="F1762" i="8"/>
  <c r="F1761" i="8"/>
  <c r="F1760" i="8"/>
  <c r="F1759" i="8"/>
  <c r="F1758" i="8"/>
  <c r="F1757" i="8"/>
  <c r="F1756" i="8"/>
  <c r="F1755" i="8"/>
  <c r="F1754" i="8"/>
  <c r="F1753" i="8"/>
  <c r="F1752" i="8"/>
  <c r="F1751" i="8"/>
  <c r="F1750" i="8"/>
  <c r="F1749" i="8"/>
  <c r="F1748" i="8"/>
  <c r="F1747" i="8"/>
  <c r="F1746" i="8"/>
  <c r="F1745" i="8"/>
  <c r="F1744" i="8"/>
  <c r="F1743" i="8"/>
  <c r="F1742" i="8"/>
  <c r="F1741" i="8"/>
  <c r="F1740" i="8"/>
  <c r="F1739" i="8"/>
  <c r="F1738" i="8"/>
  <c r="F1737" i="8"/>
  <c r="F1736" i="8"/>
  <c r="F1735" i="8"/>
  <c r="F1734" i="8"/>
  <c r="F1733" i="8"/>
  <c r="F1732" i="8"/>
  <c r="F1731" i="8"/>
  <c r="F1730" i="8"/>
  <c r="F1729" i="8"/>
  <c r="F1728" i="8"/>
  <c r="F1727" i="8"/>
  <c r="F1726" i="8"/>
  <c r="F1725" i="8"/>
  <c r="F1724" i="8"/>
  <c r="F1723" i="8"/>
  <c r="F1722" i="8"/>
  <c r="F1721" i="8"/>
  <c r="F1720" i="8"/>
  <c r="F1719" i="8"/>
  <c r="F1718" i="8"/>
  <c r="F1717" i="8"/>
  <c r="F1716" i="8"/>
  <c r="F1715" i="8"/>
  <c r="F1714" i="8"/>
  <c r="F1713" i="8"/>
  <c r="F1712" i="8"/>
  <c r="F1711" i="8"/>
  <c r="F1710" i="8"/>
  <c r="F1709" i="8"/>
  <c r="F1708" i="8"/>
  <c r="F1707" i="8"/>
  <c r="F1706" i="8"/>
  <c r="F1705" i="8"/>
  <c r="F1704" i="8"/>
  <c r="F1703" i="8"/>
  <c r="F1702" i="8"/>
  <c r="F1701" i="8"/>
  <c r="F1700" i="8"/>
  <c r="F1699" i="8"/>
  <c r="F1698" i="8"/>
  <c r="F1697" i="8"/>
  <c r="F1696" i="8"/>
  <c r="F1695" i="8"/>
  <c r="F1694" i="8"/>
  <c r="F1693" i="8"/>
  <c r="F1692" i="8"/>
  <c r="F1691" i="8"/>
  <c r="F1690" i="8"/>
  <c r="F1689" i="8"/>
  <c r="F1688" i="8"/>
  <c r="F1687" i="8"/>
  <c r="F1686" i="8"/>
  <c r="F1685" i="8"/>
  <c r="F1684" i="8"/>
  <c r="F1683" i="8"/>
  <c r="F1682" i="8"/>
  <c r="F1681" i="8"/>
  <c r="F1680" i="8"/>
  <c r="F1679" i="8"/>
  <c r="F1678" i="8"/>
  <c r="F1677" i="8"/>
  <c r="F1676" i="8"/>
  <c r="F1675" i="8"/>
  <c r="F1674" i="8"/>
  <c r="F1673" i="8"/>
  <c r="F1672" i="8"/>
  <c r="F1671" i="8"/>
  <c r="F1670" i="8"/>
  <c r="F1669" i="8"/>
  <c r="F1668" i="8"/>
  <c r="F1667" i="8"/>
  <c r="F1666" i="8"/>
  <c r="F1665" i="8"/>
  <c r="F1664" i="8"/>
  <c r="F1663" i="8"/>
  <c r="F1662" i="8"/>
  <c r="F1661" i="8"/>
  <c r="F1660" i="8"/>
  <c r="F1659" i="8"/>
  <c r="F1658" i="8"/>
  <c r="F1657" i="8"/>
  <c r="F1656" i="8"/>
  <c r="F1655" i="8"/>
  <c r="F1654" i="8"/>
  <c r="F1653" i="8"/>
  <c r="F1652" i="8"/>
  <c r="F1651" i="8"/>
  <c r="F1650" i="8"/>
  <c r="F1649" i="8"/>
  <c r="F1648" i="8"/>
  <c r="F1647" i="8"/>
  <c r="F1646" i="8"/>
  <c r="F1645" i="8"/>
  <c r="F1644" i="8"/>
  <c r="F1643" i="8"/>
  <c r="F1642" i="8"/>
  <c r="F1641" i="8"/>
  <c r="F1640" i="8"/>
  <c r="F1639" i="8"/>
  <c r="F1638" i="8"/>
  <c r="F1637" i="8"/>
  <c r="F1636" i="8"/>
  <c r="F1635" i="8"/>
  <c r="F1634" i="8"/>
  <c r="F1633" i="8"/>
  <c r="F1632" i="8"/>
  <c r="F1631" i="8"/>
  <c r="F1630" i="8"/>
  <c r="F1629" i="8"/>
  <c r="F1628" i="8"/>
  <c r="F1627" i="8"/>
  <c r="F1626" i="8"/>
  <c r="F1625" i="8"/>
  <c r="F1624" i="8"/>
  <c r="F1623" i="8"/>
  <c r="F1622" i="8"/>
  <c r="F1621" i="8"/>
  <c r="F1620" i="8"/>
  <c r="F1619" i="8"/>
  <c r="F1618" i="8"/>
  <c r="F1617" i="8"/>
  <c r="F1616" i="8"/>
  <c r="F1615" i="8"/>
  <c r="F1614" i="8"/>
  <c r="F1613" i="8"/>
  <c r="F1612" i="8"/>
  <c r="F1611" i="8"/>
  <c r="F1610" i="8"/>
  <c r="F1609" i="8"/>
  <c r="F1608" i="8"/>
  <c r="F1607" i="8"/>
  <c r="F1606" i="8"/>
  <c r="F1605" i="8"/>
  <c r="F1604" i="8"/>
  <c r="F1603" i="8"/>
  <c r="F1602" i="8"/>
  <c r="F1601" i="8"/>
  <c r="F1600" i="8"/>
  <c r="F1599" i="8"/>
  <c r="F1598" i="8"/>
  <c r="F1597" i="8"/>
  <c r="F1596" i="8"/>
  <c r="F1595" i="8"/>
  <c r="F1594" i="8"/>
  <c r="F1593" i="8"/>
  <c r="F1592" i="8"/>
  <c r="F1591" i="8"/>
  <c r="F1590" i="8"/>
  <c r="F1589" i="8"/>
  <c r="F1588" i="8"/>
  <c r="F1587" i="8"/>
  <c r="F1586" i="8"/>
  <c r="F1585" i="8"/>
  <c r="F1584" i="8"/>
  <c r="F1583" i="8"/>
  <c r="F1582" i="8"/>
  <c r="F1581" i="8"/>
  <c r="F1580" i="8"/>
  <c r="F1579" i="8"/>
  <c r="F1578" i="8"/>
  <c r="F1577" i="8"/>
  <c r="F1576" i="8"/>
  <c r="F1575" i="8"/>
  <c r="F1574" i="8"/>
  <c r="F1573" i="8"/>
  <c r="F1572" i="8"/>
  <c r="F1571" i="8"/>
  <c r="F1570" i="8"/>
  <c r="F1569" i="8"/>
  <c r="F1568" i="8"/>
  <c r="F1567" i="8"/>
  <c r="F1566" i="8"/>
  <c r="F1565" i="8"/>
  <c r="F1564" i="8"/>
  <c r="F1563" i="8"/>
  <c r="F1562" i="8"/>
  <c r="F1561" i="8"/>
  <c r="F1560" i="8"/>
  <c r="F1559" i="8"/>
  <c r="F1558" i="8"/>
  <c r="F1557" i="8"/>
  <c r="F1556" i="8"/>
  <c r="F1555" i="8"/>
  <c r="F1554" i="8"/>
  <c r="F1553" i="8"/>
  <c r="F1552" i="8"/>
  <c r="F1551" i="8"/>
  <c r="F1550" i="8"/>
  <c r="F1549" i="8"/>
  <c r="F1548" i="8"/>
  <c r="F1547" i="8"/>
  <c r="F1546" i="8"/>
  <c r="F1545" i="8"/>
  <c r="F1544" i="8"/>
  <c r="F1543" i="8"/>
  <c r="F1542" i="8"/>
  <c r="F1541" i="8"/>
  <c r="F1540" i="8"/>
  <c r="F1539" i="8"/>
  <c r="F1538" i="8"/>
  <c r="F1537" i="8"/>
  <c r="F1536" i="8"/>
  <c r="F1535" i="8"/>
  <c r="F1534" i="8"/>
  <c r="F1533" i="8"/>
  <c r="F1532" i="8"/>
  <c r="F1531" i="8"/>
  <c r="F1530" i="8"/>
  <c r="F1529" i="8"/>
  <c r="F1528" i="8"/>
  <c r="F1527" i="8"/>
  <c r="F1526" i="8"/>
  <c r="F1525" i="8"/>
  <c r="F1524" i="8"/>
  <c r="F1523" i="8"/>
  <c r="F1522" i="8"/>
  <c r="F1521" i="8"/>
  <c r="F1520" i="8"/>
  <c r="F1519" i="8"/>
  <c r="F1518" i="8"/>
  <c r="F1517" i="8"/>
  <c r="F1516" i="8"/>
  <c r="F1515" i="8"/>
  <c r="F1514" i="8"/>
  <c r="F1513" i="8"/>
  <c r="F1512" i="8"/>
  <c r="F1511" i="8"/>
  <c r="F1510" i="8"/>
  <c r="F1509" i="8"/>
  <c r="F1508" i="8"/>
  <c r="F1507" i="8"/>
  <c r="F1506" i="8"/>
  <c r="F1505" i="8"/>
  <c r="F1504" i="8"/>
  <c r="F1503" i="8"/>
  <c r="F1502" i="8"/>
  <c r="F1501" i="8"/>
  <c r="F1500" i="8"/>
  <c r="F1499" i="8"/>
  <c r="F1498" i="8"/>
  <c r="F1497" i="8"/>
  <c r="F1496" i="8"/>
  <c r="F1495" i="8"/>
  <c r="F1494" i="8"/>
  <c r="F1493" i="8"/>
  <c r="F1492" i="8"/>
  <c r="F1491" i="8"/>
  <c r="F1490" i="8"/>
  <c r="F1489" i="8"/>
  <c r="F1488" i="8"/>
  <c r="F1487" i="8"/>
  <c r="F1486" i="8"/>
  <c r="F1485" i="8"/>
  <c r="F1484" i="8"/>
  <c r="F1483" i="8"/>
  <c r="F1482" i="8"/>
  <c r="F1481" i="8"/>
  <c r="F1480" i="8"/>
  <c r="F1479" i="8"/>
  <c r="F1478" i="8"/>
  <c r="F1477" i="8"/>
  <c r="F1476" i="8"/>
  <c r="F1475" i="8"/>
  <c r="F1474" i="8"/>
  <c r="F1473" i="8"/>
  <c r="F1472" i="8"/>
  <c r="F1471" i="8"/>
  <c r="F1470" i="8"/>
  <c r="F1469" i="8"/>
  <c r="F1468" i="8"/>
  <c r="F1467" i="8"/>
  <c r="F1466" i="8"/>
  <c r="F1465" i="8"/>
  <c r="F1464" i="8"/>
  <c r="F1463" i="8"/>
  <c r="F1462" i="8"/>
  <c r="F1461" i="8"/>
  <c r="F1460" i="8"/>
  <c r="F1459" i="8"/>
  <c r="F1458" i="8"/>
  <c r="F1457" i="8"/>
  <c r="F1456" i="8"/>
  <c r="F1455" i="8"/>
  <c r="F1454" i="8"/>
  <c r="F1453" i="8"/>
  <c r="F1452" i="8"/>
  <c r="F1451" i="8"/>
  <c r="F1450" i="8"/>
  <c r="F1449" i="8"/>
  <c r="F1448" i="8"/>
  <c r="F1447" i="8"/>
  <c r="F1446" i="8"/>
  <c r="F1445" i="8"/>
  <c r="F1444" i="8"/>
  <c r="F1443" i="8"/>
  <c r="F1442" i="8"/>
  <c r="F1441" i="8"/>
  <c r="F1440" i="8"/>
  <c r="F1439" i="8"/>
  <c r="F1438" i="8"/>
  <c r="F1437" i="8"/>
  <c r="F1436" i="8"/>
  <c r="F1435" i="8"/>
  <c r="F1434" i="8"/>
  <c r="F1433" i="8"/>
  <c r="F1432" i="8"/>
  <c r="F1431" i="8"/>
  <c r="F1430" i="8"/>
  <c r="F1429" i="8"/>
  <c r="F1428" i="8"/>
  <c r="F1427" i="8"/>
  <c r="F1426" i="8"/>
  <c r="F1425" i="8"/>
  <c r="F1424" i="8"/>
  <c r="F1423" i="8"/>
  <c r="F1422" i="8"/>
  <c r="F1421" i="8"/>
  <c r="F1420" i="8"/>
  <c r="F1419" i="8"/>
  <c r="F1418" i="8"/>
  <c r="F1417" i="8"/>
  <c r="F1416" i="8"/>
  <c r="F1415" i="8"/>
  <c r="F1414" i="8"/>
  <c r="F1413" i="8"/>
  <c r="F1412" i="8"/>
  <c r="F1411" i="8"/>
  <c r="F1410" i="8"/>
  <c r="F1409" i="8"/>
  <c r="F1408" i="8"/>
  <c r="F1407" i="8"/>
  <c r="F1406" i="8"/>
  <c r="F1405" i="8"/>
  <c r="F1404" i="8"/>
  <c r="F1403" i="8"/>
  <c r="F1402" i="8"/>
  <c r="F1401" i="8"/>
  <c r="F1400" i="8"/>
  <c r="F1399" i="8"/>
  <c r="F1398" i="8"/>
  <c r="F1397" i="8"/>
  <c r="F1396" i="8"/>
  <c r="F1395" i="8"/>
  <c r="F1394" i="8"/>
  <c r="F1393" i="8"/>
  <c r="F1392" i="8"/>
  <c r="F1391" i="8"/>
  <c r="F1390" i="8"/>
  <c r="F1389" i="8"/>
  <c r="F1388" i="8"/>
  <c r="F1387" i="8"/>
  <c r="F1386" i="8"/>
  <c r="F1385" i="8"/>
  <c r="F1384" i="8"/>
  <c r="F1383" i="8"/>
  <c r="F1382" i="8"/>
  <c r="F1381" i="8"/>
  <c r="F1380" i="8"/>
  <c r="F1379" i="8"/>
  <c r="F1378" i="8"/>
  <c r="F1377" i="8"/>
  <c r="F1376" i="8"/>
  <c r="F1375" i="8"/>
  <c r="F1374" i="8"/>
  <c r="F1373" i="8"/>
  <c r="F1372" i="8"/>
  <c r="F1371" i="8"/>
  <c r="F1370" i="8"/>
  <c r="F1369" i="8"/>
  <c r="F1368" i="8"/>
  <c r="F1367" i="8"/>
  <c r="F1366" i="8"/>
  <c r="F1365" i="8"/>
  <c r="F1364" i="8"/>
  <c r="F1363" i="8"/>
  <c r="F1362" i="8"/>
  <c r="F1361" i="8"/>
  <c r="F1360" i="8"/>
  <c r="F1359" i="8"/>
  <c r="F1358" i="8"/>
  <c r="F1357" i="8"/>
  <c r="F1356" i="8"/>
  <c r="F1355" i="8"/>
  <c r="F1354" i="8"/>
  <c r="F1353" i="8"/>
  <c r="F1352" i="8"/>
  <c r="F1351" i="8"/>
  <c r="F1350" i="8"/>
  <c r="F1349" i="8"/>
  <c r="F1348" i="8"/>
  <c r="F1347" i="8"/>
  <c r="F1346" i="8"/>
  <c r="F1345" i="8"/>
  <c r="F1344" i="8"/>
  <c r="F1343" i="8"/>
  <c r="F1342" i="8"/>
  <c r="F1341" i="8"/>
  <c r="F1340" i="8"/>
  <c r="F1339" i="8"/>
  <c r="F1338" i="8"/>
  <c r="F1337" i="8"/>
  <c r="F1336" i="8"/>
  <c r="F1335" i="8"/>
  <c r="F1334" i="8"/>
  <c r="F1333" i="8"/>
  <c r="F1332" i="8"/>
  <c r="F1331" i="8"/>
  <c r="F1330" i="8"/>
  <c r="F1329" i="8"/>
  <c r="F1328" i="8"/>
  <c r="F1327" i="8"/>
  <c r="F1326" i="8"/>
  <c r="F1325" i="8"/>
  <c r="F1324" i="8"/>
  <c r="F1323" i="8"/>
  <c r="F1322" i="8"/>
  <c r="F1321" i="8"/>
  <c r="F1320" i="8"/>
  <c r="F1319" i="8"/>
  <c r="F1318" i="8"/>
  <c r="F1317" i="8"/>
  <c r="F1316" i="8"/>
  <c r="F1315" i="8"/>
  <c r="F1314" i="8"/>
  <c r="F1313" i="8"/>
  <c r="F1312" i="8"/>
  <c r="F1311" i="8"/>
  <c r="F1310" i="8"/>
  <c r="F1309" i="8"/>
  <c r="F1308" i="8"/>
  <c r="F1307" i="8"/>
  <c r="F1306" i="8"/>
  <c r="F1305" i="8"/>
  <c r="F1304" i="8"/>
  <c r="F1303" i="8"/>
  <c r="F1302" i="8"/>
  <c r="F1301" i="8"/>
  <c r="F1300" i="8"/>
  <c r="F1299" i="8"/>
  <c r="F1298" i="8"/>
  <c r="F1297" i="8"/>
  <c r="F1296" i="8"/>
  <c r="F1295" i="8"/>
  <c r="F1294" i="8"/>
  <c r="F1293" i="8"/>
  <c r="F1292" i="8"/>
  <c r="F1291" i="8"/>
  <c r="F1290" i="8"/>
  <c r="F1289" i="8"/>
  <c r="F1288" i="8"/>
  <c r="F1287" i="8"/>
  <c r="F1286" i="8"/>
  <c r="F1285" i="8"/>
  <c r="F1284" i="8"/>
  <c r="F1283" i="8"/>
  <c r="F1282" i="8"/>
  <c r="F1281" i="8"/>
  <c r="F1280" i="8"/>
  <c r="F1279" i="8"/>
  <c r="F1278" i="8"/>
  <c r="F1277" i="8"/>
  <c r="F1276" i="8"/>
  <c r="F1275" i="8"/>
  <c r="F1274" i="8"/>
  <c r="F1273" i="8"/>
  <c r="F1272" i="8"/>
  <c r="F1271" i="8"/>
  <c r="F1270" i="8"/>
  <c r="F1269" i="8"/>
  <c r="F1268" i="8"/>
  <c r="F1267" i="8"/>
  <c r="F1266" i="8"/>
  <c r="F1265" i="8"/>
  <c r="F1264" i="8"/>
  <c r="F1263" i="8"/>
  <c r="F1262" i="8"/>
  <c r="F1261" i="8"/>
  <c r="F1260" i="8"/>
  <c r="F1259" i="8"/>
  <c r="F1258" i="8"/>
  <c r="F1257" i="8"/>
  <c r="F1256" i="8"/>
  <c r="F1255" i="8"/>
  <c r="F1254" i="8"/>
  <c r="F1253" i="8"/>
  <c r="F1252" i="8"/>
  <c r="F1251" i="8"/>
  <c r="F1250" i="8"/>
  <c r="F1249" i="8"/>
  <c r="F1248" i="8"/>
  <c r="F1247" i="8"/>
  <c r="F1246" i="8"/>
  <c r="F1245" i="8"/>
  <c r="F1244" i="8"/>
  <c r="F1243" i="8"/>
  <c r="F1242" i="8"/>
  <c r="F1241" i="8"/>
  <c r="F1240" i="8"/>
  <c r="F1239" i="8"/>
  <c r="F1238" i="8"/>
  <c r="F1237" i="8"/>
  <c r="F1236" i="8"/>
  <c r="F1235" i="8"/>
  <c r="F1234" i="8"/>
  <c r="F1233" i="8"/>
  <c r="F1232" i="8"/>
  <c r="F1231" i="8"/>
  <c r="F1230" i="8"/>
  <c r="F1229" i="8"/>
  <c r="F1228" i="8"/>
  <c r="F1227" i="8"/>
  <c r="F1226" i="8"/>
  <c r="F1225" i="8"/>
  <c r="F1224" i="8"/>
  <c r="F1223" i="8"/>
  <c r="F1222" i="8"/>
  <c r="F1221" i="8"/>
  <c r="F1220" i="8"/>
  <c r="F1219" i="8"/>
  <c r="F1218" i="8"/>
  <c r="F1217" i="8"/>
  <c r="F1216" i="8"/>
  <c r="F1215" i="8"/>
  <c r="F1214" i="8"/>
  <c r="F1213" i="8"/>
  <c r="F1212" i="8"/>
  <c r="F1211" i="8"/>
  <c r="F1210" i="8"/>
  <c r="F1209" i="8"/>
  <c r="F1208" i="8"/>
  <c r="F1207" i="8"/>
  <c r="F1206" i="8"/>
  <c r="F1205" i="8"/>
  <c r="F1204" i="8"/>
  <c r="F1203" i="8"/>
  <c r="F1202" i="8"/>
  <c r="F1201" i="8"/>
  <c r="F1200" i="8"/>
  <c r="F1199" i="8"/>
  <c r="F1198" i="8"/>
  <c r="F1197" i="8"/>
  <c r="F1196" i="8"/>
  <c r="F1195" i="8"/>
  <c r="F1194" i="8"/>
  <c r="F1193" i="8"/>
  <c r="F1192" i="8"/>
  <c r="F1191" i="8"/>
  <c r="F1190" i="8"/>
  <c r="F1189" i="8"/>
  <c r="F1188" i="8"/>
  <c r="F1187" i="8"/>
  <c r="F1186" i="8"/>
  <c r="F1185" i="8"/>
  <c r="F1184" i="8"/>
  <c r="F1183" i="8"/>
  <c r="F1182" i="8"/>
  <c r="F1181" i="8"/>
  <c r="F1180" i="8"/>
  <c r="F1179" i="8"/>
  <c r="F1178" i="8"/>
  <c r="F1177" i="8"/>
  <c r="F1176" i="8"/>
  <c r="F1175" i="8"/>
  <c r="F1174" i="8"/>
  <c r="F1173" i="8"/>
  <c r="F1172" i="8"/>
  <c r="F1171" i="8"/>
  <c r="F1170" i="8"/>
  <c r="F1169" i="8"/>
  <c r="F1168" i="8"/>
  <c r="F1167" i="8"/>
  <c r="F1166" i="8"/>
  <c r="F1165" i="8"/>
  <c r="F1164" i="8"/>
  <c r="F1163" i="8"/>
  <c r="F1162" i="8"/>
  <c r="F1161" i="8"/>
  <c r="F1160" i="8"/>
  <c r="F1159" i="8"/>
  <c r="F1158" i="8"/>
  <c r="F1157" i="8"/>
  <c r="F1156" i="8"/>
  <c r="F1155" i="8"/>
  <c r="F1154" i="8"/>
  <c r="F1153" i="8"/>
  <c r="F1152" i="8"/>
  <c r="F1151" i="8"/>
  <c r="F1150" i="8"/>
  <c r="F1149" i="8"/>
  <c r="F1148" i="8"/>
  <c r="F1147" i="8"/>
  <c r="F1146" i="8"/>
  <c r="F1145" i="8"/>
  <c r="F1144" i="8"/>
  <c r="F1143" i="8"/>
  <c r="F1142" i="8"/>
  <c r="F1141" i="8"/>
  <c r="F1140" i="8"/>
  <c r="F1139" i="8"/>
  <c r="F1138" i="8"/>
  <c r="F1137" i="8"/>
  <c r="F1136" i="8"/>
  <c r="F1135" i="8"/>
  <c r="F1134" i="8"/>
  <c r="F1133" i="8"/>
  <c r="F1132" i="8"/>
  <c r="F1131" i="8"/>
  <c r="F1130" i="8"/>
  <c r="F1129" i="8"/>
  <c r="F1128" i="8"/>
  <c r="F1127" i="8"/>
  <c r="F1126" i="8"/>
  <c r="F1125" i="8"/>
  <c r="F1124" i="8"/>
  <c r="F1123" i="8"/>
  <c r="F1122" i="8"/>
  <c r="F1121" i="8"/>
  <c r="F1120" i="8"/>
  <c r="F1119" i="8"/>
  <c r="F1118" i="8"/>
  <c r="F1117" i="8"/>
  <c r="F1116" i="8"/>
  <c r="F1115" i="8"/>
  <c r="F1114" i="8"/>
  <c r="F1113" i="8"/>
  <c r="F1112" i="8"/>
  <c r="F1111" i="8"/>
  <c r="F1110" i="8"/>
  <c r="F1109" i="8"/>
  <c r="F1108" i="8"/>
  <c r="F1107" i="8"/>
  <c r="F1106" i="8"/>
  <c r="F1105" i="8"/>
  <c r="F1104" i="8"/>
  <c r="F1103" i="8"/>
  <c r="F1102" i="8"/>
  <c r="F1101" i="8"/>
  <c r="F1100" i="8"/>
  <c r="F1099" i="8"/>
  <c r="F1098" i="8"/>
  <c r="F1097" i="8"/>
  <c r="F1096" i="8"/>
  <c r="F1095" i="8"/>
  <c r="F1094" i="8"/>
  <c r="F1093" i="8"/>
  <c r="F1092" i="8"/>
  <c r="F1091" i="8"/>
  <c r="F1090" i="8"/>
  <c r="F1089" i="8"/>
  <c r="F1088" i="8"/>
  <c r="F1087" i="8"/>
  <c r="F1086" i="8"/>
  <c r="F1085" i="8"/>
  <c r="F1084" i="8"/>
  <c r="F1083" i="8"/>
  <c r="F1082" i="8"/>
  <c r="F1081" i="8"/>
  <c r="F1080" i="8"/>
  <c r="F1079" i="8"/>
  <c r="F1078" i="8"/>
  <c r="F1077" i="8"/>
  <c r="F1076" i="8"/>
  <c r="F1075" i="8"/>
  <c r="F1074" i="8"/>
  <c r="F1073" i="8"/>
  <c r="F1072" i="8"/>
  <c r="F1071" i="8"/>
  <c r="F1070" i="8"/>
  <c r="F1069" i="8"/>
  <c r="F1068" i="8"/>
  <c r="F1067" i="8"/>
  <c r="F1066" i="8"/>
  <c r="F1065" i="8"/>
  <c r="F1064" i="8"/>
  <c r="F1063" i="8"/>
  <c r="F1062" i="8"/>
  <c r="F1061" i="8"/>
  <c r="F1060" i="8"/>
  <c r="F1059" i="8"/>
  <c r="F1058" i="8"/>
  <c r="F1057" i="8"/>
  <c r="F1056" i="8"/>
  <c r="F1055" i="8"/>
  <c r="F1054" i="8"/>
  <c r="F1053" i="8"/>
  <c r="F1052" i="8"/>
  <c r="F1051" i="8"/>
  <c r="F1050" i="8"/>
  <c r="F1049" i="8"/>
  <c r="F1048" i="8"/>
  <c r="F1047" i="8"/>
  <c r="F1046" i="8"/>
  <c r="F1045" i="8"/>
  <c r="F1044" i="8"/>
  <c r="F1043" i="8"/>
  <c r="F1042" i="8"/>
  <c r="F1041" i="8"/>
  <c r="F1040" i="8"/>
  <c r="F1039" i="8"/>
  <c r="F1038" i="8"/>
  <c r="F1037" i="8"/>
  <c r="F1036" i="8"/>
  <c r="F1035" i="8"/>
  <c r="F1034" i="8"/>
  <c r="F1033" i="8"/>
  <c r="F1032" i="8"/>
  <c r="F1031" i="8"/>
  <c r="F1030" i="8"/>
  <c r="F1029" i="8"/>
  <c r="F1028" i="8"/>
  <c r="F1027" i="8"/>
  <c r="F1026" i="8"/>
  <c r="F1025" i="8"/>
  <c r="F1024" i="8"/>
  <c r="F1023" i="8"/>
  <c r="F1022" i="8"/>
  <c r="F1021" i="8"/>
  <c r="F1020" i="8"/>
  <c r="F1019" i="8"/>
  <c r="F1018" i="8"/>
  <c r="F1017" i="8"/>
  <c r="F1016" i="8"/>
  <c r="F1015" i="8"/>
  <c r="F1014" i="8"/>
  <c r="F1013" i="8"/>
  <c r="F1012" i="8"/>
  <c r="F1011" i="8"/>
  <c r="F1010" i="8"/>
  <c r="F1009" i="8"/>
  <c r="F1008" i="8"/>
  <c r="F1007" i="8"/>
  <c r="F1006" i="8"/>
  <c r="F1005" i="8"/>
  <c r="F1004" i="8"/>
  <c r="F1003" i="8"/>
  <c r="F1002" i="8"/>
  <c r="F1001" i="8"/>
  <c r="F1000" i="8"/>
  <c r="F999" i="8"/>
  <c r="F998" i="8"/>
  <c r="F997" i="8"/>
  <c r="F996" i="8"/>
  <c r="F995" i="8"/>
  <c r="F994" i="8"/>
  <c r="F993" i="8"/>
  <c r="F992" i="8"/>
  <c r="F991" i="8"/>
  <c r="F990" i="8"/>
  <c r="F989" i="8"/>
  <c r="F988" i="8"/>
  <c r="F987" i="8"/>
  <c r="F986" i="8"/>
  <c r="F985" i="8"/>
  <c r="F984" i="8"/>
  <c r="F983" i="8"/>
  <c r="F982" i="8"/>
  <c r="F981" i="8"/>
  <c r="F980" i="8"/>
  <c r="F979" i="8"/>
  <c r="F978" i="8"/>
  <c r="F977" i="8"/>
  <c r="F976" i="8"/>
  <c r="F975" i="8"/>
  <c r="F974" i="8"/>
  <c r="F973" i="8"/>
  <c r="F972" i="8"/>
  <c r="F971" i="8"/>
  <c r="F970" i="8"/>
  <c r="F969" i="8"/>
  <c r="F968" i="8"/>
  <c r="F967" i="8"/>
  <c r="F966" i="8"/>
  <c r="F965" i="8"/>
  <c r="F964" i="8"/>
  <c r="F963" i="8"/>
  <c r="F962" i="8"/>
  <c r="F961" i="8"/>
  <c r="F960" i="8"/>
  <c r="F959" i="8"/>
  <c r="F958" i="8"/>
  <c r="F957" i="8"/>
  <c r="F956" i="8"/>
  <c r="F955" i="8"/>
  <c r="F954" i="8"/>
  <c r="F953" i="8"/>
  <c r="F952" i="8"/>
  <c r="F951" i="8"/>
  <c r="F950" i="8"/>
  <c r="F949" i="8"/>
  <c r="F948" i="8"/>
  <c r="F947" i="8"/>
  <c r="F946" i="8"/>
  <c r="F945" i="8"/>
  <c r="F944" i="8"/>
  <c r="F943" i="8"/>
  <c r="F942" i="8"/>
  <c r="F941" i="8"/>
  <c r="F940" i="8"/>
  <c r="F939" i="8"/>
  <c r="F938" i="8"/>
  <c r="F937" i="8"/>
  <c r="F936" i="8"/>
  <c r="F935" i="8"/>
  <c r="F934" i="8"/>
  <c r="F933" i="8"/>
  <c r="F932" i="8"/>
  <c r="F931" i="8"/>
  <c r="F930" i="8"/>
  <c r="F929" i="8"/>
  <c r="F928" i="8"/>
  <c r="F927" i="8"/>
  <c r="F926" i="8"/>
  <c r="F925" i="8"/>
  <c r="F924" i="8"/>
  <c r="F923" i="8"/>
  <c r="F922" i="8"/>
  <c r="F921" i="8"/>
  <c r="F920" i="8"/>
  <c r="F919" i="8"/>
  <c r="F918" i="8"/>
  <c r="F917" i="8"/>
  <c r="F916" i="8"/>
  <c r="F915" i="8"/>
  <c r="F914" i="8"/>
  <c r="F913" i="8"/>
  <c r="F912" i="8"/>
  <c r="F911" i="8"/>
  <c r="F910" i="8"/>
  <c r="F909" i="8"/>
  <c r="F908" i="8"/>
  <c r="F907" i="8"/>
  <c r="F906" i="8"/>
  <c r="F905" i="8"/>
  <c r="F904" i="8"/>
  <c r="F903" i="8"/>
  <c r="F902" i="8"/>
  <c r="F901" i="8"/>
  <c r="F900" i="8"/>
  <c r="F899" i="8"/>
  <c r="F898" i="8"/>
  <c r="F897" i="8"/>
  <c r="F896" i="8"/>
  <c r="F895" i="8"/>
  <c r="F894" i="8"/>
  <c r="F893" i="8"/>
  <c r="F892" i="8"/>
  <c r="F891" i="8"/>
  <c r="F890" i="8"/>
  <c r="F889" i="8"/>
  <c r="F888" i="8"/>
  <c r="F887" i="8"/>
  <c r="F886" i="8"/>
  <c r="F885" i="8"/>
  <c r="F884" i="8"/>
  <c r="F883" i="8"/>
  <c r="F882" i="8"/>
  <c r="F881" i="8"/>
  <c r="F880" i="8"/>
  <c r="F879" i="8"/>
  <c r="F878" i="8"/>
  <c r="F877" i="8"/>
  <c r="F876" i="8"/>
  <c r="F875" i="8"/>
  <c r="F874" i="8"/>
  <c r="F873" i="8"/>
  <c r="F872" i="8"/>
  <c r="F871" i="8"/>
  <c r="F870" i="8"/>
  <c r="F869" i="8"/>
  <c r="F868" i="8"/>
  <c r="F867" i="8"/>
  <c r="F866" i="8"/>
  <c r="F865" i="8"/>
  <c r="F864" i="8"/>
  <c r="F863" i="8"/>
  <c r="F862" i="8"/>
  <c r="F861" i="8"/>
  <c r="F860" i="8"/>
  <c r="F859" i="8"/>
  <c r="F858" i="8"/>
  <c r="F857" i="8"/>
  <c r="F856" i="8"/>
  <c r="F855" i="8"/>
  <c r="F854" i="8"/>
  <c r="F853" i="8"/>
  <c r="F852" i="8"/>
  <c r="F851" i="8"/>
  <c r="F850" i="8"/>
  <c r="F849" i="8"/>
  <c r="F848" i="8"/>
  <c r="F847" i="8"/>
  <c r="F846" i="8"/>
  <c r="F845" i="8"/>
  <c r="F844" i="8"/>
  <c r="F843" i="8"/>
  <c r="F842" i="8"/>
  <c r="F841" i="8"/>
  <c r="F840" i="8"/>
  <c r="F839" i="8"/>
  <c r="F838" i="8"/>
  <c r="F837" i="8"/>
  <c r="F836" i="8"/>
  <c r="F835" i="8"/>
  <c r="F834" i="8"/>
  <c r="F833" i="8"/>
  <c r="F832" i="8"/>
  <c r="F831" i="8"/>
  <c r="F830" i="8"/>
  <c r="F829" i="8"/>
  <c r="F828" i="8"/>
  <c r="F827" i="8"/>
  <c r="F826" i="8"/>
  <c r="F825" i="8"/>
  <c r="F824" i="8"/>
  <c r="F823" i="8"/>
  <c r="F822" i="8"/>
  <c r="F821" i="8"/>
  <c r="F820" i="8"/>
  <c r="F819" i="8"/>
  <c r="F818" i="8"/>
  <c r="F817" i="8"/>
  <c r="F816" i="8"/>
  <c r="F815" i="8"/>
  <c r="F814" i="8"/>
  <c r="F813" i="8"/>
  <c r="F812" i="8"/>
  <c r="F811" i="8"/>
  <c r="F810" i="8"/>
  <c r="F809" i="8"/>
  <c r="F808" i="8"/>
  <c r="F807" i="8"/>
  <c r="F806" i="8"/>
  <c r="F805" i="8"/>
  <c r="F804" i="8"/>
  <c r="F803" i="8"/>
  <c r="F802" i="8"/>
  <c r="F801" i="8"/>
  <c r="F800" i="8"/>
  <c r="F799" i="8"/>
  <c r="F798" i="8"/>
  <c r="F797" i="8"/>
  <c r="F796" i="8"/>
  <c r="F795" i="8"/>
  <c r="F794" i="8"/>
  <c r="F793" i="8"/>
  <c r="F792" i="8"/>
  <c r="F791" i="8"/>
  <c r="F790" i="8"/>
  <c r="F789" i="8"/>
  <c r="F788" i="8"/>
  <c r="F787" i="8"/>
  <c r="F786" i="8"/>
  <c r="F785" i="8"/>
  <c r="F784" i="8"/>
  <c r="F783" i="8"/>
  <c r="F782" i="8"/>
  <c r="F781" i="8"/>
  <c r="F780" i="8"/>
  <c r="F779" i="8"/>
  <c r="F778" i="8"/>
  <c r="F777" i="8"/>
  <c r="F776" i="8"/>
  <c r="F775" i="8"/>
  <c r="F774" i="8"/>
  <c r="F773" i="8"/>
  <c r="F772" i="8"/>
  <c r="F771" i="8"/>
  <c r="F770" i="8"/>
  <c r="F769" i="8"/>
  <c r="F768" i="8"/>
  <c r="F767" i="8"/>
  <c r="F766" i="8"/>
  <c r="F765" i="8"/>
  <c r="F764" i="8"/>
  <c r="F763" i="8"/>
  <c r="F762" i="8"/>
  <c r="F761" i="8"/>
  <c r="F760" i="8"/>
  <c r="F759" i="8"/>
  <c r="F758" i="8"/>
  <c r="F757" i="8"/>
  <c r="F756" i="8"/>
  <c r="F755" i="8"/>
  <c r="F754" i="8"/>
  <c r="F753" i="8"/>
  <c r="F752" i="8"/>
  <c r="F751" i="8"/>
  <c r="F750" i="8"/>
  <c r="F749" i="8"/>
  <c r="F748" i="8"/>
  <c r="F747" i="8"/>
  <c r="F746" i="8"/>
  <c r="F745" i="8"/>
  <c r="F744" i="8"/>
  <c r="F743" i="8"/>
  <c r="F742" i="8"/>
  <c r="F741" i="8"/>
  <c r="F740" i="8"/>
  <c r="F739" i="8"/>
  <c r="F738" i="8"/>
  <c r="F737" i="8"/>
  <c r="F736" i="8"/>
  <c r="F735" i="8"/>
  <c r="F734" i="8"/>
  <c r="F733" i="8"/>
  <c r="F732" i="8"/>
  <c r="F731" i="8"/>
  <c r="F730" i="8"/>
  <c r="F729" i="8"/>
  <c r="F728" i="8"/>
  <c r="F727" i="8"/>
  <c r="F726" i="8"/>
  <c r="F725" i="8"/>
  <c r="F724" i="8"/>
  <c r="F723" i="8"/>
  <c r="F722" i="8"/>
  <c r="F721" i="8"/>
  <c r="F720" i="8"/>
  <c r="F719" i="8"/>
  <c r="F718" i="8"/>
  <c r="F717" i="8"/>
  <c r="F716" i="8"/>
  <c r="F715" i="8"/>
  <c r="F714" i="8"/>
  <c r="F713" i="8"/>
  <c r="F712" i="8"/>
  <c r="F711" i="8"/>
  <c r="F710" i="8"/>
  <c r="F709" i="8"/>
  <c r="F708" i="8"/>
  <c r="F707" i="8"/>
  <c r="F706" i="8"/>
  <c r="F705" i="8"/>
  <c r="F704" i="8"/>
  <c r="F703" i="8"/>
  <c r="F702" i="8"/>
  <c r="F701" i="8"/>
  <c r="F700" i="8"/>
  <c r="F699" i="8"/>
  <c r="F698" i="8"/>
  <c r="F697" i="8"/>
  <c r="F696" i="8"/>
  <c r="F695" i="8"/>
  <c r="F694" i="8"/>
  <c r="F693" i="8"/>
  <c r="F692" i="8"/>
  <c r="F691" i="8"/>
  <c r="F690" i="8"/>
  <c r="F689" i="8"/>
  <c r="F688" i="8"/>
  <c r="F687" i="8"/>
  <c r="F686" i="8"/>
  <c r="F685" i="8"/>
  <c r="F684" i="8"/>
  <c r="F683" i="8"/>
  <c r="F682" i="8"/>
  <c r="F681" i="8"/>
  <c r="F680" i="8"/>
  <c r="F679" i="8"/>
  <c r="F678" i="8"/>
  <c r="F677" i="8"/>
  <c r="F676" i="8"/>
  <c r="F675" i="8"/>
  <c r="F674" i="8"/>
  <c r="F673" i="8"/>
  <c r="F672" i="8"/>
  <c r="F671" i="8"/>
  <c r="F670" i="8"/>
  <c r="F669" i="8"/>
  <c r="F668" i="8"/>
  <c r="F667" i="8"/>
  <c r="F666" i="8"/>
  <c r="F665" i="8"/>
  <c r="F664" i="8"/>
  <c r="F663" i="8"/>
  <c r="F662" i="8"/>
  <c r="F661" i="8"/>
  <c r="F660" i="8"/>
  <c r="F659" i="8"/>
  <c r="F658" i="8"/>
  <c r="F657" i="8"/>
  <c r="F656" i="8"/>
  <c r="F655" i="8"/>
  <c r="F654" i="8"/>
  <c r="F653" i="8"/>
  <c r="F652" i="8"/>
  <c r="F651" i="8"/>
  <c r="F650" i="8"/>
  <c r="F649" i="8"/>
  <c r="F648" i="8"/>
  <c r="F647" i="8"/>
  <c r="F646" i="8"/>
  <c r="F645" i="8"/>
  <c r="F644" i="8"/>
  <c r="F643" i="8"/>
  <c r="F642" i="8"/>
  <c r="F641" i="8"/>
  <c r="F640" i="8"/>
  <c r="F639" i="8"/>
  <c r="F638" i="8"/>
  <c r="F637" i="8"/>
  <c r="F636" i="8"/>
  <c r="F635" i="8"/>
  <c r="F634" i="8"/>
  <c r="F633" i="8"/>
  <c r="F632" i="8"/>
  <c r="F631" i="8"/>
  <c r="F630" i="8"/>
  <c r="F629" i="8"/>
  <c r="F628" i="8"/>
  <c r="F627" i="8"/>
  <c r="F626" i="8"/>
  <c r="F625" i="8"/>
  <c r="F624" i="8"/>
  <c r="F623" i="8"/>
  <c r="F622" i="8"/>
  <c r="F621" i="8"/>
  <c r="F620" i="8"/>
  <c r="F619" i="8"/>
  <c r="F618" i="8"/>
  <c r="F617" i="8"/>
  <c r="F616" i="8"/>
  <c r="F615" i="8"/>
  <c r="F614" i="8"/>
  <c r="F613" i="8"/>
  <c r="F612" i="8"/>
  <c r="F611" i="8"/>
  <c r="F610" i="8"/>
  <c r="F609" i="8"/>
  <c r="F608" i="8"/>
  <c r="F607" i="8"/>
  <c r="F606" i="8"/>
  <c r="F605" i="8"/>
  <c r="F604" i="8"/>
  <c r="F603" i="8"/>
  <c r="F602" i="8"/>
  <c r="F601" i="8"/>
  <c r="F600" i="8"/>
  <c r="F599" i="8"/>
  <c r="F598" i="8"/>
  <c r="F597" i="8"/>
  <c r="F596" i="8"/>
  <c r="F595" i="8"/>
  <c r="F594" i="8"/>
  <c r="F593" i="8"/>
  <c r="F592" i="8"/>
  <c r="F591" i="8"/>
  <c r="F590" i="8"/>
  <c r="F589" i="8"/>
  <c r="F588" i="8"/>
  <c r="F587" i="8"/>
  <c r="F586" i="8"/>
  <c r="F585" i="8"/>
  <c r="F584" i="8"/>
  <c r="F583" i="8"/>
  <c r="F582" i="8"/>
  <c r="F581" i="8"/>
  <c r="F580" i="8"/>
  <c r="F579" i="8"/>
  <c r="F578" i="8"/>
  <c r="F577" i="8"/>
  <c r="F576" i="8"/>
  <c r="F575" i="8"/>
  <c r="F574" i="8"/>
  <c r="F573" i="8"/>
  <c r="F572" i="8"/>
  <c r="F571" i="8"/>
  <c r="F570" i="8"/>
  <c r="F569" i="8"/>
  <c r="F568" i="8"/>
  <c r="F567" i="8"/>
  <c r="F566" i="8"/>
  <c r="F565" i="8"/>
  <c r="F564" i="8"/>
  <c r="F563" i="8"/>
  <c r="F562" i="8"/>
  <c r="F561" i="8"/>
  <c r="F560" i="8"/>
  <c r="F559" i="8"/>
  <c r="F558" i="8"/>
  <c r="F557" i="8"/>
  <c r="F556" i="8"/>
  <c r="F555" i="8"/>
  <c r="F554" i="8"/>
  <c r="F553" i="8"/>
  <c r="F552" i="8"/>
  <c r="F551" i="8"/>
  <c r="F550" i="8"/>
  <c r="F549" i="8"/>
  <c r="F548" i="8"/>
  <c r="F547" i="8"/>
  <c r="F546" i="8"/>
  <c r="F545" i="8"/>
  <c r="F544" i="8"/>
  <c r="F543" i="8"/>
  <c r="F542" i="8"/>
  <c r="F541" i="8"/>
  <c r="F540" i="8"/>
  <c r="F539" i="8"/>
  <c r="F538" i="8"/>
  <c r="F537" i="8"/>
  <c r="F536" i="8"/>
  <c r="F535" i="8"/>
  <c r="F534" i="8"/>
  <c r="F533" i="8"/>
  <c r="F532" i="8"/>
  <c r="F531" i="8"/>
  <c r="F530" i="8"/>
  <c r="F529" i="8"/>
  <c r="F528" i="8"/>
  <c r="F527" i="8"/>
  <c r="F526" i="8"/>
  <c r="F525" i="8"/>
  <c r="F524" i="8"/>
  <c r="F523" i="8"/>
  <c r="F522" i="8"/>
  <c r="F521" i="8"/>
  <c r="F520" i="8"/>
  <c r="F519" i="8"/>
  <c r="F518" i="8"/>
  <c r="F517" i="8"/>
  <c r="F516" i="8"/>
  <c r="F515" i="8"/>
  <c r="F514" i="8"/>
  <c r="F513" i="8"/>
  <c r="F512" i="8"/>
  <c r="F511" i="8"/>
  <c r="F510" i="8"/>
  <c r="F509" i="8"/>
  <c r="F508" i="8"/>
  <c r="F507" i="8"/>
  <c r="F506" i="8"/>
  <c r="F505" i="8"/>
  <c r="F504" i="8"/>
  <c r="F503" i="8"/>
  <c r="F502" i="8"/>
  <c r="F501" i="8"/>
  <c r="F500" i="8"/>
  <c r="F499" i="8"/>
  <c r="F498" i="8"/>
  <c r="F497" i="8"/>
  <c r="F496" i="8"/>
  <c r="F495" i="8"/>
  <c r="F494" i="8"/>
  <c r="F493" i="8"/>
  <c r="F492" i="8"/>
  <c r="F491" i="8"/>
  <c r="F490" i="8"/>
  <c r="F489" i="8"/>
  <c r="F488" i="8"/>
  <c r="F487" i="8"/>
  <c r="F486" i="8"/>
  <c r="F485" i="8"/>
  <c r="F484" i="8"/>
  <c r="F483" i="8"/>
  <c r="F482" i="8"/>
  <c r="F481" i="8"/>
  <c r="F480" i="8"/>
  <c r="F479" i="8"/>
  <c r="F478" i="8"/>
  <c r="F477" i="8"/>
  <c r="F476" i="8"/>
  <c r="F475" i="8"/>
  <c r="F474" i="8"/>
  <c r="F473" i="8"/>
  <c r="F472" i="8"/>
  <c r="F471" i="8"/>
  <c r="F470" i="8"/>
  <c r="F469" i="8"/>
  <c r="F468" i="8"/>
  <c r="F467" i="8"/>
  <c r="F466" i="8"/>
  <c r="F465" i="8"/>
  <c r="F464" i="8"/>
  <c r="F463" i="8"/>
  <c r="F462" i="8"/>
  <c r="F461" i="8"/>
  <c r="F460" i="8"/>
  <c r="F459" i="8"/>
  <c r="F458" i="8"/>
  <c r="F457" i="8"/>
  <c r="F456" i="8"/>
  <c r="F455" i="8"/>
  <c r="F454" i="8"/>
  <c r="F453" i="8"/>
  <c r="F452" i="8"/>
  <c r="F451" i="8"/>
  <c r="F450" i="8"/>
  <c r="F449" i="8"/>
  <c r="F448" i="8"/>
  <c r="F447" i="8"/>
  <c r="F446" i="8"/>
  <c r="F445" i="8"/>
  <c r="F444" i="8"/>
  <c r="F443" i="8"/>
  <c r="F442" i="8"/>
  <c r="F441" i="8"/>
  <c r="F440" i="8"/>
  <c r="F439" i="8"/>
  <c r="F438" i="8"/>
  <c r="F437" i="8"/>
  <c r="F436" i="8"/>
  <c r="F435" i="8"/>
  <c r="F434" i="8"/>
  <c r="F433" i="8"/>
  <c r="F432" i="8"/>
  <c r="F431" i="8"/>
  <c r="F430" i="8"/>
  <c r="F429" i="8"/>
  <c r="F428" i="8"/>
  <c r="F427" i="8"/>
  <c r="F426" i="8"/>
  <c r="F425" i="8"/>
  <c r="F424" i="8"/>
  <c r="F423" i="8"/>
  <c r="F422" i="8"/>
  <c r="F421" i="8"/>
  <c r="F420" i="8"/>
  <c r="F419" i="8"/>
  <c r="F418" i="8"/>
  <c r="F417" i="8"/>
  <c r="F416" i="8"/>
  <c r="F415" i="8"/>
  <c r="F414" i="8"/>
  <c r="F413" i="8"/>
  <c r="F412" i="8"/>
  <c r="F411" i="8"/>
  <c r="F410" i="8"/>
  <c r="F409" i="8"/>
  <c r="F408" i="8"/>
  <c r="F407" i="8"/>
  <c r="F406" i="8"/>
  <c r="F405" i="8"/>
  <c r="F404" i="8"/>
  <c r="F403" i="8"/>
  <c r="F402" i="8"/>
  <c r="F401" i="8"/>
  <c r="F400" i="8"/>
  <c r="F399" i="8"/>
  <c r="F398" i="8"/>
  <c r="F397" i="8"/>
  <c r="F396" i="8"/>
  <c r="F395" i="8"/>
  <c r="F394" i="8"/>
  <c r="F393" i="8"/>
  <c r="F392" i="8"/>
  <c r="F391" i="8"/>
  <c r="F390" i="8"/>
  <c r="F389" i="8"/>
  <c r="F388" i="8"/>
  <c r="F387" i="8"/>
  <c r="F386" i="8"/>
  <c r="F385" i="8"/>
  <c r="F384" i="8"/>
  <c r="F383" i="8"/>
  <c r="F382" i="8"/>
  <c r="F381" i="8"/>
  <c r="F380" i="8"/>
  <c r="F379" i="8"/>
  <c r="F378" i="8"/>
  <c r="F377" i="8"/>
  <c r="F376" i="8"/>
  <c r="F375" i="8"/>
  <c r="F374" i="8"/>
  <c r="F373" i="8"/>
  <c r="F372" i="8"/>
  <c r="F371" i="8"/>
  <c r="F370" i="8"/>
  <c r="F369" i="8"/>
  <c r="F368" i="8"/>
  <c r="F367" i="8"/>
  <c r="F366" i="8"/>
  <c r="F365" i="8"/>
  <c r="F364" i="8"/>
  <c r="F363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331" i="8"/>
  <c r="F330" i="8"/>
  <c r="F329" i="8"/>
  <c r="F328" i="8"/>
  <c r="F327" i="8"/>
  <c r="F326" i="8"/>
  <c r="F325" i="8"/>
  <c r="F324" i="8"/>
  <c r="F323" i="8"/>
  <c r="F322" i="8"/>
  <c r="F321" i="8"/>
  <c r="F320" i="8"/>
  <c r="F319" i="8"/>
  <c r="F318" i="8"/>
  <c r="F317" i="8"/>
  <c r="F316" i="8"/>
  <c r="F315" i="8"/>
  <c r="F314" i="8"/>
  <c r="F313" i="8"/>
  <c r="F312" i="8"/>
  <c r="F311" i="8"/>
  <c r="F310" i="8"/>
  <c r="F309" i="8"/>
  <c r="F308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F278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D1915" i="8"/>
  <c r="D1916" i="8"/>
  <c r="D1917" i="8"/>
  <c r="D1918" i="8"/>
  <c r="D1919" i="8"/>
  <c r="D1920" i="8"/>
  <c r="D1921" i="8"/>
  <c r="D1922" i="8"/>
  <c r="D1923" i="8"/>
  <c r="D1924" i="8"/>
  <c r="D1925" i="8"/>
  <c r="D1926" i="8"/>
  <c r="D1927" i="8"/>
  <c r="D1928" i="8"/>
  <c r="D1929" i="8"/>
  <c r="D1930" i="8"/>
  <c r="D1931" i="8"/>
  <c r="D1932" i="8"/>
  <c r="D1933" i="8"/>
  <c r="D1934" i="8"/>
  <c r="D1935" i="8"/>
  <c r="D1936" i="8"/>
  <c r="D1937" i="8"/>
  <c r="D1938" i="8"/>
  <c r="D1939" i="8"/>
  <c r="D1940" i="8"/>
  <c r="D1941" i="8"/>
  <c r="D1942" i="8"/>
  <c r="D1943" i="8"/>
  <c r="D1944" i="8"/>
  <c r="D1945" i="8"/>
  <c r="D1946" i="8"/>
  <c r="D1947" i="8"/>
  <c r="D1948" i="8"/>
  <c r="D1949" i="8"/>
  <c r="D1950" i="8"/>
  <c r="D1951" i="8"/>
  <c r="D1952" i="8"/>
  <c r="D1953" i="8"/>
  <c r="D1954" i="8"/>
  <c r="D1955" i="8"/>
  <c r="D1956" i="8"/>
  <c r="D1957" i="8"/>
  <c r="D1958" i="8"/>
  <c r="D1959" i="8"/>
  <c r="D1960" i="8"/>
  <c r="D1961" i="8"/>
  <c r="D1962" i="8"/>
  <c r="D1963" i="8"/>
  <c r="D1964" i="8"/>
  <c r="D1965" i="8"/>
  <c r="D1966" i="8"/>
  <c r="D1967" i="8"/>
  <c r="D1968" i="8"/>
  <c r="D1969" i="8"/>
  <c r="D1970" i="8"/>
  <c r="D1971" i="8"/>
  <c r="D1972" i="8"/>
  <c r="D1973" i="8"/>
  <c r="D1974" i="8"/>
  <c r="D1975" i="8"/>
  <c r="D1976" i="8"/>
  <c r="D1977" i="8"/>
  <c r="D1978" i="8"/>
  <c r="D1979" i="8"/>
  <c r="D1980" i="8"/>
  <c r="D1981" i="8"/>
  <c r="D1982" i="8"/>
  <c r="D1983" i="8"/>
  <c r="D1984" i="8"/>
  <c r="D1985" i="8"/>
  <c r="D1986" i="8"/>
  <c r="D1987" i="8"/>
  <c r="D1988" i="8"/>
  <c r="D1989" i="8"/>
  <c r="D1990" i="8"/>
  <c r="D1991" i="8"/>
  <c r="D1992" i="8"/>
  <c r="D1993" i="8"/>
  <c r="D1994" i="8"/>
  <c r="D1995" i="8"/>
  <c r="D1996" i="8"/>
  <c r="D1997" i="8"/>
  <c r="D1998" i="8"/>
  <c r="D1999" i="8"/>
  <c r="D2000" i="8"/>
  <c r="D2001" i="8"/>
  <c r="D2002" i="8"/>
  <c r="D2003" i="8"/>
  <c r="D2004" i="8"/>
  <c r="D2005" i="8"/>
  <c r="D2006" i="8"/>
  <c r="D2007" i="8"/>
  <c r="D2008" i="8"/>
  <c r="D2009" i="8"/>
  <c r="D2010" i="8"/>
  <c r="D2011" i="8"/>
  <c r="D2012" i="8"/>
  <c r="D2013" i="8"/>
  <c r="D2014" i="8"/>
  <c r="D2015" i="8"/>
  <c r="D2016" i="8"/>
  <c r="D2017" i="8"/>
  <c r="D2018" i="8"/>
  <c r="D2019" i="8"/>
  <c r="D2020" i="8"/>
  <c r="D2021" i="8"/>
  <c r="D2022" i="8"/>
  <c r="D2023" i="8"/>
  <c r="D2024" i="8"/>
  <c r="D2025" i="8"/>
  <c r="D2026" i="8"/>
  <c r="D2027" i="8"/>
  <c r="D2028" i="8"/>
  <c r="D2029" i="8"/>
  <c r="D2030" i="8"/>
  <c r="D2031" i="8"/>
  <c r="D2032" i="8"/>
  <c r="D2033" i="8"/>
  <c r="D2034" i="8"/>
  <c r="D2035" i="8"/>
  <c r="D2036" i="8"/>
  <c r="D2037" i="8"/>
  <c r="D2038" i="8"/>
  <c r="D2039" i="8"/>
  <c r="D2040" i="8"/>
  <c r="D2041" i="8"/>
  <c r="D2042" i="8"/>
  <c r="D2043" i="8"/>
  <c r="D2044" i="8"/>
  <c r="D2045" i="8"/>
  <c r="D2046" i="8"/>
  <c r="D2047" i="8"/>
  <c r="D2048" i="8"/>
  <c r="D2049" i="8"/>
  <c r="D2050" i="8"/>
  <c r="D2051" i="8"/>
  <c r="D2052" i="8"/>
  <c r="D2053" i="8"/>
  <c r="D2054" i="8"/>
  <c r="D2055" i="8"/>
  <c r="D2056" i="8"/>
  <c r="D2057" i="8"/>
  <c r="D2058" i="8"/>
  <c r="D2059" i="8"/>
  <c r="D2060" i="8"/>
  <c r="D2061" i="8"/>
  <c r="D2062" i="8"/>
  <c r="D2063" i="8"/>
  <c r="D2064" i="8"/>
  <c r="D2065" i="8"/>
  <c r="D2066" i="8"/>
  <c r="D2067" i="8"/>
  <c r="D2068" i="8"/>
  <c r="D2069" i="8"/>
  <c r="D2070" i="8"/>
  <c r="D2071" i="8"/>
  <c r="D2072" i="8"/>
  <c r="D2073" i="8"/>
  <c r="D2074" i="8"/>
  <c r="D2075" i="8"/>
  <c r="D2076" i="8"/>
  <c r="D2077" i="8"/>
  <c r="D2078" i="8"/>
  <c r="D2079" i="8"/>
  <c r="D2080" i="8"/>
  <c r="D2081" i="8"/>
  <c r="D2082" i="8"/>
  <c r="D2083" i="8"/>
  <c r="D2084" i="8"/>
  <c r="D2085" i="8"/>
  <c r="D2086" i="8"/>
  <c r="D2087" i="8"/>
  <c r="D2088" i="8"/>
  <c r="D2089" i="8"/>
  <c r="D2090" i="8"/>
  <c r="D2091" i="8"/>
  <c r="D2092" i="8"/>
  <c r="D2093" i="8"/>
  <c r="D2094" i="8"/>
  <c r="D2095" i="8"/>
  <c r="D2096" i="8"/>
  <c r="D2097" i="8"/>
  <c r="D2098" i="8"/>
  <c r="D2099" i="8"/>
  <c r="D2100" i="8"/>
  <c r="D2101" i="8"/>
  <c r="D2102" i="8"/>
  <c r="D2103" i="8"/>
  <c r="D2104" i="8"/>
  <c r="D2105" i="8"/>
  <c r="D2106" i="8"/>
  <c r="D2107" i="8"/>
  <c r="D2108" i="8"/>
  <c r="D2109" i="8"/>
  <c r="D2110" i="8"/>
  <c r="D2111" i="8"/>
  <c r="D2112" i="8"/>
  <c r="D2113" i="8"/>
  <c r="D2114" i="8"/>
  <c r="D2115" i="8"/>
  <c r="D2116" i="8"/>
  <c r="D2117" i="8"/>
  <c r="D2118" i="8"/>
  <c r="D2119" i="8"/>
  <c r="D2120" i="8"/>
  <c r="D2121" i="8"/>
  <c r="D2122" i="8"/>
  <c r="D2123" i="8"/>
  <c r="D2124" i="8"/>
  <c r="D2125" i="8"/>
  <c r="D2126" i="8"/>
  <c r="D2127" i="8"/>
  <c r="D2128" i="8"/>
  <c r="D2129" i="8"/>
  <c r="D2130" i="8"/>
  <c r="D2131" i="8"/>
  <c r="D2132" i="8"/>
  <c r="D2133" i="8"/>
  <c r="D2134" i="8"/>
  <c r="D2135" i="8"/>
  <c r="D2136" i="8"/>
  <c r="D2137" i="8"/>
  <c r="D2138" i="8"/>
  <c r="D2139" i="8"/>
  <c r="D2140" i="8"/>
  <c r="D2141" i="8"/>
  <c r="D2142" i="8"/>
  <c r="D2143" i="8"/>
  <c r="D2144" i="8"/>
  <c r="D2145" i="8"/>
  <c r="D2146" i="8"/>
  <c r="D2147" i="8"/>
  <c r="D2148" i="8"/>
  <c r="D2149" i="8"/>
  <c r="D2150" i="8"/>
  <c r="D2151" i="8"/>
  <c r="D2152" i="8"/>
  <c r="D2153" i="8"/>
  <c r="D2154" i="8"/>
  <c r="D2155" i="8"/>
  <c r="D2156" i="8"/>
  <c r="D2157" i="8"/>
  <c r="D2158" i="8"/>
  <c r="D2159" i="8"/>
  <c r="D2160" i="8"/>
  <c r="D2161" i="8"/>
  <c r="D2162" i="8"/>
  <c r="D2163" i="8"/>
  <c r="D2164" i="8"/>
  <c r="D2165" i="8"/>
  <c r="D2166" i="8"/>
  <c r="D2167" i="8"/>
  <c r="D2168" i="8"/>
  <c r="D2169" i="8"/>
  <c r="D2170" i="8"/>
  <c r="D2171" i="8"/>
  <c r="D2172" i="8"/>
  <c r="D2173" i="8"/>
  <c r="D2174" i="8"/>
  <c r="D2175" i="8"/>
  <c r="D2176" i="8"/>
  <c r="D2177" i="8"/>
  <c r="D2178" i="8"/>
  <c r="D2179" i="8"/>
  <c r="D2180" i="8"/>
  <c r="D2181" i="8"/>
  <c r="D2182" i="8"/>
  <c r="D2183" i="8"/>
  <c r="D2184" i="8"/>
  <c r="D2185" i="8"/>
  <c r="D2186" i="8"/>
  <c r="D2187" i="8"/>
  <c r="D2188" i="8"/>
  <c r="D2189" i="8"/>
  <c r="D2190" i="8"/>
  <c r="D2191" i="8"/>
  <c r="D2192" i="8"/>
  <c r="D2193" i="8"/>
  <c r="D2194" i="8"/>
  <c r="D2195" i="8"/>
  <c r="D2196" i="8"/>
  <c r="D2197" i="8"/>
  <c r="D2198" i="8"/>
  <c r="D2199" i="8"/>
  <c r="D2200" i="8"/>
  <c r="D2201" i="8"/>
  <c r="D2202" i="8"/>
  <c r="D2203" i="8"/>
  <c r="D2204" i="8"/>
  <c r="D2205" i="8"/>
  <c r="D2206" i="8"/>
  <c r="D2207" i="8"/>
  <c r="D2208" i="8"/>
  <c r="D2209" i="8"/>
  <c r="D2210" i="8"/>
  <c r="D2211" i="8"/>
  <c r="D2212" i="8"/>
  <c r="D2213" i="8"/>
  <c r="D2214" i="8"/>
  <c r="D2215" i="8"/>
  <c r="D2216" i="8"/>
  <c r="D2217" i="8"/>
  <c r="D2218" i="8"/>
  <c r="D2219" i="8"/>
  <c r="D2220" i="8"/>
  <c r="D2221" i="8"/>
  <c r="D2222" i="8"/>
  <c r="D2223" i="8"/>
  <c r="D2224" i="8"/>
  <c r="D2225" i="8"/>
  <c r="D2226" i="8"/>
  <c r="D2227" i="8"/>
  <c r="D2228" i="8"/>
  <c r="D2229" i="8"/>
  <c r="D2230" i="8"/>
  <c r="D2231" i="8"/>
  <c r="D2232" i="8"/>
  <c r="D2233" i="8"/>
  <c r="D2234" i="8"/>
  <c r="D2235" i="8"/>
  <c r="D2236" i="8"/>
  <c r="D2237" i="8"/>
  <c r="D2238" i="8"/>
  <c r="D2239" i="8"/>
  <c r="D2240" i="8"/>
  <c r="D2241" i="8"/>
  <c r="D2242" i="8"/>
  <c r="D2243" i="8"/>
  <c r="D2244" i="8"/>
  <c r="D2245" i="8"/>
  <c r="D2246" i="8"/>
  <c r="D2247" i="8"/>
  <c r="D2248" i="8"/>
  <c r="D2249" i="8"/>
  <c r="D2250" i="8"/>
  <c r="D2251" i="8"/>
  <c r="D2252" i="8"/>
  <c r="D2253" i="8"/>
  <c r="D2254" i="8"/>
  <c r="D2255" i="8"/>
  <c r="D2256" i="8"/>
  <c r="D2257" i="8"/>
  <c r="D2258" i="8"/>
  <c r="D2259" i="8"/>
  <c r="D2260" i="8"/>
  <c r="D2261" i="8"/>
  <c r="D2262" i="8"/>
  <c r="D2263" i="8"/>
  <c r="D2264" i="8"/>
  <c r="D2265" i="8"/>
  <c r="D2266" i="8"/>
  <c r="D2267" i="8"/>
  <c r="D2268" i="8"/>
  <c r="D2269" i="8"/>
  <c r="D2270" i="8"/>
  <c r="D2271" i="8"/>
  <c r="D2272" i="8"/>
  <c r="D2273" i="8"/>
  <c r="D2274" i="8"/>
  <c r="D2275" i="8"/>
  <c r="D2276" i="8"/>
  <c r="D2277" i="8"/>
  <c r="D2278" i="8"/>
  <c r="D2279" i="8"/>
  <c r="D2280" i="8"/>
  <c r="D2281" i="8"/>
  <c r="D2282" i="8"/>
  <c r="D2283" i="8"/>
  <c r="D2284" i="8"/>
  <c r="D2285" i="8"/>
  <c r="D2286" i="8"/>
  <c r="D2287" i="8"/>
  <c r="D2288" i="8"/>
  <c r="D2289" i="8"/>
  <c r="D2290" i="8"/>
  <c r="D2291" i="8"/>
  <c r="D2292" i="8"/>
  <c r="D2293" i="8"/>
  <c r="D2294" i="8"/>
  <c r="D2295" i="8"/>
  <c r="D2296" i="8"/>
  <c r="D2297" i="8"/>
  <c r="D2298" i="8"/>
  <c r="D2299" i="8"/>
  <c r="D2300" i="8"/>
  <c r="D2301" i="8"/>
  <c r="D2302" i="8"/>
  <c r="D2303" i="8"/>
  <c r="D2304" i="8"/>
  <c r="D2305" i="8"/>
  <c r="D2306" i="8"/>
  <c r="D2307" i="8"/>
  <c r="D2308" i="8"/>
  <c r="D2309" i="8"/>
  <c r="D2310" i="8"/>
  <c r="D2311" i="8"/>
  <c r="D2312" i="8"/>
  <c r="D2313" i="8"/>
  <c r="D2314" i="8"/>
  <c r="D2315" i="8"/>
  <c r="D2316" i="8"/>
  <c r="D2317" i="8"/>
  <c r="D2318" i="8"/>
  <c r="D2319" i="8"/>
  <c r="D2320" i="8"/>
  <c r="D2321" i="8"/>
  <c r="D2322" i="8"/>
  <c r="D2323" i="8"/>
  <c r="D2324" i="8"/>
  <c r="D2325" i="8"/>
  <c r="D2326" i="8"/>
  <c r="D2327" i="8"/>
  <c r="D2328" i="8"/>
  <c r="D2329" i="8"/>
  <c r="D2330" i="8"/>
  <c r="D2331" i="8"/>
  <c r="D2332" i="8"/>
  <c r="D2333" i="8"/>
  <c r="D2334" i="8"/>
  <c r="D2335" i="8"/>
  <c r="D2336" i="8"/>
  <c r="D2337" i="8"/>
  <c r="D2338" i="8"/>
  <c r="D2339" i="8"/>
  <c r="D2340" i="8"/>
  <c r="D2341" i="8"/>
  <c r="D2342" i="8"/>
  <c r="D2343" i="8"/>
  <c r="D2344" i="8"/>
  <c r="D2345" i="8"/>
  <c r="D2346" i="8"/>
  <c r="D2347" i="8"/>
  <c r="D2348" i="8"/>
  <c r="D2349" i="8"/>
  <c r="D2350" i="8"/>
  <c r="D2351" i="8"/>
  <c r="D2352" i="8"/>
  <c r="D2353" i="8"/>
  <c r="D2354" i="8"/>
  <c r="D2355" i="8"/>
  <c r="D2356" i="8"/>
  <c r="D2357" i="8"/>
  <c r="D2358" i="8"/>
  <c r="D2359" i="8"/>
  <c r="D2360" i="8"/>
  <c r="D2361" i="8"/>
  <c r="D2362" i="8"/>
  <c r="D2363" i="8"/>
  <c r="D2364" i="8"/>
  <c r="D2365" i="8"/>
  <c r="D2366" i="8"/>
  <c r="D2367" i="8"/>
  <c r="D2368" i="8"/>
  <c r="D2369" i="8"/>
  <c r="D2370" i="8"/>
  <c r="D2371" i="8"/>
  <c r="D2372" i="8"/>
  <c r="D2373" i="8"/>
  <c r="D2374" i="8"/>
  <c r="D2375" i="8"/>
  <c r="D2376" i="8"/>
  <c r="D2377" i="8"/>
  <c r="D2378" i="8"/>
  <c r="D2379" i="8"/>
  <c r="D2380" i="8"/>
  <c r="D2381" i="8"/>
  <c r="D2382" i="8"/>
  <c r="D2383" i="8"/>
  <c r="D2384" i="8"/>
  <c r="D2385" i="8"/>
  <c r="D2386" i="8"/>
  <c r="D2387" i="8"/>
  <c r="D2388" i="8"/>
  <c r="D2389" i="8"/>
  <c r="D2390" i="8"/>
  <c r="D2391" i="8"/>
  <c r="D2392" i="8"/>
  <c r="D2393" i="8"/>
  <c r="D2394" i="8"/>
  <c r="D2395" i="8"/>
  <c r="D2396" i="8"/>
  <c r="D2397" i="8"/>
  <c r="D2398" i="8"/>
  <c r="D2399" i="8"/>
  <c r="D2400" i="8"/>
  <c r="D2401" i="8"/>
  <c r="D2402" i="8"/>
  <c r="D2403" i="8"/>
  <c r="D2404" i="8"/>
  <c r="D2405" i="8"/>
  <c r="D2406" i="8"/>
  <c r="D2407" i="8"/>
  <c r="D2408" i="8"/>
  <c r="D2409" i="8"/>
  <c r="D2410" i="8"/>
  <c r="D2411" i="8"/>
  <c r="D2412" i="8"/>
  <c r="D2413" i="8"/>
  <c r="D2414" i="8"/>
  <c r="D2415" i="8"/>
  <c r="D2416" i="8"/>
  <c r="D2417" i="8"/>
  <c r="D2418" i="8"/>
  <c r="D2419" i="8"/>
  <c r="D2420" i="8"/>
  <c r="D2421" i="8"/>
  <c r="D2422" i="8"/>
  <c r="D2423" i="8"/>
  <c r="D2424" i="8"/>
  <c r="D2425" i="8"/>
  <c r="D2426" i="8"/>
  <c r="D2427" i="8"/>
  <c r="D2428" i="8"/>
  <c r="D2429" i="8"/>
  <c r="D2430" i="8"/>
  <c r="D2431" i="8"/>
  <c r="D2432" i="8"/>
  <c r="D2433" i="8"/>
  <c r="D2434" i="8"/>
  <c r="D2435" i="8"/>
  <c r="D2436" i="8"/>
  <c r="D2437" i="8"/>
  <c r="D2438" i="8"/>
  <c r="D2439" i="8"/>
  <c r="D2440" i="8"/>
  <c r="D2441" i="8"/>
  <c r="D2442" i="8"/>
  <c r="D2443" i="8"/>
  <c r="D2444" i="8"/>
  <c r="D2445" i="8"/>
  <c r="D2446" i="8"/>
  <c r="D2447" i="8"/>
  <c r="D2448" i="8"/>
  <c r="D2449" i="8"/>
  <c r="D2450" i="8"/>
  <c r="D2451" i="8"/>
  <c r="D2452" i="8"/>
  <c r="D2453" i="8"/>
  <c r="D2454" i="8"/>
  <c r="D2455" i="8"/>
  <c r="D2456" i="8"/>
  <c r="D2457" i="8"/>
  <c r="D2458" i="8"/>
  <c r="D2459" i="8"/>
  <c r="D2460" i="8"/>
  <c r="D2461" i="8"/>
  <c r="D2462" i="8"/>
  <c r="D2463" i="8"/>
  <c r="D2464" i="8"/>
  <c r="D2465" i="8"/>
  <c r="D2466" i="8"/>
  <c r="D2467" i="8"/>
  <c r="D2468" i="8"/>
  <c r="D2469" i="8"/>
  <c r="D2470" i="8"/>
  <c r="D2471" i="8"/>
  <c r="D2472" i="8"/>
  <c r="D2473" i="8"/>
  <c r="D2474" i="8"/>
  <c r="D2475" i="8"/>
  <c r="D2476" i="8"/>
  <c r="D2477" i="8"/>
  <c r="D2478" i="8"/>
  <c r="D2479" i="8"/>
  <c r="D2480" i="8"/>
  <c r="D2481" i="8"/>
  <c r="D2482" i="8"/>
  <c r="D2483" i="8"/>
  <c r="D2484" i="8"/>
  <c r="D2485" i="8"/>
  <c r="D2486" i="8"/>
  <c r="D2487" i="8"/>
  <c r="D2488" i="8"/>
  <c r="D2489" i="8"/>
  <c r="D2490" i="8"/>
  <c r="D2491" i="8"/>
  <c r="D2492" i="8"/>
  <c r="D2493" i="8"/>
  <c r="D2494" i="8"/>
  <c r="D2495" i="8"/>
  <c r="D2496" i="8"/>
  <c r="D2497" i="8"/>
  <c r="D2498" i="8"/>
  <c r="D2499" i="8"/>
  <c r="D2500" i="8"/>
  <c r="D2501" i="8"/>
  <c r="D2502" i="8"/>
  <c r="D2503" i="8"/>
  <c r="D2504" i="8"/>
  <c r="D2505" i="8"/>
  <c r="D2506" i="8"/>
  <c r="D2507" i="8"/>
  <c r="D2508" i="8"/>
  <c r="D2509" i="8"/>
  <c r="D2510" i="8"/>
  <c r="D2511" i="8"/>
  <c r="D2512" i="8"/>
  <c r="D2513" i="8"/>
  <c r="D2514" i="8"/>
  <c r="D2515" i="8"/>
  <c r="D2516" i="8"/>
  <c r="D2517" i="8"/>
  <c r="D2518" i="8"/>
  <c r="D2519" i="8"/>
  <c r="D2520" i="8"/>
  <c r="D2521" i="8"/>
  <c r="D2522" i="8"/>
  <c r="D2523" i="8"/>
  <c r="D2524" i="8"/>
  <c r="D2525" i="8"/>
  <c r="D2526" i="8"/>
  <c r="D2527" i="8"/>
  <c r="D2528" i="8"/>
  <c r="D2529" i="8"/>
  <c r="D2530" i="8"/>
  <c r="D2531" i="8"/>
  <c r="D2532" i="8"/>
  <c r="D2533" i="8"/>
  <c r="D2534" i="8"/>
  <c r="D2535" i="8"/>
  <c r="D2536" i="8"/>
  <c r="D2537" i="8"/>
  <c r="D2538" i="8"/>
  <c r="D2539" i="8"/>
  <c r="D2540" i="8"/>
  <c r="D2541" i="8"/>
  <c r="D2542" i="8"/>
  <c r="D2543" i="8"/>
  <c r="D2544" i="8"/>
  <c r="D2545" i="8"/>
  <c r="D2546" i="8"/>
  <c r="D2547" i="8"/>
  <c r="D2548" i="8"/>
  <c r="D2549" i="8"/>
  <c r="D2550" i="8"/>
  <c r="D2551" i="8"/>
  <c r="D2552" i="8"/>
  <c r="D2553" i="8"/>
  <c r="D2554" i="8"/>
  <c r="D2555" i="8"/>
  <c r="D2556" i="8"/>
  <c r="D2557" i="8"/>
  <c r="D2558" i="8"/>
  <c r="D2559" i="8"/>
  <c r="D2560" i="8"/>
  <c r="D2561" i="8"/>
  <c r="D2562" i="8"/>
  <c r="D2563" i="8"/>
  <c r="D2564" i="8"/>
  <c r="D2565" i="8"/>
  <c r="D2566" i="8"/>
  <c r="D2567" i="8"/>
  <c r="D2568" i="8"/>
  <c r="D2569" i="8"/>
  <c r="D2570" i="8"/>
  <c r="D2571" i="8"/>
  <c r="D2572" i="8"/>
  <c r="D2573" i="8"/>
  <c r="D2574" i="8"/>
  <c r="D2575" i="8"/>
  <c r="D2576" i="8"/>
  <c r="D2577" i="8"/>
  <c r="D2578" i="8"/>
  <c r="D2579" i="8"/>
  <c r="D2580" i="8"/>
  <c r="D2581" i="8"/>
  <c r="D2582" i="8"/>
  <c r="D2583" i="8"/>
  <c r="D2584" i="8"/>
  <c r="D2585" i="8"/>
  <c r="D2586" i="8"/>
  <c r="D2587" i="8"/>
  <c r="D2588" i="8"/>
  <c r="D2589" i="8"/>
  <c r="D2590" i="8"/>
  <c r="D2591" i="8"/>
  <c r="D2592" i="8"/>
  <c r="D2593" i="8"/>
  <c r="D2594" i="8"/>
  <c r="D2595" i="8"/>
  <c r="D2596" i="8"/>
  <c r="D2597" i="8"/>
  <c r="D2598" i="8"/>
  <c r="D2599" i="8"/>
  <c r="D2600" i="8"/>
  <c r="D2601" i="8"/>
  <c r="D2602" i="8"/>
  <c r="D2603" i="8"/>
  <c r="D2604" i="8"/>
  <c r="D2605" i="8"/>
  <c r="D2606" i="8"/>
  <c r="D2607" i="8"/>
  <c r="D2608" i="8"/>
  <c r="D2609" i="8"/>
  <c r="D2610" i="8"/>
  <c r="D2611" i="8"/>
  <c r="D2612" i="8"/>
  <c r="D2613" i="8"/>
  <c r="D2614" i="8"/>
  <c r="D2615" i="8"/>
  <c r="D2616" i="8"/>
  <c r="D2617" i="8"/>
  <c r="D2618" i="8"/>
  <c r="D2619" i="8"/>
  <c r="D2620" i="8"/>
  <c r="D2621" i="8"/>
  <c r="D2622" i="8"/>
  <c r="D2623" i="8"/>
  <c r="D2624" i="8"/>
  <c r="D2625" i="8"/>
  <c r="D2626" i="8"/>
  <c r="D2627" i="8"/>
  <c r="D2628" i="8"/>
  <c r="D2629" i="8"/>
  <c r="D2630" i="8"/>
  <c r="D2631" i="8"/>
  <c r="D2632" i="8"/>
  <c r="D2633" i="8"/>
  <c r="D2634" i="8"/>
  <c r="D2635" i="8"/>
  <c r="D2636" i="8"/>
  <c r="D2637" i="8"/>
  <c r="D2638" i="8"/>
  <c r="D2639" i="8"/>
  <c r="D2640" i="8"/>
  <c r="D2641" i="8"/>
  <c r="D2642" i="8"/>
  <c r="D2643" i="8"/>
  <c r="D2644" i="8"/>
  <c r="D2645" i="8"/>
  <c r="D2646" i="8"/>
  <c r="D2647" i="8"/>
  <c r="D2648" i="8"/>
  <c r="D2649" i="8"/>
  <c r="D2650" i="8"/>
  <c r="D2651" i="8"/>
  <c r="D2652" i="8"/>
  <c r="D2653" i="8"/>
  <c r="D2654" i="8"/>
  <c r="D2655" i="8"/>
  <c r="D2656" i="8"/>
  <c r="D2657" i="8"/>
  <c r="D2658" i="8"/>
  <c r="D2659" i="8"/>
  <c r="D2660" i="8"/>
  <c r="D2661" i="8"/>
  <c r="D2662" i="8"/>
  <c r="D2663" i="8"/>
  <c r="D2664" i="8"/>
  <c r="D2665" i="8"/>
  <c r="D2666" i="8"/>
  <c r="D2667" i="8"/>
  <c r="D2668" i="8"/>
  <c r="D2669" i="8"/>
  <c r="D2670" i="8"/>
  <c r="D2671" i="8"/>
  <c r="D2672" i="8"/>
  <c r="D2673" i="8"/>
  <c r="D2674" i="8"/>
  <c r="D2675" i="8"/>
  <c r="D2676" i="8"/>
  <c r="D2677" i="8"/>
  <c r="D2678" i="8"/>
  <c r="D2679" i="8"/>
  <c r="D2680" i="8"/>
  <c r="D2681" i="8"/>
  <c r="D2682" i="8"/>
  <c r="D2683" i="8"/>
  <c r="D2684" i="8"/>
  <c r="D2685" i="8"/>
  <c r="D2686" i="8"/>
  <c r="D2687" i="8"/>
  <c r="D2688" i="8"/>
  <c r="D2689" i="8"/>
  <c r="D2690" i="8"/>
  <c r="D2691" i="8"/>
  <c r="D2692" i="8"/>
  <c r="D2693" i="8"/>
  <c r="D2694" i="8"/>
  <c r="D2695" i="8"/>
  <c r="D2696" i="8"/>
  <c r="D2697" i="8"/>
  <c r="D2698" i="8"/>
  <c r="D2699" i="8"/>
  <c r="D2700" i="8"/>
  <c r="D2701" i="8"/>
  <c r="D2702" i="8"/>
  <c r="D2703" i="8"/>
  <c r="D2704" i="8"/>
  <c r="D2705" i="8"/>
  <c r="D2706" i="8"/>
  <c r="D2707" i="8"/>
  <c r="D2708" i="8"/>
  <c r="D2709" i="8"/>
  <c r="D2710" i="8"/>
  <c r="D2711" i="8"/>
  <c r="D2712" i="8"/>
  <c r="D2713" i="8"/>
  <c r="D2714" i="8"/>
  <c r="D2715" i="8"/>
  <c r="D2716" i="8"/>
  <c r="D2717" i="8"/>
  <c r="D2718" i="8"/>
  <c r="D2719" i="8"/>
  <c r="D2720" i="8"/>
  <c r="D2721" i="8"/>
  <c r="D2722" i="8"/>
  <c r="D2723" i="8"/>
  <c r="D2724" i="8"/>
  <c r="D2725" i="8"/>
  <c r="D2726" i="8"/>
  <c r="D2727" i="8"/>
  <c r="D2728" i="8"/>
  <c r="D2729" i="8"/>
  <c r="D2730" i="8"/>
  <c r="D2731" i="8"/>
  <c r="D2732" i="8"/>
  <c r="D2733" i="8"/>
  <c r="D2734" i="8"/>
  <c r="D2735" i="8"/>
  <c r="D2736" i="8"/>
  <c r="D2737" i="8"/>
  <c r="D2738" i="8"/>
  <c r="D2739" i="8"/>
  <c r="D2740" i="8"/>
  <c r="D2741" i="8"/>
  <c r="D2742" i="8"/>
  <c r="D2743" i="8"/>
  <c r="D2744" i="8"/>
  <c r="D2745" i="8"/>
  <c r="D2746" i="8"/>
  <c r="D2747" i="8"/>
  <c r="D2748" i="8"/>
  <c r="D2749" i="8"/>
  <c r="D2750" i="8"/>
  <c r="D2751" i="8"/>
  <c r="D2752" i="8"/>
  <c r="D2753" i="8"/>
  <c r="D2754" i="8"/>
  <c r="D2755" i="8"/>
  <c r="D2756" i="8"/>
  <c r="D2757" i="8"/>
  <c r="D2758" i="8"/>
  <c r="D2759" i="8"/>
  <c r="D2760" i="8"/>
  <c r="D2761" i="8"/>
  <c r="D2762" i="8"/>
  <c r="D2763" i="8"/>
  <c r="D2764" i="8"/>
  <c r="D2765" i="8"/>
  <c r="D2766" i="8"/>
  <c r="D2767" i="8"/>
  <c r="D2768" i="8"/>
  <c r="D2769" i="8"/>
  <c r="D2770" i="8"/>
  <c r="D2771" i="8"/>
  <c r="D2772" i="8"/>
  <c r="D2773" i="8"/>
  <c r="D2774" i="8"/>
  <c r="D2775" i="8"/>
  <c r="D2776" i="8"/>
  <c r="D2777" i="8"/>
  <c r="D2778" i="8"/>
  <c r="D2779" i="8"/>
  <c r="D2780" i="8"/>
  <c r="D2781" i="8"/>
  <c r="D2782" i="8"/>
  <c r="D2783" i="8"/>
  <c r="D2784" i="8"/>
  <c r="D2785" i="8"/>
  <c r="D2786" i="8"/>
  <c r="D2787" i="8"/>
  <c r="D2788" i="8"/>
  <c r="D2789" i="8"/>
  <c r="D2790" i="8"/>
  <c r="D2791" i="8"/>
  <c r="D2792" i="8"/>
  <c r="D2793" i="8"/>
  <c r="D2794" i="8"/>
  <c r="D2795" i="8"/>
  <c r="D2796" i="8"/>
  <c r="D2797" i="8"/>
  <c r="D2798" i="8"/>
  <c r="D2799" i="8"/>
  <c r="D2800" i="8"/>
  <c r="D2801" i="8"/>
  <c r="D2802" i="8"/>
  <c r="D2803" i="8"/>
  <c r="D2804" i="8"/>
  <c r="D2805" i="8"/>
  <c r="D2806" i="8"/>
  <c r="D2807" i="8"/>
  <c r="D2808" i="8"/>
  <c r="D2809" i="8"/>
  <c r="D2810" i="8"/>
  <c r="D2811" i="8"/>
  <c r="D2812" i="8"/>
  <c r="D2813" i="8"/>
  <c r="D2814" i="8"/>
  <c r="D2815" i="8"/>
  <c r="D2816" i="8"/>
  <c r="D2817" i="8"/>
  <c r="D2818" i="8"/>
  <c r="D2819" i="8"/>
  <c r="D2820" i="8"/>
  <c r="D2821" i="8"/>
  <c r="D2822" i="8"/>
  <c r="D2823" i="8"/>
  <c r="D2824" i="8"/>
  <c r="D2825" i="8"/>
  <c r="D2826" i="8"/>
  <c r="D2827" i="8"/>
  <c r="D2828" i="8"/>
  <c r="D2829" i="8"/>
  <c r="D2830" i="8"/>
  <c r="D2831" i="8"/>
  <c r="D2832" i="8"/>
  <c r="D2833" i="8"/>
  <c r="D2834" i="8"/>
  <c r="D2835" i="8"/>
  <c r="D2836" i="8"/>
  <c r="D2837" i="8"/>
  <c r="D2838" i="8"/>
  <c r="D2839" i="8"/>
  <c r="D2840" i="8"/>
  <c r="D2841" i="8"/>
  <c r="D2842" i="8"/>
  <c r="D2843" i="8"/>
  <c r="D2844" i="8"/>
  <c r="D2845" i="8"/>
  <c r="D2846" i="8"/>
  <c r="D2847" i="8"/>
  <c r="D2848" i="8"/>
  <c r="D2849" i="8"/>
  <c r="D2850" i="8"/>
  <c r="D2851" i="8"/>
  <c r="D2852" i="8"/>
  <c r="D2853" i="8"/>
  <c r="D2854" i="8"/>
  <c r="D2855" i="8"/>
  <c r="D2856" i="8"/>
  <c r="D2857" i="8"/>
  <c r="D2858" i="8"/>
  <c r="D2859" i="8"/>
  <c r="D2860" i="8"/>
  <c r="D2861" i="8"/>
  <c r="D2862" i="8"/>
  <c r="D2863" i="8"/>
  <c r="D2864" i="8"/>
  <c r="D2865" i="8"/>
  <c r="D2866" i="8"/>
  <c r="D2867" i="8"/>
  <c r="D2868" i="8"/>
  <c r="D2869" i="8"/>
  <c r="D2870" i="8"/>
  <c r="D2871" i="8"/>
  <c r="D2872" i="8"/>
  <c r="D2873" i="8"/>
  <c r="D2874" i="8"/>
  <c r="D2875" i="8"/>
  <c r="D2876" i="8"/>
  <c r="D2877" i="8"/>
  <c r="D2878" i="8"/>
  <c r="D2879" i="8"/>
  <c r="D2880" i="8"/>
  <c r="D2881" i="8"/>
  <c r="D2882" i="8"/>
  <c r="D2883" i="8"/>
  <c r="D2884" i="8"/>
  <c r="D2885" i="8"/>
  <c r="D2886" i="8"/>
  <c r="D2887" i="8"/>
  <c r="D2888" i="8"/>
  <c r="D2889" i="8"/>
  <c r="D2890" i="8"/>
  <c r="D2891" i="8"/>
  <c r="D2892" i="8"/>
  <c r="D2893" i="8"/>
  <c r="D2894" i="8"/>
  <c r="D2895" i="8"/>
  <c r="D2896" i="8"/>
  <c r="D2897" i="8"/>
  <c r="D2898" i="8"/>
  <c r="D2899" i="8"/>
  <c r="D2900" i="8"/>
  <c r="D2901" i="8"/>
  <c r="D2902" i="8"/>
  <c r="D2903" i="8"/>
  <c r="D2904" i="8"/>
  <c r="D2905" i="8"/>
  <c r="D2906" i="8"/>
  <c r="D2907" i="8"/>
  <c r="D2908" i="8"/>
  <c r="D2909" i="8"/>
  <c r="D2910" i="8"/>
  <c r="D2911" i="8"/>
  <c r="D2912" i="8"/>
  <c r="D2913" i="8"/>
  <c r="D2914" i="8"/>
  <c r="D2915" i="8"/>
  <c r="D2916" i="8"/>
  <c r="D2917" i="8"/>
  <c r="D2918" i="8"/>
  <c r="D2919" i="8"/>
  <c r="D2920" i="8"/>
  <c r="D2921" i="8"/>
  <c r="D2922" i="8"/>
  <c r="D2923" i="8"/>
  <c r="D2924" i="8"/>
  <c r="D2925" i="8"/>
  <c r="D2926" i="8"/>
  <c r="D2927" i="8"/>
  <c r="D2928" i="8"/>
  <c r="D2929" i="8"/>
  <c r="D2930" i="8"/>
  <c r="D2931" i="8"/>
  <c r="D2932" i="8"/>
  <c r="D2933" i="8"/>
  <c r="D2934" i="8"/>
  <c r="D2935" i="8"/>
  <c r="D2936" i="8"/>
  <c r="D2937" i="8"/>
  <c r="D2938" i="8"/>
  <c r="D2939" i="8"/>
  <c r="D2940" i="8"/>
  <c r="D2941" i="8"/>
  <c r="D2942" i="8"/>
  <c r="D2943" i="8"/>
  <c r="D2944" i="8"/>
  <c r="D2945" i="8"/>
  <c r="D2946" i="8"/>
  <c r="D2947" i="8"/>
  <c r="D2948" i="8"/>
  <c r="D2949" i="8"/>
  <c r="D2950" i="8"/>
  <c r="D2951" i="8"/>
  <c r="D2952" i="8"/>
  <c r="D2953" i="8"/>
  <c r="D2954" i="8"/>
  <c r="D2955" i="8"/>
  <c r="D2956" i="8"/>
  <c r="D2957" i="8"/>
  <c r="D2958" i="8"/>
  <c r="D2959" i="8"/>
  <c r="D2960" i="8"/>
  <c r="D2961" i="8"/>
  <c r="D2962" i="8"/>
  <c r="D2963" i="8"/>
  <c r="D2964" i="8"/>
  <c r="D2965" i="8"/>
  <c r="D2966" i="8"/>
  <c r="D2967" i="8"/>
  <c r="D2968" i="8"/>
  <c r="D2969" i="8"/>
  <c r="D2970" i="8"/>
  <c r="D2971" i="8"/>
  <c r="D2972" i="8"/>
  <c r="D2973" i="8"/>
  <c r="D2974" i="8"/>
  <c r="D2975" i="8"/>
  <c r="D2976" i="8"/>
  <c r="D2977" i="8"/>
  <c r="D2978" i="8"/>
  <c r="D2979" i="8"/>
  <c r="D2980" i="8"/>
  <c r="D2981" i="8"/>
  <c r="D2982" i="8"/>
  <c r="D2983" i="8"/>
  <c r="D2984" i="8"/>
  <c r="D2985" i="8"/>
  <c r="D2986" i="8"/>
  <c r="D2987" i="8"/>
  <c r="D2988" i="8"/>
  <c r="D2989" i="8"/>
  <c r="D2990" i="8"/>
  <c r="D2991" i="8"/>
  <c r="D2992" i="8"/>
  <c r="D2993" i="8"/>
  <c r="D2994" i="8"/>
  <c r="D2995" i="8"/>
  <c r="D2996" i="8"/>
  <c r="D2997" i="8"/>
  <c r="D2998" i="8"/>
  <c r="D2999" i="8"/>
  <c r="D3000" i="8"/>
  <c r="D3001" i="8"/>
  <c r="D3002" i="8"/>
  <c r="D3003" i="8"/>
  <c r="D3004" i="8"/>
  <c r="D3005" i="8"/>
  <c r="D3006" i="8"/>
  <c r="D3007" i="8"/>
  <c r="D3008" i="8"/>
  <c r="D3009" i="8"/>
  <c r="D3010" i="8"/>
  <c r="D3011" i="8"/>
  <c r="D3012" i="8"/>
  <c r="D3013" i="8"/>
  <c r="D3014" i="8"/>
  <c r="D3015" i="8"/>
  <c r="D3016" i="8"/>
  <c r="D3017" i="8"/>
  <c r="D3018" i="8"/>
  <c r="D3019" i="8"/>
  <c r="D3020" i="8"/>
  <c r="D3021" i="8"/>
  <c r="D3022" i="8"/>
  <c r="D3023" i="8"/>
  <c r="D3024" i="8"/>
  <c r="D3025" i="8"/>
  <c r="D3026" i="8"/>
  <c r="D3027" i="8"/>
  <c r="D3028" i="8"/>
  <c r="D3029" i="8"/>
  <c r="D3030" i="8"/>
  <c r="D3031" i="8"/>
  <c r="D3032" i="8"/>
  <c r="D3033" i="8"/>
  <c r="D3034" i="8"/>
  <c r="D3035" i="8"/>
  <c r="D3036" i="8"/>
  <c r="D3037" i="8"/>
  <c r="D3038" i="8"/>
  <c r="D3039" i="8"/>
  <c r="D3040" i="8"/>
  <c r="D3041" i="8"/>
  <c r="D3042" i="8"/>
  <c r="D3043" i="8"/>
  <c r="D3044" i="8"/>
  <c r="D3045" i="8"/>
  <c r="D3046" i="8"/>
  <c r="D3047" i="8"/>
  <c r="D3048" i="8"/>
  <c r="D3049" i="8"/>
  <c r="D3050" i="8"/>
  <c r="D3051" i="8"/>
  <c r="D3052" i="8"/>
  <c r="D3053" i="8"/>
  <c r="D3054" i="8"/>
  <c r="D3055" i="8"/>
  <c r="D3056" i="8"/>
  <c r="D3057" i="8"/>
  <c r="D3058" i="8"/>
  <c r="D3059" i="8"/>
  <c r="D3060" i="8"/>
  <c r="D3061" i="8"/>
  <c r="D3062" i="8"/>
  <c r="D3063" i="8"/>
  <c r="D3064" i="8"/>
  <c r="D3065" i="8"/>
  <c r="D3066" i="8"/>
  <c r="D3067" i="8"/>
  <c r="D3068" i="8"/>
  <c r="D3069" i="8"/>
  <c r="D3070" i="8"/>
  <c r="D3071" i="8"/>
  <c r="D3072" i="8"/>
  <c r="D3073" i="8"/>
  <c r="D3074" i="8"/>
  <c r="D3075" i="8"/>
  <c r="D3076" i="8"/>
  <c r="D3077" i="8"/>
  <c r="D3078" i="8"/>
  <c r="D3079" i="8"/>
  <c r="D3080" i="8"/>
  <c r="D3081" i="8"/>
  <c r="D3082" i="8"/>
  <c r="D3083" i="8"/>
  <c r="D3084" i="8"/>
  <c r="D3085" i="8"/>
  <c r="D3086" i="8"/>
  <c r="D3087" i="8"/>
  <c r="D3088" i="8"/>
  <c r="D3089" i="8"/>
  <c r="D3090" i="8"/>
  <c r="D3091" i="8"/>
  <c r="D3092" i="8"/>
  <c r="D3093" i="8"/>
  <c r="D3094" i="8"/>
  <c r="D3095" i="8"/>
  <c r="D3096" i="8"/>
  <c r="D3097" i="8"/>
  <c r="D3098" i="8"/>
  <c r="D3099" i="8"/>
  <c r="D3100" i="8"/>
  <c r="D3101" i="8"/>
  <c r="D3102" i="8"/>
  <c r="D3103" i="8"/>
  <c r="D3104" i="8"/>
  <c r="D3105" i="8"/>
  <c r="D3106" i="8"/>
  <c r="D3107" i="8"/>
  <c r="D3108" i="8"/>
  <c r="D3109" i="8"/>
  <c r="D3110" i="8"/>
  <c r="D3111" i="8"/>
  <c r="D3112" i="8"/>
  <c r="D3113" i="8"/>
  <c r="D3114" i="8"/>
  <c r="D3115" i="8"/>
  <c r="D3116" i="8"/>
  <c r="D3117" i="8"/>
  <c r="D3118" i="8"/>
  <c r="D3119" i="8"/>
  <c r="D3120" i="8"/>
  <c r="D3121" i="8"/>
  <c r="D3122" i="8"/>
  <c r="D3123" i="8"/>
  <c r="D3124" i="8"/>
  <c r="D3125" i="8"/>
  <c r="D3126" i="8"/>
  <c r="D3127" i="8"/>
  <c r="D3128" i="8"/>
  <c r="D3129" i="8"/>
  <c r="D3130" i="8"/>
  <c r="D3131" i="8"/>
  <c r="D3132" i="8"/>
  <c r="D3133" i="8"/>
  <c r="D3134" i="8"/>
  <c r="D3135" i="8"/>
  <c r="D3136" i="8"/>
  <c r="D3137" i="8"/>
  <c r="D3138" i="8"/>
  <c r="D3139" i="8"/>
  <c r="D3140" i="8"/>
  <c r="D3141" i="8"/>
  <c r="D3142" i="8"/>
  <c r="D3143" i="8"/>
  <c r="D3144" i="8"/>
  <c r="D3145" i="8"/>
  <c r="D3146" i="8"/>
  <c r="D3147" i="8"/>
  <c r="D3148" i="8"/>
  <c r="D3149" i="8"/>
  <c r="D3150" i="8"/>
  <c r="D3151" i="8"/>
  <c r="D3152" i="8"/>
  <c r="D3153" i="8"/>
  <c r="D3154" i="8"/>
  <c r="D3155" i="8"/>
  <c r="D3156" i="8"/>
  <c r="D3157" i="8"/>
  <c r="D3158" i="8"/>
  <c r="D3159" i="8"/>
  <c r="D3160" i="8"/>
  <c r="D3161" i="8"/>
  <c r="D3162" i="8"/>
  <c r="D3163" i="8"/>
  <c r="D3164" i="8"/>
  <c r="D3165" i="8"/>
  <c r="D3166" i="8"/>
  <c r="D3167" i="8"/>
  <c r="D3168" i="8"/>
  <c r="D3169" i="8"/>
  <c r="D3170" i="8"/>
  <c r="D3171" i="8"/>
  <c r="D3172" i="8"/>
  <c r="D3173" i="8"/>
  <c r="D3174" i="8"/>
  <c r="D3175" i="8"/>
  <c r="D3176" i="8"/>
  <c r="D3177" i="8"/>
  <c r="D3178" i="8"/>
  <c r="D3179" i="8"/>
  <c r="D3180" i="8"/>
  <c r="D3181" i="8"/>
  <c r="D3182" i="8"/>
  <c r="D3183" i="8"/>
  <c r="D3184" i="8"/>
  <c r="D3185" i="8"/>
  <c r="D3186" i="8"/>
  <c r="D3187" i="8"/>
  <c r="D3188" i="8"/>
  <c r="D3189" i="8"/>
  <c r="D3190" i="8"/>
  <c r="D3191" i="8"/>
  <c r="D3192" i="8"/>
  <c r="D3193" i="8"/>
  <c r="D3194" i="8"/>
  <c r="D3195" i="8"/>
  <c r="D3196" i="8"/>
  <c r="D3197" i="8"/>
  <c r="D3198" i="8"/>
  <c r="D3199" i="8"/>
  <c r="D3200" i="8"/>
  <c r="D3201" i="8"/>
  <c r="D3202" i="8"/>
  <c r="D3203" i="8"/>
  <c r="D3204" i="8"/>
  <c r="D3205" i="8"/>
  <c r="D3206" i="8"/>
  <c r="D3207" i="8"/>
  <c r="D3208" i="8"/>
  <c r="D3209" i="8"/>
  <c r="D3210" i="8"/>
  <c r="D3211" i="8"/>
  <c r="D3212" i="8"/>
  <c r="D3213" i="8"/>
  <c r="D3214" i="8"/>
  <c r="D3215" i="8"/>
  <c r="D3216" i="8"/>
  <c r="D3217" i="8"/>
  <c r="D3218" i="8"/>
  <c r="D3219" i="8"/>
  <c r="D3220" i="8"/>
  <c r="D3221" i="8"/>
  <c r="D3222" i="8"/>
  <c r="D3223" i="8"/>
  <c r="D3224" i="8"/>
  <c r="D3225" i="8"/>
  <c r="D3226" i="8"/>
  <c r="D3227" i="8"/>
  <c r="D3228" i="8"/>
  <c r="D3229" i="8"/>
  <c r="D3230" i="8"/>
  <c r="D3231" i="8"/>
  <c r="D3232" i="8"/>
  <c r="D3233" i="8"/>
  <c r="D3234" i="8"/>
  <c r="D3235" i="8"/>
  <c r="D3236" i="8"/>
  <c r="D3237" i="8"/>
  <c r="D3238" i="8"/>
  <c r="D3239" i="8"/>
  <c r="D3240" i="8"/>
  <c r="D3241" i="8"/>
  <c r="D3242" i="8"/>
  <c r="D3243" i="8"/>
  <c r="D3244" i="8"/>
  <c r="D3245" i="8"/>
  <c r="D3246" i="8"/>
  <c r="D3247" i="8"/>
  <c r="D3248" i="8"/>
  <c r="D3249" i="8"/>
  <c r="D3250" i="8"/>
  <c r="D3251" i="8"/>
  <c r="D3252" i="8"/>
  <c r="D3253" i="8"/>
  <c r="D3254" i="8"/>
  <c r="D3255" i="8"/>
  <c r="D3256" i="8"/>
  <c r="D3257" i="8"/>
  <c r="D3258" i="8"/>
  <c r="D3259" i="8"/>
  <c r="D3260" i="8"/>
  <c r="D3261" i="8"/>
  <c r="D3262" i="8"/>
  <c r="D3263" i="8"/>
  <c r="D3264" i="8"/>
  <c r="D3265" i="8"/>
  <c r="D3266" i="8"/>
  <c r="D3267" i="8"/>
  <c r="D3268" i="8"/>
  <c r="D3269" i="8"/>
  <c r="D3270" i="8"/>
  <c r="D3271" i="8"/>
  <c r="D3272" i="8"/>
  <c r="D3273" i="8"/>
  <c r="D3274" i="8"/>
  <c r="D3275" i="8"/>
  <c r="D3276" i="8"/>
  <c r="D3277" i="8"/>
  <c r="D3278" i="8"/>
  <c r="D3279" i="8"/>
  <c r="D3280" i="8"/>
  <c r="D3281" i="8"/>
  <c r="D3282" i="8"/>
  <c r="D3283" i="8"/>
  <c r="D3284" i="8"/>
  <c r="D3285" i="8"/>
  <c r="D3286" i="8"/>
  <c r="D3287" i="8"/>
  <c r="D3288" i="8"/>
  <c r="D3289" i="8"/>
  <c r="D3290" i="8"/>
  <c r="D3291" i="8"/>
  <c r="D3292" i="8"/>
  <c r="D3293" i="8"/>
  <c r="D3294" i="8"/>
  <c r="D3295" i="8"/>
  <c r="D3296" i="8"/>
  <c r="D3297" i="8"/>
  <c r="D3298" i="8"/>
  <c r="D3299" i="8"/>
  <c r="D3300" i="8"/>
  <c r="D3301" i="8"/>
  <c r="D3302" i="8"/>
  <c r="D3303" i="8"/>
  <c r="D3304" i="8"/>
  <c r="D3305" i="8"/>
  <c r="D3306" i="8"/>
  <c r="D3307" i="8"/>
  <c r="D3308" i="8"/>
  <c r="D3309" i="8"/>
  <c r="D3310" i="8"/>
  <c r="D3311" i="8"/>
  <c r="D3312" i="8"/>
  <c r="D3313" i="8"/>
  <c r="D3314" i="8"/>
  <c r="D3315" i="8"/>
  <c r="D3316" i="8"/>
  <c r="D3317" i="8"/>
  <c r="D3318" i="8"/>
  <c r="D3319" i="8"/>
  <c r="D3320" i="8"/>
  <c r="D3321" i="8"/>
  <c r="D3322" i="8"/>
  <c r="D3323" i="8"/>
  <c r="D3324" i="8"/>
  <c r="D3325" i="8"/>
  <c r="D3326" i="8"/>
  <c r="D3327" i="8"/>
  <c r="D3328" i="8"/>
  <c r="D3329" i="8"/>
  <c r="D3330" i="8"/>
  <c r="D3331" i="8"/>
  <c r="D3332" i="8"/>
  <c r="D3333" i="8"/>
  <c r="D3334" i="8"/>
  <c r="D3335" i="8"/>
  <c r="D3336" i="8"/>
  <c r="D3337" i="8"/>
  <c r="D3338" i="8"/>
  <c r="D3339" i="8"/>
  <c r="D3340" i="8"/>
  <c r="D3341" i="8"/>
  <c r="D3342" i="8"/>
  <c r="D3343" i="8"/>
  <c r="D3344" i="8"/>
  <c r="D3345" i="8"/>
  <c r="D3346" i="8"/>
  <c r="D3347" i="8"/>
  <c r="D3348" i="8"/>
  <c r="D3349" i="8"/>
  <c r="D3350" i="8"/>
  <c r="D3351" i="8"/>
  <c r="D3352" i="8"/>
  <c r="D3353" i="8"/>
  <c r="D3354" i="8"/>
  <c r="D3355" i="8"/>
  <c r="D3356" i="8"/>
  <c r="D3357" i="8"/>
  <c r="D3358" i="8"/>
  <c r="D3359" i="8"/>
  <c r="D3360" i="8"/>
  <c r="D3361" i="8"/>
  <c r="D3362" i="8"/>
  <c r="D3363" i="8"/>
  <c r="D3364" i="8"/>
  <c r="D3365" i="8"/>
  <c r="D3366" i="8"/>
  <c r="D3367" i="8"/>
  <c r="D3368" i="8"/>
  <c r="D3369" i="8"/>
  <c r="D3370" i="8"/>
  <c r="D3371" i="8"/>
  <c r="D3372" i="8"/>
  <c r="D3373" i="8"/>
  <c r="D3374" i="8"/>
  <c r="D3375" i="8"/>
  <c r="D3376" i="8"/>
  <c r="D3377" i="8"/>
  <c r="D3378" i="8"/>
  <c r="D3379" i="8"/>
  <c r="D3380" i="8"/>
  <c r="D3381" i="8"/>
  <c r="D3382" i="8"/>
  <c r="D3383" i="8"/>
  <c r="D3384" i="8"/>
  <c r="D3385" i="8"/>
  <c r="D3386" i="8"/>
  <c r="D3387" i="8"/>
  <c r="D3388" i="8"/>
  <c r="D3389" i="8"/>
  <c r="D3390" i="8"/>
  <c r="D3391" i="8"/>
  <c r="D3392" i="8"/>
  <c r="D3393" i="8"/>
  <c r="D3394" i="8"/>
  <c r="D3395" i="8"/>
  <c r="D3396" i="8"/>
  <c r="D3397" i="8"/>
  <c r="D3398" i="8"/>
  <c r="D3399" i="8"/>
  <c r="D3400" i="8"/>
  <c r="D3401" i="8"/>
  <c r="D3402" i="8"/>
  <c r="D3403" i="8"/>
  <c r="D3404" i="8"/>
  <c r="D3405" i="8"/>
  <c r="D3406" i="8"/>
  <c r="D3407" i="8"/>
  <c r="D3408" i="8"/>
  <c r="D3409" i="8"/>
  <c r="D3410" i="8"/>
  <c r="D3411" i="8"/>
  <c r="D3412" i="8"/>
  <c r="D3413" i="8"/>
  <c r="D3414" i="8"/>
  <c r="D3415" i="8"/>
  <c r="D3416" i="8"/>
  <c r="D3417" i="8"/>
  <c r="D3418" i="8"/>
  <c r="D3419" i="8"/>
  <c r="D3420" i="8"/>
  <c r="D3421" i="8"/>
  <c r="D3422" i="8"/>
  <c r="D3423" i="8"/>
  <c r="D3424" i="8"/>
  <c r="D3425" i="8"/>
  <c r="D3426" i="8"/>
  <c r="D3427" i="8"/>
  <c r="D3428" i="8"/>
  <c r="D3429" i="8"/>
  <c r="D3430" i="8"/>
  <c r="D3431" i="8"/>
  <c r="D3432" i="8"/>
  <c r="D3433" i="8"/>
  <c r="D3434" i="8"/>
  <c r="D3435" i="8"/>
  <c r="D3436" i="8"/>
  <c r="D3437" i="8"/>
  <c r="D3438" i="8"/>
  <c r="D3439" i="8"/>
  <c r="D3440" i="8"/>
  <c r="D3441" i="8"/>
  <c r="D3442" i="8"/>
  <c r="D3443" i="8"/>
  <c r="D3444" i="8"/>
  <c r="D3445" i="8"/>
  <c r="D3446" i="8"/>
  <c r="D3447" i="8"/>
  <c r="D3448" i="8"/>
  <c r="D3449" i="8"/>
  <c r="D3450" i="8"/>
  <c r="D3451" i="8"/>
  <c r="D3452" i="8"/>
  <c r="D3453" i="8"/>
  <c r="D3454" i="8"/>
  <c r="D3455" i="8"/>
  <c r="D3456" i="8"/>
  <c r="D3457" i="8"/>
  <c r="D3458" i="8"/>
  <c r="D3459" i="8"/>
  <c r="D3460" i="8"/>
  <c r="D3461" i="8"/>
  <c r="D3462" i="8"/>
  <c r="D3463" i="8"/>
  <c r="D3464" i="8"/>
  <c r="D3465" i="8"/>
  <c r="D3466" i="8"/>
  <c r="D3467" i="8"/>
  <c r="D3468" i="8"/>
  <c r="D3469" i="8"/>
  <c r="D3470" i="8"/>
  <c r="D3471" i="8"/>
  <c r="D3472" i="8"/>
  <c r="D3473" i="8"/>
  <c r="D3474" i="8"/>
  <c r="D3475" i="8"/>
  <c r="D3476" i="8"/>
  <c r="D3477" i="8"/>
  <c r="D3478" i="8"/>
  <c r="D3479" i="8"/>
  <c r="D3480" i="8"/>
  <c r="D3481" i="8"/>
  <c r="D3482" i="8"/>
  <c r="D3483" i="8"/>
  <c r="D3484" i="8"/>
  <c r="D3485" i="8"/>
  <c r="D3486" i="8"/>
  <c r="D3487" i="8"/>
  <c r="D3488" i="8"/>
  <c r="D3489" i="8"/>
  <c r="D3490" i="8"/>
  <c r="D3491" i="8"/>
  <c r="D3492" i="8"/>
  <c r="D3493" i="8"/>
  <c r="D3494" i="8"/>
  <c r="D3495" i="8"/>
  <c r="D3496" i="8"/>
  <c r="D3497" i="8"/>
  <c r="D3498" i="8"/>
  <c r="D3499" i="8"/>
  <c r="D3500" i="8"/>
  <c r="D3501" i="8"/>
  <c r="D3502" i="8"/>
  <c r="D3503" i="8"/>
  <c r="D3504" i="8"/>
  <c r="D3505" i="8"/>
  <c r="D3506" i="8"/>
  <c r="D3507" i="8"/>
  <c r="D3508" i="8"/>
  <c r="D3509" i="8"/>
  <c r="D3510" i="8"/>
  <c r="D3511" i="8"/>
  <c r="D3512" i="8"/>
  <c r="D3513" i="8"/>
  <c r="D3514" i="8"/>
  <c r="D3515" i="8"/>
  <c r="D3516" i="8"/>
  <c r="D3517" i="8"/>
  <c r="D3518" i="8"/>
  <c r="D3519" i="8"/>
  <c r="D3520" i="8"/>
  <c r="D3521" i="8"/>
  <c r="D3522" i="8"/>
  <c r="D3523" i="8"/>
  <c r="D3524" i="8"/>
  <c r="D3525" i="8"/>
  <c r="D3526" i="8"/>
  <c r="D3527" i="8"/>
  <c r="D3528" i="8"/>
  <c r="D3529" i="8"/>
  <c r="D3530" i="8"/>
  <c r="D3531" i="8"/>
  <c r="D3532" i="8"/>
  <c r="D3533" i="8"/>
  <c r="D3534" i="8"/>
  <c r="D3535" i="8"/>
  <c r="D3536" i="8"/>
  <c r="D3537" i="8"/>
  <c r="D3538" i="8"/>
  <c r="D3539" i="8"/>
  <c r="D3540" i="8"/>
  <c r="D3541" i="8"/>
  <c r="D3542" i="8"/>
  <c r="D3543" i="8"/>
  <c r="D3544" i="8"/>
  <c r="D3545" i="8"/>
  <c r="D3546" i="8"/>
  <c r="D3547" i="8"/>
  <c r="D3548" i="8"/>
  <c r="D3549" i="8"/>
  <c r="D3550" i="8"/>
  <c r="D3551" i="8"/>
  <c r="D3552" i="8"/>
  <c r="D3553" i="8"/>
  <c r="D3554" i="8"/>
  <c r="D3555" i="8"/>
  <c r="D3556" i="8"/>
  <c r="D3557" i="8"/>
  <c r="D3558" i="8"/>
  <c r="D3559" i="8"/>
  <c r="D3560" i="8"/>
  <c r="D3561" i="8"/>
  <c r="D3562" i="8"/>
  <c r="D3563" i="8"/>
  <c r="D3564" i="8"/>
  <c r="D3565" i="8"/>
  <c r="D3566" i="8"/>
  <c r="D3567" i="8"/>
  <c r="D3568" i="8"/>
  <c r="D3569" i="8"/>
  <c r="D3570" i="8"/>
  <c r="D3571" i="8"/>
  <c r="D3572" i="8"/>
  <c r="D3573" i="8"/>
  <c r="D3574" i="8"/>
  <c r="D3575" i="8"/>
  <c r="D3576" i="8"/>
  <c r="D3577" i="8"/>
  <c r="D3578" i="8"/>
  <c r="D3579" i="8"/>
  <c r="D3580" i="8"/>
  <c r="D3581" i="8"/>
  <c r="D3582" i="8"/>
  <c r="D3583" i="8"/>
  <c r="D3584" i="8"/>
  <c r="D3585" i="8"/>
  <c r="D3586" i="8"/>
  <c r="D3587" i="8"/>
  <c r="D3588" i="8"/>
  <c r="D3589" i="8"/>
  <c r="D3590" i="8"/>
  <c r="D3591" i="8"/>
  <c r="D3592" i="8"/>
  <c r="D3593" i="8"/>
  <c r="D3594" i="8"/>
  <c r="D3595" i="8"/>
  <c r="D3596" i="8"/>
  <c r="D3597" i="8"/>
  <c r="D3598" i="8"/>
  <c r="D3599" i="8"/>
  <c r="D3600" i="8"/>
  <c r="D3601" i="8"/>
  <c r="D3602" i="8"/>
  <c r="D3603" i="8"/>
  <c r="D3604" i="8"/>
  <c r="D3605" i="8"/>
  <c r="D3606" i="8"/>
  <c r="D3607" i="8"/>
  <c r="D3608" i="8"/>
  <c r="D3609" i="8"/>
  <c r="D3610" i="8"/>
  <c r="D3611" i="8"/>
  <c r="D3612" i="8"/>
  <c r="D3613" i="8"/>
  <c r="D3614" i="8"/>
  <c r="D3615" i="8"/>
  <c r="D3616" i="8"/>
  <c r="D3617" i="8"/>
  <c r="D3618" i="8"/>
  <c r="D3619" i="8"/>
  <c r="D3620" i="8"/>
  <c r="D3621" i="8"/>
  <c r="D3622" i="8"/>
  <c r="D3623" i="8"/>
  <c r="D3624" i="8"/>
  <c r="D3625" i="8"/>
  <c r="D3626" i="8"/>
  <c r="D3627" i="8"/>
  <c r="D3628" i="8"/>
  <c r="D3629" i="8"/>
  <c r="D3630" i="8"/>
  <c r="D3631" i="8"/>
  <c r="D3632" i="8"/>
  <c r="D3633" i="8"/>
  <c r="D3634" i="8"/>
  <c r="D3635" i="8"/>
  <c r="D3636" i="8"/>
  <c r="D3637" i="8"/>
  <c r="D3638" i="8"/>
  <c r="D3639" i="8"/>
  <c r="D3640" i="8"/>
  <c r="D3641" i="8"/>
  <c r="D3642" i="8"/>
  <c r="D3643" i="8"/>
  <c r="D3644" i="8"/>
  <c r="D3645" i="8"/>
  <c r="D3646" i="8"/>
  <c r="D3647" i="8"/>
  <c r="D3648" i="8"/>
  <c r="D3649" i="8"/>
  <c r="D3650" i="8"/>
  <c r="D3651" i="8"/>
  <c r="D3652" i="8"/>
  <c r="D3653" i="8"/>
  <c r="D3654" i="8"/>
  <c r="D3655" i="8"/>
  <c r="D3656" i="8"/>
  <c r="D3657" i="8"/>
  <c r="D3658" i="8"/>
  <c r="D3659" i="8"/>
  <c r="D3660" i="8"/>
  <c r="D3661" i="8"/>
  <c r="D3662" i="8"/>
  <c r="D3663" i="8"/>
  <c r="D3664" i="8"/>
  <c r="D3665" i="8"/>
  <c r="D3666" i="8"/>
  <c r="D3667" i="8"/>
  <c r="D3668" i="8"/>
  <c r="D3669" i="8"/>
  <c r="D3670" i="8"/>
  <c r="D3671" i="8"/>
  <c r="D3672" i="8"/>
  <c r="D3673" i="8"/>
  <c r="D3674" i="8"/>
  <c r="D3675" i="8"/>
  <c r="D3676" i="8"/>
  <c r="D3677" i="8"/>
  <c r="D3678" i="8"/>
  <c r="D3679" i="8"/>
  <c r="D3680" i="8"/>
  <c r="D3681" i="8"/>
  <c r="D3682" i="8"/>
  <c r="D3683" i="8"/>
  <c r="D3684" i="8"/>
  <c r="D3685" i="8"/>
  <c r="D3686" i="8"/>
  <c r="D3687" i="8"/>
  <c r="D3688" i="8"/>
  <c r="D3689" i="8"/>
  <c r="D3690" i="8"/>
  <c r="D3691" i="8"/>
  <c r="D3692" i="8"/>
  <c r="D3693" i="8"/>
  <c r="D3694" i="8"/>
  <c r="D3695" i="8"/>
  <c r="D3696" i="8"/>
  <c r="D3697" i="8"/>
  <c r="D3698" i="8"/>
  <c r="D3699" i="8"/>
  <c r="D3700" i="8"/>
  <c r="D3701" i="8"/>
  <c r="D3702" i="8"/>
  <c r="D3703" i="8"/>
  <c r="D3704" i="8"/>
  <c r="D3705" i="8"/>
  <c r="D3706" i="8"/>
  <c r="D3707" i="8"/>
  <c r="D3708" i="8"/>
  <c r="D3709" i="8"/>
  <c r="D3710" i="8"/>
  <c r="D3711" i="8"/>
  <c r="D3712" i="8"/>
  <c r="D3713" i="8"/>
  <c r="D3714" i="8"/>
  <c r="D3715" i="8"/>
  <c r="D3716" i="8"/>
  <c r="D3717" i="8"/>
  <c r="D3718" i="8"/>
  <c r="D3719" i="8"/>
  <c r="D3720" i="8"/>
  <c r="D3721" i="8"/>
  <c r="D3722" i="8"/>
  <c r="D3723" i="8"/>
  <c r="D3724" i="8"/>
  <c r="D3725" i="8"/>
  <c r="D3726" i="8"/>
  <c r="D3727" i="8"/>
  <c r="D3728" i="8"/>
  <c r="D3729" i="8"/>
  <c r="D3730" i="8"/>
  <c r="D3731" i="8"/>
  <c r="D3732" i="8"/>
  <c r="D3733" i="8"/>
  <c r="D3734" i="8"/>
  <c r="D3735" i="8"/>
  <c r="D3736" i="8"/>
  <c r="D3737" i="8"/>
  <c r="D3738" i="8"/>
  <c r="D3739" i="8"/>
  <c r="D3740" i="8"/>
  <c r="D3741" i="8"/>
  <c r="D3742" i="8"/>
  <c r="D3743" i="8"/>
  <c r="D3744" i="8"/>
  <c r="D3745" i="8"/>
  <c r="D3746" i="8"/>
  <c r="D3747" i="8"/>
  <c r="D3748" i="8"/>
  <c r="D3749" i="8"/>
  <c r="D3750" i="8"/>
  <c r="D3751" i="8"/>
  <c r="D3752" i="8"/>
  <c r="D3753" i="8"/>
  <c r="D3754" i="8"/>
  <c r="D3755" i="8"/>
  <c r="D3756" i="8"/>
  <c r="D3757" i="8"/>
  <c r="D3758" i="8"/>
  <c r="D3759" i="8"/>
  <c r="D3760" i="8"/>
  <c r="D3761" i="8"/>
  <c r="D3762" i="8"/>
  <c r="D3763" i="8"/>
  <c r="D3764" i="8"/>
  <c r="D3765" i="8"/>
  <c r="D3766" i="8"/>
  <c r="D3767" i="8"/>
  <c r="D3768" i="8"/>
  <c r="D3769" i="8"/>
  <c r="D3770" i="8"/>
  <c r="D3771" i="8"/>
  <c r="D3772" i="8"/>
  <c r="D3773" i="8"/>
  <c r="D3774" i="8"/>
  <c r="D3775" i="8"/>
  <c r="D3776" i="8"/>
  <c r="D3777" i="8"/>
  <c r="D3778" i="8"/>
  <c r="D3779" i="8"/>
  <c r="D3780" i="8"/>
  <c r="D3781" i="8"/>
  <c r="D3782" i="8"/>
  <c r="D3783" i="8"/>
  <c r="D3784" i="8"/>
  <c r="D3785" i="8"/>
  <c r="D3786" i="8"/>
  <c r="D3787" i="8"/>
  <c r="D3788" i="8"/>
  <c r="D3789" i="8"/>
  <c r="D3790" i="8"/>
  <c r="D3791" i="8"/>
  <c r="D3792" i="8"/>
  <c r="D3793" i="8"/>
  <c r="D3794" i="8"/>
  <c r="D3795" i="8"/>
  <c r="D3796" i="8"/>
  <c r="D3797" i="8"/>
  <c r="D3798" i="8"/>
  <c r="D3799" i="8"/>
  <c r="D3800" i="8"/>
  <c r="D3801" i="8"/>
  <c r="D3802" i="8"/>
  <c r="D3803" i="8"/>
  <c r="D3804" i="8"/>
  <c r="D3805" i="8"/>
  <c r="D3806" i="8"/>
  <c r="D3807" i="8"/>
  <c r="D3808" i="8"/>
  <c r="D3809" i="8"/>
  <c r="D3810" i="8"/>
  <c r="D3811" i="8"/>
  <c r="D3812" i="8"/>
  <c r="D3813" i="8"/>
  <c r="D3814" i="8"/>
  <c r="D3815" i="8"/>
  <c r="D3816" i="8"/>
  <c r="D3817" i="8"/>
  <c r="D3818" i="8"/>
  <c r="D3819" i="8"/>
  <c r="D3820" i="8"/>
  <c r="D3821" i="8"/>
  <c r="D3822" i="8"/>
  <c r="D3823" i="8"/>
  <c r="D3824" i="8"/>
  <c r="D3825" i="8"/>
  <c r="D3826" i="8"/>
  <c r="D3827" i="8"/>
  <c r="D3828" i="8"/>
  <c r="D3829" i="8"/>
  <c r="D3830" i="8"/>
  <c r="D3831" i="8"/>
  <c r="D3832" i="8"/>
  <c r="D3833" i="8"/>
  <c r="D3834" i="8"/>
  <c r="D3835" i="8"/>
  <c r="D3836" i="8"/>
  <c r="D3837" i="8"/>
  <c r="D3838" i="8"/>
  <c r="D3839" i="8"/>
  <c r="D3840" i="8"/>
  <c r="D3841" i="8"/>
  <c r="D3842" i="8"/>
  <c r="D3843" i="8"/>
  <c r="D3844" i="8"/>
  <c r="D3845" i="8"/>
  <c r="D3846" i="8"/>
  <c r="D3847" i="8"/>
  <c r="D3848" i="8"/>
  <c r="D3849" i="8"/>
  <c r="D3850" i="8"/>
  <c r="D3851" i="8"/>
  <c r="D3852" i="8"/>
  <c r="D3853" i="8"/>
  <c r="D3854" i="8"/>
  <c r="D3855" i="8"/>
  <c r="D3856" i="8"/>
  <c r="D3857" i="8"/>
  <c r="D3858" i="8"/>
  <c r="D3859" i="8"/>
  <c r="D3860" i="8"/>
  <c r="D3861" i="8"/>
  <c r="D3862" i="8"/>
  <c r="D3863" i="8"/>
  <c r="D3864" i="8"/>
  <c r="D3865" i="8"/>
  <c r="D3866" i="8"/>
  <c r="D3867" i="8"/>
  <c r="D3868" i="8"/>
  <c r="D3869" i="8"/>
  <c r="D3870" i="8"/>
  <c r="D3871" i="8"/>
  <c r="D3872" i="8"/>
  <c r="D3873" i="8"/>
  <c r="D3874" i="8"/>
  <c r="D3875" i="8"/>
  <c r="D3876" i="8"/>
  <c r="D3877" i="8"/>
  <c r="D3878" i="8"/>
  <c r="D3879" i="8"/>
  <c r="D3880" i="8"/>
  <c r="D3881" i="8"/>
  <c r="D3882" i="8"/>
  <c r="D3883" i="8"/>
  <c r="D3884" i="8"/>
  <c r="D3885" i="8"/>
  <c r="D3886" i="8"/>
  <c r="D3887" i="8"/>
  <c r="D3888" i="8"/>
  <c r="D3889" i="8"/>
  <c r="D3890" i="8"/>
  <c r="D3891" i="8"/>
  <c r="D3892" i="8"/>
  <c r="D3893" i="8"/>
  <c r="D3894" i="8"/>
  <c r="D3895" i="8"/>
  <c r="D3896" i="8"/>
  <c r="D3897" i="8"/>
  <c r="D3898" i="8"/>
  <c r="D3899" i="8"/>
  <c r="D3900" i="8"/>
  <c r="D3901" i="8"/>
  <c r="D3902" i="8"/>
  <c r="D3903" i="8"/>
  <c r="D3904" i="8"/>
  <c r="D3905" i="8"/>
  <c r="D3906" i="8"/>
  <c r="D3907" i="8"/>
  <c r="D3908" i="8"/>
  <c r="D3909" i="8"/>
  <c r="D3910" i="8"/>
  <c r="D3911" i="8"/>
  <c r="D3912" i="8"/>
  <c r="D3913" i="8"/>
  <c r="D3914" i="8"/>
  <c r="D3915" i="8"/>
  <c r="D3916" i="8"/>
  <c r="D3917" i="8"/>
  <c r="D3918" i="8"/>
  <c r="D3919" i="8"/>
  <c r="D3920" i="8"/>
  <c r="D3921" i="8"/>
  <c r="D3922" i="8"/>
  <c r="D3923" i="8"/>
  <c r="D3924" i="8"/>
  <c r="D3925" i="8"/>
  <c r="D3926" i="8"/>
  <c r="D3927" i="8"/>
  <c r="D3928" i="8"/>
  <c r="D3929" i="8"/>
  <c r="D3930" i="8"/>
  <c r="D3931" i="8"/>
  <c r="D3932" i="8"/>
  <c r="D3933" i="8"/>
  <c r="D3934" i="8"/>
  <c r="D3935" i="8"/>
  <c r="D3936" i="8"/>
  <c r="D3937" i="8"/>
  <c r="D3938" i="8"/>
  <c r="D3939" i="8"/>
  <c r="D3940" i="8"/>
  <c r="D3941" i="8"/>
  <c r="D3942" i="8"/>
  <c r="D3943" i="8"/>
  <c r="D3944" i="8"/>
  <c r="D3945" i="8"/>
  <c r="D3946" i="8"/>
  <c r="D3947" i="8"/>
  <c r="D3948" i="8"/>
  <c r="D3949" i="8"/>
  <c r="D3950" i="8"/>
  <c r="D3951" i="8"/>
  <c r="D3952" i="8"/>
  <c r="D3953" i="8"/>
  <c r="D3954" i="8"/>
  <c r="D3955" i="8"/>
  <c r="D3956" i="8"/>
  <c r="D3957" i="8"/>
  <c r="D3958" i="8"/>
  <c r="D3959" i="8"/>
  <c r="D3960" i="8"/>
  <c r="D3961" i="8"/>
  <c r="D3962" i="8"/>
  <c r="D3963" i="8"/>
  <c r="D3964" i="8"/>
  <c r="D3965" i="8"/>
  <c r="D3966" i="8"/>
  <c r="D3967" i="8"/>
  <c r="D3968" i="8"/>
  <c r="D3969" i="8"/>
  <c r="D3970" i="8"/>
  <c r="D3971" i="8"/>
  <c r="D3972" i="8"/>
  <c r="D3973" i="8"/>
  <c r="D3974" i="8"/>
  <c r="D3975" i="8"/>
  <c r="D3976" i="8"/>
  <c r="D3977" i="8"/>
  <c r="D3978" i="8"/>
  <c r="D3979" i="8"/>
  <c r="D3980" i="8"/>
  <c r="D3981" i="8"/>
  <c r="D3982" i="8"/>
  <c r="D3983" i="8"/>
  <c r="D3984" i="8"/>
  <c r="D3985" i="8"/>
  <c r="D3986" i="8"/>
  <c r="D3987" i="8"/>
  <c r="D3988" i="8"/>
  <c r="D3989" i="8"/>
  <c r="D3990" i="8"/>
  <c r="D3991" i="8"/>
  <c r="D3992" i="8"/>
  <c r="D3993" i="8"/>
  <c r="D3994" i="8"/>
  <c r="D3995" i="8"/>
  <c r="D3996" i="8"/>
  <c r="D3997" i="8"/>
  <c r="D3998" i="8"/>
  <c r="D3999" i="8"/>
  <c r="D4000" i="8"/>
  <c r="D4001" i="8"/>
  <c r="D4002" i="8"/>
  <c r="D4003" i="8"/>
  <c r="D4004" i="8"/>
  <c r="D4005" i="8"/>
  <c r="D4006" i="8"/>
  <c r="D4007" i="8"/>
  <c r="D4008" i="8"/>
  <c r="D4009" i="8"/>
  <c r="D4010" i="8"/>
  <c r="D4011" i="8"/>
  <c r="D4012" i="8"/>
  <c r="D4013" i="8"/>
  <c r="D4014" i="8"/>
  <c r="D4015" i="8"/>
  <c r="D4016" i="8"/>
  <c r="D4017" i="8"/>
  <c r="D4018" i="8"/>
  <c r="D4019" i="8"/>
  <c r="D4020" i="8"/>
  <c r="D4021" i="8"/>
  <c r="D4022" i="8"/>
  <c r="D4023" i="8"/>
  <c r="D4024" i="8"/>
  <c r="D4025" i="8"/>
  <c r="D4026" i="8"/>
  <c r="D4027" i="8"/>
  <c r="D4028" i="8"/>
  <c r="D4029" i="8"/>
  <c r="D4030" i="8"/>
  <c r="D4031" i="8"/>
  <c r="D4032" i="8"/>
  <c r="D4033" i="8"/>
  <c r="D4034" i="8"/>
  <c r="D4035" i="8"/>
  <c r="D4036" i="8"/>
  <c r="D4037" i="8"/>
  <c r="D4038" i="8"/>
  <c r="D4039" i="8"/>
  <c r="D4040" i="8"/>
  <c r="D4041" i="8"/>
  <c r="D4042" i="8"/>
  <c r="D4043" i="8"/>
  <c r="D4044" i="8"/>
  <c r="D4045" i="8"/>
  <c r="D4046" i="8"/>
  <c r="D4047" i="8"/>
  <c r="D4048" i="8"/>
  <c r="D4049" i="8"/>
  <c r="D4050" i="8"/>
  <c r="D4051" i="8"/>
  <c r="D4052" i="8"/>
  <c r="D4053" i="8"/>
  <c r="D4054" i="8"/>
  <c r="D4055" i="8"/>
  <c r="D4056" i="8"/>
  <c r="D4057" i="8"/>
  <c r="D4058" i="8"/>
  <c r="D4059" i="8"/>
  <c r="D4060" i="8"/>
  <c r="D4061" i="8"/>
  <c r="D4062" i="8"/>
  <c r="D4063" i="8"/>
  <c r="D4064" i="8"/>
  <c r="D4065" i="8"/>
  <c r="D4066" i="8"/>
  <c r="D4067" i="8"/>
  <c r="D4068" i="8"/>
  <c r="D4069" i="8"/>
  <c r="D4070" i="8"/>
  <c r="D4071" i="8"/>
  <c r="D4072" i="8"/>
  <c r="D4073" i="8"/>
  <c r="D4074" i="8"/>
  <c r="D4075" i="8"/>
  <c r="D4076" i="8"/>
  <c r="D4077" i="8"/>
  <c r="D4078" i="8"/>
  <c r="D4079" i="8"/>
  <c r="D4080" i="8"/>
  <c r="D4081" i="8"/>
  <c r="D4082" i="8"/>
  <c r="D4083" i="8"/>
  <c r="D4084" i="8"/>
  <c r="D4085" i="8"/>
  <c r="D4086" i="8"/>
  <c r="D4087" i="8"/>
  <c r="D4088" i="8"/>
  <c r="D4089" i="8"/>
  <c r="D4090" i="8"/>
  <c r="D4091" i="8"/>
  <c r="D4092" i="8"/>
  <c r="D4093" i="8"/>
  <c r="D4094" i="8"/>
  <c r="D4095" i="8"/>
  <c r="D4096" i="8"/>
  <c r="D4097" i="8"/>
  <c r="D4098" i="8"/>
  <c r="D4099" i="8"/>
  <c r="D4100" i="8"/>
  <c r="D4101" i="8"/>
  <c r="D4102" i="8"/>
  <c r="D4103" i="8"/>
  <c r="D4104" i="8"/>
  <c r="D4105" i="8"/>
  <c r="D4106" i="8"/>
  <c r="D4107" i="8"/>
  <c r="D4108" i="8"/>
  <c r="D4109" i="8"/>
  <c r="D4110" i="8"/>
  <c r="D4111" i="8"/>
  <c r="D4112" i="8"/>
  <c r="D4113" i="8"/>
  <c r="D4114" i="8"/>
  <c r="D4115" i="8"/>
  <c r="D4116" i="8"/>
  <c r="D4117" i="8"/>
  <c r="D4118" i="8"/>
  <c r="D4119" i="8"/>
  <c r="D4120" i="8"/>
  <c r="D4121" i="8"/>
  <c r="D4122" i="8"/>
  <c r="D4123" i="8"/>
  <c r="D4124" i="8"/>
  <c r="D4125" i="8"/>
  <c r="D4126" i="8"/>
  <c r="D4127" i="8"/>
  <c r="D4128" i="8"/>
  <c r="D4129" i="8"/>
  <c r="D4130" i="8"/>
  <c r="D4131" i="8"/>
  <c r="D4132" i="8"/>
  <c r="D4133" i="8"/>
  <c r="D4134" i="8"/>
  <c r="D4135" i="8"/>
  <c r="D4136" i="8"/>
  <c r="D4137" i="8"/>
  <c r="D4138" i="8"/>
  <c r="D4139" i="8"/>
  <c r="D4140" i="8"/>
  <c r="D4141" i="8"/>
  <c r="D4142" i="8"/>
  <c r="D4143" i="8"/>
  <c r="D4144" i="8"/>
  <c r="D4145" i="8"/>
  <c r="D4146" i="8"/>
  <c r="D4147" i="8"/>
  <c r="D4148" i="8"/>
  <c r="D4149" i="8"/>
  <c r="D4150" i="8"/>
  <c r="D4151" i="8"/>
  <c r="D4152" i="8"/>
  <c r="D4153" i="8"/>
  <c r="D4154" i="8"/>
  <c r="D4155" i="8"/>
  <c r="D4156" i="8"/>
  <c r="D4157" i="8"/>
  <c r="D4158" i="8"/>
  <c r="D4159" i="8"/>
  <c r="D4160" i="8"/>
  <c r="D4161" i="8"/>
  <c r="D4162" i="8"/>
  <c r="D4163" i="8"/>
  <c r="D4164" i="8"/>
  <c r="D4165" i="8"/>
  <c r="D4166" i="8"/>
  <c r="D4167" i="8"/>
  <c r="D4168" i="8"/>
  <c r="D4169" i="8"/>
  <c r="D4170" i="8"/>
  <c r="D4171" i="8"/>
  <c r="D4172" i="8"/>
  <c r="D4173" i="8"/>
  <c r="D4174" i="8"/>
  <c r="D4175" i="8"/>
  <c r="D4176" i="8"/>
  <c r="D4177" i="8"/>
  <c r="D4178" i="8"/>
  <c r="D4179" i="8"/>
  <c r="D4180" i="8"/>
  <c r="D4181" i="8"/>
  <c r="D4182" i="8"/>
  <c r="D4183" i="8"/>
  <c r="D4184" i="8"/>
  <c r="D4185" i="8"/>
  <c r="D4186" i="8"/>
  <c r="D4187" i="8"/>
  <c r="D4188" i="8"/>
  <c r="D4189" i="8"/>
  <c r="D4190" i="8"/>
  <c r="D4191" i="8"/>
  <c r="D4192" i="8"/>
  <c r="D4193" i="8"/>
  <c r="D4194" i="8"/>
  <c r="D4195" i="8"/>
  <c r="D4196" i="8"/>
  <c r="D4197" i="8"/>
  <c r="D4198" i="8"/>
  <c r="D4199" i="8"/>
  <c r="D4200" i="8"/>
  <c r="D4201" i="8"/>
  <c r="D4202" i="8"/>
  <c r="D4203" i="8"/>
  <c r="D4204" i="8"/>
  <c r="D4205" i="8"/>
  <c r="D4206" i="8"/>
  <c r="D4207" i="8"/>
  <c r="D4208" i="8"/>
  <c r="D4209" i="8"/>
  <c r="D4210" i="8"/>
  <c r="D4211" i="8"/>
  <c r="D4212" i="8"/>
  <c r="D4213" i="8"/>
  <c r="D4214" i="8"/>
  <c r="D4215" i="8"/>
  <c r="D4216" i="8"/>
  <c r="D4217" i="8"/>
  <c r="D4218" i="8"/>
  <c r="D4219" i="8"/>
  <c r="D4220" i="8"/>
  <c r="D4221" i="8"/>
  <c r="D4222" i="8"/>
  <c r="D4223" i="8"/>
  <c r="D4224" i="8"/>
  <c r="D4225" i="8"/>
  <c r="D4226" i="8"/>
  <c r="D4227" i="8"/>
  <c r="D4228" i="8"/>
  <c r="D4229" i="8"/>
  <c r="D4230" i="8"/>
  <c r="D4231" i="8"/>
  <c r="D4232" i="8"/>
  <c r="D4233" i="8"/>
  <c r="D4234" i="8"/>
  <c r="D4235" i="8"/>
  <c r="D4236" i="8"/>
  <c r="D4237" i="8"/>
  <c r="D4238" i="8"/>
  <c r="D4239" i="8"/>
  <c r="D4240" i="8"/>
  <c r="D4241" i="8"/>
  <c r="D4242" i="8"/>
  <c r="D4243" i="8"/>
  <c r="D4244" i="8"/>
  <c r="D4245" i="8"/>
  <c r="D4246" i="8"/>
  <c r="D4247" i="8"/>
  <c r="D4248" i="8"/>
  <c r="D4249" i="8"/>
  <c r="D4250" i="8"/>
  <c r="D4251" i="8"/>
  <c r="D4252" i="8"/>
  <c r="D4253" i="8"/>
  <c r="D4254" i="8"/>
  <c r="D4255" i="8"/>
  <c r="D4256" i="8"/>
  <c r="D4257" i="8"/>
  <c r="D4258" i="8"/>
  <c r="D4259" i="8"/>
  <c r="D4260" i="8"/>
  <c r="D4261" i="8"/>
  <c r="D4262" i="8"/>
  <c r="D4263" i="8"/>
  <c r="D4264" i="8"/>
  <c r="D4265" i="8"/>
  <c r="D4266" i="8"/>
  <c r="D4267" i="8"/>
  <c r="D4268" i="8"/>
  <c r="D4269" i="8"/>
  <c r="D4270" i="8"/>
  <c r="D4271" i="8"/>
  <c r="D4272" i="8"/>
  <c r="D4273" i="8"/>
  <c r="D4274" i="8"/>
  <c r="D4275" i="8"/>
  <c r="D4276" i="8"/>
  <c r="D4277" i="8"/>
  <c r="D4278" i="8"/>
  <c r="D4279" i="8"/>
  <c r="D4280" i="8"/>
  <c r="D4281" i="8"/>
  <c r="D4282" i="8"/>
  <c r="D4283" i="8"/>
  <c r="D4284" i="8"/>
  <c r="D4285" i="8"/>
  <c r="D4286" i="8"/>
  <c r="D4287" i="8"/>
  <c r="D4288" i="8"/>
  <c r="D4289" i="8"/>
  <c r="D4290" i="8"/>
  <c r="D4291" i="8"/>
  <c r="D4292" i="8"/>
  <c r="D4293" i="8"/>
  <c r="D4294" i="8"/>
  <c r="D4295" i="8"/>
  <c r="D4296" i="8"/>
  <c r="D4297" i="8"/>
  <c r="D4298" i="8"/>
  <c r="D4299" i="8"/>
  <c r="D4300" i="8"/>
  <c r="D4301" i="8"/>
  <c r="D4302" i="8"/>
  <c r="D4303" i="8"/>
  <c r="D4304" i="8"/>
  <c r="D4305" i="8"/>
  <c r="D4306" i="8"/>
  <c r="D4307" i="8"/>
  <c r="D4308" i="8"/>
  <c r="D4309" i="8"/>
  <c r="D4310" i="8"/>
  <c r="D4311" i="8"/>
  <c r="D4312" i="8"/>
  <c r="D4313" i="8"/>
  <c r="D4314" i="8"/>
  <c r="D4315" i="8"/>
  <c r="D4316" i="8"/>
  <c r="D4317" i="8"/>
  <c r="D4318" i="8"/>
  <c r="D4319" i="8"/>
  <c r="D4320" i="8"/>
  <c r="D4321" i="8"/>
  <c r="D4322" i="8"/>
  <c r="D4323" i="8"/>
  <c r="D4324" i="8"/>
  <c r="D4325" i="8"/>
  <c r="D4326" i="8"/>
  <c r="D4327" i="8"/>
  <c r="D4328" i="8"/>
  <c r="D4329" i="8"/>
  <c r="D4330" i="8"/>
  <c r="D4331" i="8"/>
  <c r="D4332" i="8"/>
  <c r="D4333" i="8"/>
  <c r="D4334" i="8"/>
  <c r="D4335" i="8"/>
  <c r="D4336" i="8"/>
  <c r="D4337" i="8"/>
  <c r="D4338" i="8"/>
  <c r="D4339" i="8"/>
  <c r="D4340" i="8"/>
  <c r="D4341" i="8"/>
  <c r="D4342" i="8"/>
  <c r="D4343" i="8"/>
  <c r="D4344" i="8"/>
  <c r="D4345" i="8"/>
  <c r="D4346" i="8"/>
  <c r="D4347" i="8"/>
  <c r="D4348" i="8"/>
  <c r="D4349" i="8"/>
  <c r="D4350" i="8"/>
  <c r="D4351" i="8"/>
  <c r="D4352" i="8"/>
  <c r="D4353" i="8"/>
  <c r="D4354" i="8"/>
  <c r="D4355" i="8"/>
  <c r="D4356" i="8"/>
  <c r="D4357" i="8"/>
  <c r="D4358" i="8"/>
  <c r="D4359" i="8"/>
  <c r="D4360" i="8"/>
  <c r="D4361" i="8"/>
  <c r="D4362" i="8"/>
  <c r="D4363" i="8"/>
  <c r="D4364" i="8"/>
  <c r="D4365" i="8"/>
  <c r="D4366" i="8"/>
  <c r="D4367" i="8"/>
  <c r="D4368" i="8"/>
  <c r="D4369" i="8"/>
  <c r="D4370" i="8"/>
  <c r="D4371" i="8"/>
  <c r="D4372" i="8"/>
  <c r="D4373" i="8"/>
  <c r="D4374" i="8"/>
  <c r="D4375" i="8"/>
  <c r="D4376" i="8"/>
  <c r="D4377" i="8"/>
  <c r="D4378" i="8"/>
  <c r="D4379" i="8"/>
  <c r="D4380" i="8"/>
  <c r="D4381" i="8"/>
  <c r="D4382" i="8"/>
  <c r="D4383" i="8"/>
  <c r="D4384" i="8"/>
  <c r="D4385" i="8"/>
  <c r="D4386" i="8"/>
  <c r="D4387" i="8"/>
  <c r="D4388" i="8"/>
  <c r="D4389" i="8"/>
  <c r="D4390" i="8"/>
  <c r="D4391" i="8"/>
  <c r="D4392" i="8"/>
  <c r="D4393" i="8"/>
  <c r="D4394" i="8"/>
  <c r="D4395" i="8"/>
  <c r="D4396" i="8"/>
  <c r="D4397" i="8"/>
  <c r="D4398" i="8"/>
  <c r="D4399" i="8"/>
  <c r="D4400" i="8"/>
  <c r="D4401" i="8"/>
  <c r="D4402" i="8"/>
  <c r="D4403" i="8"/>
  <c r="D4404" i="8"/>
  <c r="D4405" i="8"/>
  <c r="D4406" i="8"/>
  <c r="D4407" i="8"/>
  <c r="D4408" i="8"/>
  <c r="D4409" i="8"/>
  <c r="D4410" i="8"/>
  <c r="D4411" i="8"/>
  <c r="D4412" i="8"/>
  <c r="D4413" i="8"/>
  <c r="D4414" i="8"/>
  <c r="D4415" i="8"/>
  <c r="D4416" i="8"/>
  <c r="D4417" i="8"/>
  <c r="D4418" i="8"/>
  <c r="D4419" i="8"/>
  <c r="D4420" i="8"/>
  <c r="D4421" i="8"/>
  <c r="D4422" i="8"/>
  <c r="D4423" i="8"/>
  <c r="D4424" i="8"/>
  <c r="D4425" i="8"/>
  <c r="D4426" i="8"/>
  <c r="D4427" i="8"/>
  <c r="D4428" i="8"/>
  <c r="D4429" i="8"/>
  <c r="B4323" i="8"/>
  <c r="B4324" i="8" s="1"/>
  <c r="B4325" i="8" s="1"/>
  <c r="B4326" i="8" s="1"/>
  <c r="B4327" i="8" s="1"/>
  <c r="B4328" i="8" s="1"/>
  <c r="B4329" i="8" s="1"/>
  <c r="B4330" i="8" s="1"/>
  <c r="B4331" i="8" s="1"/>
  <c r="B4332" i="8" s="1"/>
  <c r="B4333" i="8" s="1"/>
  <c r="B4334" i="8" s="1"/>
  <c r="B4335" i="8" s="1"/>
  <c r="B4336" i="8" s="1"/>
  <c r="B4337" i="8" s="1"/>
  <c r="B4338" i="8" s="1"/>
  <c r="B4339" i="8" s="1"/>
  <c r="B4340" i="8" s="1"/>
  <c r="B4341" i="8" s="1"/>
  <c r="B4342" i="8" s="1"/>
  <c r="B4343" i="8" s="1"/>
  <c r="B4344" i="8" s="1"/>
  <c r="B4345" i="8" s="1"/>
  <c r="B4346" i="8" s="1"/>
  <c r="B4347" i="8" s="1"/>
  <c r="B4348" i="8" s="1"/>
  <c r="B4349" i="8" s="1"/>
  <c r="B4350" i="8" s="1"/>
  <c r="B4351" i="8" s="1"/>
  <c r="B4352" i="8" s="1"/>
  <c r="B4353" i="8" s="1"/>
  <c r="B4354" i="8" s="1"/>
  <c r="B4355" i="8" s="1"/>
  <c r="B4356" i="8" s="1"/>
  <c r="B4357" i="8" s="1"/>
  <c r="B4358" i="8" s="1"/>
  <c r="B4359" i="8" s="1"/>
  <c r="B4360" i="8" s="1"/>
  <c r="B4361" i="8" s="1"/>
  <c r="B4362" i="8" s="1"/>
  <c r="B4363" i="8" s="1"/>
  <c r="B4364" i="8" s="1"/>
  <c r="B4365" i="8" s="1"/>
  <c r="B4366" i="8" s="1"/>
  <c r="B4367" i="8" s="1"/>
  <c r="B4368" i="8" s="1"/>
  <c r="B4369" i="8" s="1"/>
  <c r="B4370" i="8" s="1"/>
  <c r="B4371" i="8" s="1"/>
  <c r="B4372" i="8" s="1"/>
  <c r="B4373" i="8" s="1"/>
  <c r="B4374" i="8" s="1"/>
  <c r="B4375" i="8" s="1"/>
  <c r="B4215" i="8"/>
  <c r="B4216" i="8" s="1"/>
  <c r="B4217" i="8" s="1"/>
  <c r="B4218" i="8" s="1"/>
  <c r="B4219" i="8" s="1"/>
  <c r="B4220" i="8" s="1"/>
  <c r="B4221" i="8" s="1"/>
  <c r="B4222" i="8" s="1"/>
  <c r="B4223" i="8" s="1"/>
  <c r="B4224" i="8" s="1"/>
  <c r="B4225" i="8" s="1"/>
  <c r="B4226" i="8" s="1"/>
  <c r="B4227" i="8" s="1"/>
  <c r="B4228" i="8" s="1"/>
  <c r="B4229" i="8" s="1"/>
  <c r="B4230" i="8" s="1"/>
  <c r="B4231" i="8" s="1"/>
  <c r="B4232" i="8" s="1"/>
  <c r="B4233" i="8" s="1"/>
  <c r="B4234" i="8" s="1"/>
  <c r="B4235" i="8" s="1"/>
  <c r="B4236" i="8" s="1"/>
  <c r="B4237" i="8" s="1"/>
  <c r="B4238" i="8" s="1"/>
  <c r="B4239" i="8" s="1"/>
  <c r="B4240" i="8" s="1"/>
  <c r="B4241" i="8" s="1"/>
  <c r="B4242" i="8" s="1"/>
  <c r="B4243" i="8" s="1"/>
  <c r="B4244" i="8" s="1"/>
  <c r="B4245" i="8" s="1"/>
  <c r="B4246" i="8" s="1"/>
  <c r="B4247" i="8" s="1"/>
  <c r="B4248" i="8" s="1"/>
  <c r="B4249" i="8" s="1"/>
  <c r="B4250" i="8" s="1"/>
  <c r="B4251" i="8" s="1"/>
  <c r="B4252" i="8" s="1"/>
  <c r="B4253" i="8" s="1"/>
  <c r="B4254" i="8" s="1"/>
  <c r="B4255" i="8" s="1"/>
  <c r="B4256" i="8" s="1"/>
  <c r="B4257" i="8" s="1"/>
  <c r="B4258" i="8" s="1"/>
  <c r="B4259" i="8" s="1"/>
  <c r="B4260" i="8" s="1"/>
  <c r="B4261" i="8" s="1"/>
  <c r="B4262" i="8" s="1"/>
  <c r="B4263" i="8" s="1"/>
  <c r="B4264" i="8" s="1"/>
  <c r="B4265" i="8" s="1"/>
  <c r="B4266" i="8" s="1"/>
  <c r="B4267" i="8" s="1"/>
  <c r="B4161" i="8"/>
  <c r="B4162" i="8" s="1"/>
  <c r="B4163" i="8" s="1"/>
  <c r="B4164" i="8" s="1"/>
  <c r="B4165" i="8" s="1"/>
  <c r="B4166" i="8" s="1"/>
  <c r="B4167" i="8" s="1"/>
  <c r="B4168" i="8" s="1"/>
  <c r="B4169" i="8" s="1"/>
  <c r="B4170" i="8" s="1"/>
  <c r="B4171" i="8" s="1"/>
  <c r="B4172" i="8" s="1"/>
  <c r="B4173" i="8" s="1"/>
  <c r="B4174" i="8" s="1"/>
  <c r="B4175" i="8" s="1"/>
  <c r="B4176" i="8" s="1"/>
  <c r="B4177" i="8" s="1"/>
  <c r="B4178" i="8" s="1"/>
  <c r="B4179" i="8" s="1"/>
  <c r="B4180" i="8" s="1"/>
  <c r="B4181" i="8" s="1"/>
  <c r="B4182" i="8" s="1"/>
  <c r="B4183" i="8" s="1"/>
  <c r="B4184" i="8" s="1"/>
  <c r="B4185" i="8" s="1"/>
  <c r="B4186" i="8" s="1"/>
  <c r="B4187" i="8" s="1"/>
  <c r="B4188" i="8" s="1"/>
  <c r="B4189" i="8" s="1"/>
  <c r="B4190" i="8" s="1"/>
  <c r="B4191" i="8" s="1"/>
  <c r="B4192" i="8" s="1"/>
  <c r="B4193" i="8" s="1"/>
  <c r="B4194" i="8" s="1"/>
  <c r="B4195" i="8" s="1"/>
  <c r="B4196" i="8" s="1"/>
  <c r="B4197" i="8" s="1"/>
  <c r="B4198" i="8" s="1"/>
  <c r="B4199" i="8" s="1"/>
  <c r="B4200" i="8" s="1"/>
  <c r="B4201" i="8" s="1"/>
  <c r="B4202" i="8" s="1"/>
  <c r="B4203" i="8" s="1"/>
  <c r="B4204" i="8" s="1"/>
  <c r="B4205" i="8" s="1"/>
  <c r="B4206" i="8" s="1"/>
  <c r="B4207" i="8" s="1"/>
  <c r="B4208" i="8" s="1"/>
  <c r="B4209" i="8" s="1"/>
  <c r="B4210" i="8" s="1"/>
  <c r="B4211" i="8" s="1"/>
  <c r="B4212" i="8" s="1"/>
  <c r="B4213" i="8" s="1"/>
  <c r="B4107" i="8"/>
  <c r="B4108" i="8" s="1"/>
  <c r="B4109" i="8" s="1"/>
  <c r="B4110" i="8" s="1"/>
  <c r="B4111" i="8" s="1"/>
  <c r="B4112" i="8" s="1"/>
  <c r="B4113" i="8" s="1"/>
  <c r="B4114" i="8" s="1"/>
  <c r="B4115" i="8" s="1"/>
  <c r="B4116" i="8" s="1"/>
  <c r="B4117" i="8" s="1"/>
  <c r="B4118" i="8" s="1"/>
  <c r="B4119" i="8" s="1"/>
  <c r="B4120" i="8" s="1"/>
  <c r="B4121" i="8" s="1"/>
  <c r="B4122" i="8" s="1"/>
  <c r="B4123" i="8" s="1"/>
  <c r="B4124" i="8" s="1"/>
  <c r="B4125" i="8" s="1"/>
  <c r="B4126" i="8" s="1"/>
  <c r="B4127" i="8" s="1"/>
  <c r="B4128" i="8" s="1"/>
  <c r="B4129" i="8" s="1"/>
  <c r="B4130" i="8" s="1"/>
  <c r="B4131" i="8" s="1"/>
  <c r="B4132" i="8" s="1"/>
  <c r="B4133" i="8" s="1"/>
  <c r="B4134" i="8" s="1"/>
  <c r="B4135" i="8" s="1"/>
  <c r="B4136" i="8" s="1"/>
  <c r="B4137" i="8" s="1"/>
  <c r="B4138" i="8" s="1"/>
  <c r="B4139" i="8" s="1"/>
  <c r="B4140" i="8" s="1"/>
  <c r="B4141" i="8" s="1"/>
  <c r="B4142" i="8" s="1"/>
  <c r="B4143" i="8" s="1"/>
  <c r="B4144" i="8" s="1"/>
  <c r="B4145" i="8" s="1"/>
  <c r="B4146" i="8" s="1"/>
  <c r="B4147" i="8" s="1"/>
  <c r="B4148" i="8" s="1"/>
  <c r="B4149" i="8" s="1"/>
  <c r="B4150" i="8" s="1"/>
  <c r="B4151" i="8" s="1"/>
  <c r="B4152" i="8" s="1"/>
  <c r="B4153" i="8" s="1"/>
  <c r="B4154" i="8" s="1"/>
  <c r="B4155" i="8" s="1"/>
  <c r="B4156" i="8" s="1"/>
  <c r="B4157" i="8" s="1"/>
  <c r="B4158" i="8" s="1"/>
  <c r="B4159" i="8" s="1"/>
  <c r="B4053" i="8"/>
  <c r="B4054" i="8" s="1"/>
  <c r="B4055" i="8" s="1"/>
  <c r="B4056" i="8" s="1"/>
  <c r="B4057" i="8" s="1"/>
  <c r="B4058" i="8" s="1"/>
  <c r="B4059" i="8" s="1"/>
  <c r="B4060" i="8" s="1"/>
  <c r="B4061" i="8" s="1"/>
  <c r="B4062" i="8" s="1"/>
  <c r="B4063" i="8" s="1"/>
  <c r="B4064" i="8" s="1"/>
  <c r="B4065" i="8" s="1"/>
  <c r="B4066" i="8" s="1"/>
  <c r="B4067" i="8" s="1"/>
  <c r="B4068" i="8" s="1"/>
  <c r="B4069" i="8" s="1"/>
  <c r="B4070" i="8" s="1"/>
  <c r="B4071" i="8" s="1"/>
  <c r="B4072" i="8" s="1"/>
  <c r="B4073" i="8" s="1"/>
  <c r="B4074" i="8" s="1"/>
  <c r="B4075" i="8" s="1"/>
  <c r="B4076" i="8" s="1"/>
  <c r="B4077" i="8" s="1"/>
  <c r="B4078" i="8" s="1"/>
  <c r="B4079" i="8" s="1"/>
  <c r="B4080" i="8" s="1"/>
  <c r="B4081" i="8" s="1"/>
  <c r="B4082" i="8" s="1"/>
  <c r="B4083" i="8" s="1"/>
  <c r="B4084" i="8" s="1"/>
  <c r="B4085" i="8" s="1"/>
  <c r="B4086" i="8" s="1"/>
  <c r="B4087" i="8" s="1"/>
  <c r="B4088" i="8" s="1"/>
  <c r="B4089" i="8" s="1"/>
  <c r="B4090" i="8" s="1"/>
  <c r="B4091" i="8" s="1"/>
  <c r="B4092" i="8" s="1"/>
  <c r="B4093" i="8" s="1"/>
  <c r="B4094" i="8" s="1"/>
  <c r="B4095" i="8" s="1"/>
  <c r="B4096" i="8" s="1"/>
  <c r="B4097" i="8" s="1"/>
  <c r="B4098" i="8" s="1"/>
  <c r="B4099" i="8" s="1"/>
  <c r="B4100" i="8" s="1"/>
  <c r="B4101" i="8" s="1"/>
  <c r="B4102" i="8" s="1"/>
  <c r="B4103" i="8" s="1"/>
  <c r="B4104" i="8" s="1"/>
  <c r="B4105" i="8" s="1"/>
  <c r="B3999" i="8"/>
  <c r="B4000" i="8" s="1"/>
  <c r="B4001" i="8" s="1"/>
  <c r="B4002" i="8" s="1"/>
  <c r="B4003" i="8" s="1"/>
  <c r="B4004" i="8" s="1"/>
  <c r="B4005" i="8" s="1"/>
  <c r="B4006" i="8" s="1"/>
  <c r="B4007" i="8" s="1"/>
  <c r="B4008" i="8" s="1"/>
  <c r="B4009" i="8" s="1"/>
  <c r="B4010" i="8" s="1"/>
  <c r="B4011" i="8" s="1"/>
  <c r="B4012" i="8" s="1"/>
  <c r="B4013" i="8" s="1"/>
  <c r="B4014" i="8" s="1"/>
  <c r="B4015" i="8" s="1"/>
  <c r="B4016" i="8" s="1"/>
  <c r="B4017" i="8" s="1"/>
  <c r="B4018" i="8" s="1"/>
  <c r="B4019" i="8" s="1"/>
  <c r="B4020" i="8" s="1"/>
  <c r="B4021" i="8" s="1"/>
  <c r="B4022" i="8" s="1"/>
  <c r="B4023" i="8" s="1"/>
  <c r="B4024" i="8" s="1"/>
  <c r="B4025" i="8" s="1"/>
  <c r="B4026" i="8" s="1"/>
  <c r="B4027" i="8" s="1"/>
  <c r="B4028" i="8" s="1"/>
  <c r="B4029" i="8" s="1"/>
  <c r="B4030" i="8" s="1"/>
  <c r="B4031" i="8" s="1"/>
  <c r="B4032" i="8" s="1"/>
  <c r="B4033" i="8" s="1"/>
  <c r="B4034" i="8" s="1"/>
  <c r="B4035" i="8" s="1"/>
  <c r="B4036" i="8" s="1"/>
  <c r="B4037" i="8" s="1"/>
  <c r="B4038" i="8" s="1"/>
  <c r="B4039" i="8" s="1"/>
  <c r="B4040" i="8" s="1"/>
  <c r="B4041" i="8" s="1"/>
  <c r="B4042" i="8" s="1"/>
  <c r="B4043" i="8" s="1"/>
  <c r="B4044" i="8" s="1"/>
  <c r="B4045" i="8" s="1"/>
  <c r="B4046" i="8" s="1"/>
  <c r="B4047" i="8" s="1"/>
  <c r="B4048" i="8" s="1"/>
  <c r="B4049" i="8" s="1"/>
  <c r="B4050" i="8" s="1"/>
  <c r="B4051" i="8" s="1"/>
  <c r="B3945" i="8"/>
  <c r="B3946" i="8" s="1"/>
  <c r="B3947" i="8" s="1"/>
  <c r="B3948" i="8" s="1"/>
  <c r="B3949" i="8" s="1"/>
  <c r="B3950" i="8" s="1"/>
  <c r="B3951" i="8" s="1"/>
  <c r="B3952" i="8" s="1"/>
  <c r="B3953" i="8" s="1"/>
  <c r="B3954" i="8" s="1"/>
  <c r="B3955" i="8" s="1"/>
  <c r="B3956" i="8" s="1"/>
  <c r="B3957" i="8" s="1"/>
  <c r="B3958" i="8" s="1"/>
  <c r="B3959" i="8" s="1"/>
  <c r="B3960" i="8" s="1"/>
  <c r="B3961" i="8" s="1"/>
  <c r="B3962" i="8" s="1"/>
  <c r="B3963" i="8" s="1"/>
  <c r="B3964" i="8" s="1"/>
  <c r="B3965" i="8" s="1"/>
  <c r="B3966" i="8" s="1"/>
  <c r="B3967" i="8" s="1"/>
  <c r="B3968" i="8" s="1"/>
  <c r="B3969" i="8" s="1"/>
  <c r="B3970" i="8" s="1"/>
  <c r="B3971" i="8" s="1"/>
  <c r="B3972" i="8" s="1"/>
  <c r="B3973" i="8" s="1"/>
  <c r="B3974" i="8" s="1"/>
  <c r="B3975" i="8" s="1"/>
  <c r="B3976" i="8" s="1"/>
  <c r="B3977" i="8" s="1"/>
  <c r="B3978" i="8" s="1"/>
  <c r="B3979" i="8" s="1"/>
  <c r="B3980" i="8" s="1"/>
  <c r="B3981" i="8" s="1"/>
  <c r="B3982" i="8" s="1"/>
  <c r="B3983" i="8" s="1"/>
  <c r="B3984" i="8" s="1"/>
  <c r="B3985" i="8" s="1"/>
  <c r="B3986" i="8" s="1"/>
  <c r="B3987" i="8" s="1"/>
  <c r="B3988" i="8" s="1"/>
  <c r="B3989" i="8" s="1"/>
  <c r="B3990" i="8" s="1"/>
  <c r="B3991" i="8" s="1"/>
  <c r="B3992" i="8" s="1"/>
  <c r="B3993" i="8" s="1"/>
  <c r="B3994" i="8" s="1"/>
  <c r="B3995" i="8" s="1"/>
  <c r="B3996" i="8" s="1"/>
  <c r="B3997" i="8" s="1"/>
  <c r="B3891" i="8"/>
  <c r="B3892" i="8" s="1"/>
  <c r="B3893" i="8" s="1"/>
  <c r="B3894" i="8" s="1"/>
  <c r="B3895" i="8" s="1"/>
  <c r="B3896" i="8" s="1"/>
  <c r="B3897" i="8" s="1"/>
  <c r="B3898" i="8" s="1"/>
  <c r="B3899" i="8" s="1"/>
  <c r="B3900" i="8" s="1"/>
  <c r="B3901" i="8" s="1"/>
  <c r="B3902" i="8" s="1"/>
  <c r="B3903" i="8" s="1"/>
  <c r="B3904" i="8" s="1"/>
  <c r="B3905" i="8" s="1"/>
  <c r="B3906" i="8" s="1"/>
  <c r="B3907" i="8" s="1"/>
  <c r="B3908" i="8" s="1"/>
  <c r="B3909" i="8" s="1"/>
  <c r="B3910" i="8" s="1"/>
  <c r="B3911" i="8" s="1"/>
  <c r="B3912" i="8" s="1"/>
  <c r="B3913" i="8" s="1"/>
  <c r="B3914" i="8" s="1"/>
  <c r="B3915" i="8" s="1"/>
  <c r="B3916" i="8" s="1"/>
  <c r="B3917" i="8" s="1"/>
  <c r="B3918" i="8" s="1"/>
  <c r="B3919" i="8" s="1"/>
  <c r="B3920" i="8" s="1"/>
  <c r="B3921" i="8" s="1"/>
  <c r="B3922" i="8" s="1"/>
  <c r="B3923" i="8" s="1"/>
  <c r="B3924" i="8" s="1"/>
  <c r="B3925" i="8" s="1"/>
  <c r="B3926" i="8" s="1"/>
  <c r="B3927" i="8" s="1"/>
  <c r="B3928" i="8" s="1"/>
  <c r="B3929" i="8" s="1"/>
  <c r="B3930" i="8" s="1"/>
  <c r="B3931" i="8" s="1"/>
  <c r="B3932" i="8" s="1"/>
  <c r="B3933" i="8" s="1"/>
  <c r="B3934" i="8" s="1"/>
  <c r="B3935" i="8" s="1"/>
  <c r="B3936" i="8" s="1"/>
  <c r="B3937" i="8" s="1"/>
  <c r="B3938" i="8" s="1"/>
  <c r="B3939" i="8" s="1"/>
  <c r="B3940" i="8" s="1"/>
  <c r="B3941" i="8" s="1"/>
  <c r="B3942" i="8" s="1"/>
  <c r="B3943" i="8" s="1"/>
  <c r="B3837" i="8"/>
  <c r="B3838" i="8" s="1"/>
  <c r="B3839" i="8" s="1"/>
  <c r="B3840" i="8" s="1"/>
  <c r="B3841" i="8" s="1"/>
  <c r="B3842" i="8" s="1"/>
  <c r="B3843" i="8" s="1"/>
  <c r="B3844" i="8" s="1"/>
  <c r="B3845" i="8" s="1"/>
  <c r="B3846" i="8" s="1"/>
  <c r="B3847" i="8" s="1"/>
  <c r="B3848" i="8" s="1"/>
  <c r="B3849" i="8" s="1"/>
  <c r="B3850" i="8" s="1"/>
  <c r="B3851" i="8" s="1"/>
  <c r="B3852" i="8" s="1"/>
  <c r="B3853" i="8" s="1"/>
  <c r="B3854" i="8" s="1"/>
  <c r="B3855" i="8" s="1"/>
  <c r="B3856" i="8" s="1"/>
  <c r="B3857" i="8" s="1"/>
  <c r="B3858" i="8" s="1"/>
  <c r="B3859" i="8" s="1"/>
  <c r="B3860" i="8" s="1"/>
  <c r="B3861" i="8" s="1"/>
  <c r="B3862" i="8" s="1"/>
  <c r="B3863" i="8" s="1"/>
  <c r="B3864" i="8" s="1"/>
  <c r="B3865" i="8" s="1"/>
  <c r="B3866" i="8" s="1"/>
  <c r="B3867" i="8" s="1"/>
  <c r="B3868" i="8" s="1"/>
  <c r="B3869" i="8" s="1"/>
  <c r="B3870" i="8" s="1"/>
  <c r="B3871" i="8" s="1"/>
  <c r="B3872" i="8" s="1"/>
  <c r="B3873" i="8" s="1"/>
  <c r="B3874" i="8" s="1"/>
  <c r="B3875" i="8" s="1"/>
  <c r="B3876" i="8" s="1"/>
  <c r="B3877" i="8" s="1"/>
  <c r="B3878" i="8" s="1"/>
  <c r="B3879" i="8" s="1"/>
  <c r="B3880" i="8" s="1"/>
  <c r="B3881" i="8" s="1"/>
  <c r="B3882" i="8" s="1"/>
  <c r="B3883" i="8" s="1"/>
  <c r="B3884" i="8" s="1"/>
  <c r="B3885" i="8" s="1"/>
  <c r="B3886" i="8" s="1"/>
  <c r="B3887" i="8" s="1"/>
  <c r="B3888" i="8" s="1"/>
  <c r="B3889" i="8" s="1"/>
  <c r="B3783" i="8"/>
  <c r="B3784" i="8" s="1"/>
  <c r="B3785" i="8" s="1"/>
  <c r="B3786" i="8" s="1"/>
  <c r="B3787" i="8" s="1"/>
  <c r="B3788" i="8" s="1"/>
  <c r="B3789" i="8" s="1"/>
  <c r="B3790" i="8" s="1"/>
  <c r="B3791" i="8" s="1"/>
  <c r="B3792" i="8" s="1"/>
  <c r="B3793" i="8" s="1"/>
  <c r="B3794" i="8" s="1"/>
  <c r="B3795" i="8" s="1"/>
  <c r="B3796" i="8" s="1"/>
  <c r="B3797" i="8" s="1"/>
  <c r="B3798" i="8" s="1"/>
  <c r="B3799" i="8" s="1"/>
  <c r="B3800" i="8" s="1"/>
  <c r="B3801" i="8" s="1"/>
  <c r="B3802" i="8" s="1"/>
  <c r="B3803" i="8" s="1"/>
  <c r="B3804" i="8" s="1"/>
  <c r="B3805" i="8" s="1"/>
  <c r="B3806" i="8" s="1"/>
  <c r="B3807" i="8" s="1"/>
  <c r="B3808" i="8" s="1"/>
  <c r="B3809" i="8" s="1"/>
  <c r="B3810" i="8" s="1"/>
  <c r="B3811" i="8" s="1"/>
  <c r="B3812" i="8" s="1"/>
  <c r="B3813" i="8" s="1"/>
  <c r="B3814" i="8" s="1"/>
  <c r="B3815" i="8" s="1"/>
  <c r="B3816" i="8" s="1"/>
  <c r="B3817" i="8" s="1"/>
  <c r="B3818" i="8" s="1"/>
  <c r="B3819" i="8" s="1"/>
  <c r="B3820" i="8" s="1"/>
  <c r="B3821" i="8" s="1"/>
  <c r="B3822" i="8" s="1"/>
  <c r="B3823" i="8" s="1"/>
  <c r="B3824" i="8" s="1"/>
  <c r="B3825" i="8" s="1"/>
  <c r="B3826" i="8" s="1"/>
  <c r="B3827" i="8" s="1"/>
  <c r="B3828" i="8" s="1"/>
  <c r="B3829" i="8" s="1"/>
  <c r="B3830" i="8" s="1"/>
  <c r="B3831" i="8" s="1"/>
  <c r="B3832" i="8" s="1"/>
  <c r="B3833" i="8" s="1"/>
  <c r="B3834" i="8" s="1"/>
  <c r="B3835" i="8" s="1"/>
  <c r="B3729" i="8"/>
  <c r="B3730" i="8" s="1"/>
  <c r="B3731" i="8" s="1"/>
  <c r="B3732" i="8" s="1"/>
  <c r="B3733" i="8" s="1"/>
  <c r="B3734" i="8" s="1"/>
  <c r="B3735" i="8" s="1"/>
  <c r="B3736" i="8" s="1"/>
  <c r="B3737" i="8" s="1"/>
  <c r="B3738" i="8" s="1"/>
  <c r="B3739" i="8" s="1"/>
  <c r="B3740" i="8" s="1"/>
  <c r="B3741" i="8" s="1"/>
  <c r="B3742" i="8" s="1"/>
  <c r="B3743" i="8" s="1"/>
  <c r="B3744" i="8" s="1"/>
  <c r="B3745" i="8" s="1"/>
  <c r="B3746" i="8" s="1"/>
  <c r="B3747" i="8" s="1"/>
  <c r="B3748" i="8" s="1"/>
  <c r="B3749" i="8" s="1"/>
  <c r="B3750" i="8" s="1"/>
  <c r="B3751" i="8" s="1"/>
  <c r="B3752" i="8" s="1"/>
  <c r="B3753" i="8" s="1"/>
  <c r="B3754" i="8" s="1"/>
  <c r="B3755" i="8" s="1"/>
  <c r="B3756" i="8" s="1"/>
  <c r="B3757" i="8" s="1"/>
  <c r="B3758" i="8" s="1"/>
  <c r="B3759" i="8" s="1"/>
  <c r="B3760" i="8" s="1"/>
  <c r="B3761" i="8" s="1"/>
  <c r="B3762" i="8" s="1"/>
  <c r="B3763" i="8" s="1"/>
  <c r="B3764" i="8" s="1"/>
  <c r="B3765" i="8" s="1"/>
  <c r="B3766" i="8" s="1"/>
  <c r="B3767" i="8" s="1"/>
  <c r="B3768" i="8" s="1"/>
  <c r="B3769" i="8" s="1"/>
  <c r="B3770" i="8" s="1"/>
  <c r="B3771" i="8" s="1"/>
  <c r="B3772" i="8" s="1"/>
  <c r="B3773" i="8" s="1"/>
  <c r="B3774" i="8" s="1"/>
  <c r="B3775" i="8" s="1"/>
  <c r="B3776" i="8" s="1"/>
  <c r="B3777" i="8" s="1"/>
  <c r="B3778" i="8" s="1"/>
  <c r="B3779" i="8" s="1"/>
  <c r="B3780" i="8" s="1"/>
  <c r="B3781" i="8" s="1"/>
  <c r="B3675" i="8"/>
  <c r="B3676" i="8" s="1"/>
  <c r="B3677" i="8" s="1"/>
  <c r="B3678" i="8" s="1"/>
  <c r="B3679" i="8" s="1"/>
  <c r="B3680" i="8" s="1"/>
  <c r="B3681" i="8" s="1"/>
  <c r="B3682" i="8" s="1"/>
  <c r="B3683" i="8" s="1"/>
  <c r="B3684" i="8" s="1"/>
  <c r="B3685" i="8" s="1"/>
  <c r="B3686" i="8" s="1"/>
  <c r="B3687" i="8" s="1"/>
  <c r="B3688" i="8" s="1"/>
  <c r="B3689" i="8" s="1"/>
  <c r="B3690" i="8" s="1"/>
  <c r="B3691" i="8" s="1"/>
  <c r="B3692" i="8" s="1"/>
  <c r="B3693" i="8" s="1"/>
  <c r="B3694" i="8" s="1"/>
  <c r="B3695" i="8" s="1"/>
  <c r="B3696" i="8" s="1"/>
  <c r="B3697" i="8" s="1"/>
  <c r="B3698" i="8" s="1"/>
  <c r="B3699" i="8" s="1"/>
  <c r="B3700" i="8" s="1"/>
  <c r="B3701" i="8" s="1"/>
  <c r="B3702" i="8" s="1"/>
  <c r="B3703" i="8" s="1"/>
  <c r="B3704" i="8" s="1"/>
  <c r="B3705" i="8" s="1"/>
  <c r="B3706" i="8" s="1"/>
  <c r="B3707" i="8" s="1"/>
  <c r="B3708" i="8" s="1"/>
  <c r="B3709" i="8" s="1"/>
  <c r="B3710" i="8" s="1"/>
  <c r="B3711" i="8" s="1"/>
  <c r="B3712" i="8" s="1"/>
  <c r="B3713" i="8" s="1"/>
  <c r="B3714" i="8" s="1"/>
  <c r="B3715" i="8" s="1"/>
  <c r="B3716" i="8" s="1"/>
  <c r="B3717" i="8" s="1"/>
  <c r="B3718" i="8" s="1"/>
  <c r="B3719" i="8" s="1"/>
  <c r="B3720" i="8" s="1"/>
  <c r="B3721" i="8" s="1"/>
  <c r="B3722" i="8" s="1"/>
  <c r="B3723" i="8" s="1"/>
  <c r="B3724" i="8" s="1"/>
  <c r="B3725" i="8" s="1"/>
  <c r="B3726" i="8" s="1"/>
  <c r="B3727" i="8" s="1"/>
  <c r="B3621" i="8"/>
  <c r="B3622" i="8" s="1"/>
  <c r="B3623" i="8" s="1"/>
  <c r="B3624" i="8" s="1"/>
  <c r="B3625" i="8" s="1"/>
  <c r="B3626" i="8" s="1"/>
  <c r="B3627" i="8" s="1"/>
  <c r="B3628" i="8" s="1"/>
  <c r="B3629" i="8" s="1"/>
  <c r="B3630" i="8" s="1"/>
  <c r="B3631" i="8" s="1"/>
  <c r="B3632" i="8" s="1"/>
  <c r="B3633" i="8" s="1"/>
  <c r="B3634" i="8" s="1"/>
  <c r="B3635" i="8" s="1"/>
  <c r="B3636" i="8" s="1"/>
  <c r="B3637" i="8" s="1"/>
  <c r="B3638" i="8" s="1"/>
  <c r="B3639" i="8" s="1"/>
  <c r="B3640" i="8" s="1"/>
  <c r="B3641" i="8" s="1"/>
  <c r="B3642" i="8" s="1"/>
  <c r="B3643" i="8" s="1"/>
  <c r="B3644" i="8" s="1"/>
  <c r="B3645" i="8" s="1"/>
  <c r="B3646" i="8" s="1"/>
  <c r="B3647" i="8" s="1"/>
  <c r="B3648" i="8" s="1"/>
  <c r="B3649" i="8" s="1"/>
  <c r="B3650" i="8" s="1"/>
  <c r="B3651" i="8" s="1"/>
  <c r="B3652" i="8" s="1"/>
  <c r="B3653" i="8" s="1"/>
  <c r="B3654" i="8" s="1"/>
  <c r="B3655" i="8" s="1"/>
  <c r="B3656" i="8" s="1"/>
  <c r="B3657" i="8" s="1"/>
  <c r="B3658" i="8" s="1"/>
  <c r="B3659" i="8" s="1"/>
  <c r="B3660" i="8" s="1"/>
  <c r="B3661" i="8" s="1"/>
  <c r="B3662" i="8" s="1"/>
  <c r="B3663" i="8" s="1"/>
  <c r="B3664" i="8" s="1"/>
  <c r="B3665" i="8" s="1"/>
  <c r="B3666" i="8" s="1"/>
  <c r="B3667" i="8" s="1"/>
  <c r="B3668" i="8" s="1"/>
  <c r="B3669" i="8" s="1"/>
  <c r="B3670" i="8" s="1"/>
  <c r="B3671" i="8" s="1"/>
  <c r="B3672" i="8" s="1"/>
  <c r="B3673" i="8" s="1"/>
  <c r="B3567" i="8"/>
  <c r="B3568" i="8" s="1"/>
  <c r="B3569" i="8" s="1"/>
  <c r="B3570" i="8" s="1"/>
  <c r="B3571" i="8" s="1"/>
  <c r="B3572" i="8" s="1"/>
  <c r="B3573" i="8" s="1"/>
  <c r="B3574" i="8" s="1"/>
  <c r="B3575" i="8" s="1"/>
  <c r="B3576" i="8" s="1"/>
  <c r="B3577" i="8" s="1"/>
  <c r="B3578" i="8" s="1"/>
  <c r="B3579" i="8" s="1"/>
  <c r="B3580" i="8" s="1"/>
  <c r="B3581" i="8" s="1"/>
  <c r="B3582" i="8" s="1"/>
  <c r="B3583" i="8" s="1"/>
  <c r="B3584" i="8" s="1"/>
  <c r="B3585" i="8" s="1"/>
  <c r="B3586" i="8" s="1"/>
  <c r="B3587" i="8" s="1"/>
  <c r="B3588" i="8" s="1"/>
  <c r="B3589" i="8" s="1"/>
  <c r="B3590" i="8" s="1"/>
  <c r="B3591" i="8" s="1"/>
  <c r="B3592" i="8" s="1"/>
  <c r="B3593" i="8" s="1"/>
  <c r="B3594" i="8" s="1"/>
  <c r="B3595" i="8" s="1"/>
  <c r="B3596" i="8" s="1"/>
  <c r="B3597" i="8" s="1"/>
  <c r="B3598" i="8" s="1"/>
  <c r="B3599" i="8" s="1"/>
  <c r="B3600" i="8" s="1"/>
  <c r="B3601" i="8" s="1"/>
  <c r="B3602" i="8" s="1"/>
  <c r="B3603" i="8" s="1"/>
  <c r="B3604" i="8" s="1"/>
  <c r="B3605" i="8" s="1"/>
  <c r="B3606" i="8" s="1"/>
  <c r="B3607" i="8" s="1"/>
  <c r="B3608" i="8" s="1"/>
  <c r="B3609" i="8" s="1"/>
  <c r="B3610" i="8" s="1"/>
  <c r="B3611" i="8" s="1"/>
  <c r="B3612" i="8" s="1"/>
  <c r="B3613" i="8" s="1"/>
  <c r="B3614" i="8" s="1"/>
  <c r="B3615" i="8" s="1"/>
  <c r="B3616" i="8" s="1"/>
  <c r="B3617" i="8" s="1"/>
  <c r="B3618" i="8" s="1"/>
  <c r="B3619" i="8" s="1"/>
  <c r="B3513" i="8"/>
  <c r="B3514" i="8" s="1"/>
  <c r="B3515" i="8" s="1"/>
  <c r="B3516" i="8" s="1"/>
  <c r="B3517" i="8" s="1"/>
  <c r="B3518" i="8" s="1"/>
  <c r="B3519" i="8" s="1"/>
  <c r="B3520" i="8" s="1"/>
  <c r="B3521" i="8" s="1"/>
  <c r="B3522" i="8" s="1"/>
  <c r="B3523" i="8" s="1"/>
  <c r="B3524" i="8" s="1"/>
  <c r="B3525" i="8" s="1"/>
  <c r="B3526" i="8" s="1"/>
  <c r="B3527" i="8" s="1"/>
  <c r="B3528" i="8" s="1"/>
  <c r="B3529" i="8" s="1"/>
  <c r="B3530" i="8" s="1"/>
  <c r="B3531" i="8" s="1"/>
  <c r="B3532" i="8" s="1"/>
  <c r="B3533" i="8" s="1"/>
  <c r="B3534" i="8" s="1"/>
  <c r="B3535" i="8" s="1"/>
  <c r="B3536" i="8" s="1"/>
  <c r="B3537" i="8" s="1"/>
  <c r="B3538" i="8" s="1"/>
  <c r="B3539" i="8" s="1"/>
  <c r="B3540" i="8" s="1"/>
  <c r="B3541" i="8" s="1"/>
  <c r="B3542" i="8" s="1"/>
  <c r="B3543" i="8" s="1"/>
  <c r="B3544" i="8" s="1"/>
  <c r="B3545" i="8" s="1"/>
  <c r="B3546" i="8" s="1"/>
  <c r="B3547" i="8" s="1"/>
  <c r="B3548" i="8" s="1"/>
  <c r="B3549" i="8" s="1"/>
  <c r="B3550" i="8" s="1"/>
  <c r="B3551" i="8" s="1"/>
  <c r="B3552" i="8" s="1"/>
  <c r="B3553" i="8" s="1"/>
  <c r="B3554" i="8" s="1"/>
  <c r="B3555" i="8" s="1"/>
  <c r="B3556" i="8" s="1"/>
  <c r="B3557" i="8" s="1"/>
  <c r="B3558" i="8" s="1"/>
  <c r="B3559" i="8" s="1"/>
  <c r="B3560" i="8" s="1"/>
  <c r="B3561" i="8" s="1"/>
  <c r="B3562" i="8" s="1"/>
  <c r="B3563" i="8" s="1"/>
  <c r="B3564" i="8" s="1"/>
  <c r="B3565" i="8" s="1"/>
  <c r="B3459" i="8"/>
  <c r="B3460" i="8" s="1"/>
  <c r="B3461" i="8" s="1"/>
  <c r="B3462" i="8" s="1"/>
  <c r="B3463" i="8" s="1"/>
  <c r="B3464" i="8" s="1"/>
  <c r="B3465" i="8" s="1"/>
  <c r="B3466" i="8" s="1"/>
  <c r="B3467" i="8" s="1"/>
  <c r="B3468" i="8" s="1"/>
  <c r="B3469" i="8" s="1"/>
  <c r="B3470" i="8" s="1"/>
  <c r="B3471" i="8" s="1"/>
  <c r="B3472" i="8" s="1"/>
  <c r="B3473" i="8" s="1"/>
  <c r="B3474" i="8" s="1"/>
  <c r="B3475" i="8" s="1"/>
  <c r="B3476" i="8" s="1"/>
  <c r="B3477" i="8" s="1"/>
  <c r="B3478" i="8" s="1"/>
  <c r="B3479" i="8" s="1"/>
  <c r="B3480" i="8" s="1"/>
  <c r="B3481" i="8" s="1"/>
  <c r="B3482" i="8" s="1"/>
  <c r="B3483" i="8" s="1"/>
  <c r="B3484" i="8" s="1"/>
  <c r="B3485" i="8" s="1"/>
  <c r="B3486" i="8" s="1"/>
  <c r="B3487" i="8" s="1"/>
  <c r="B3488" i="8" s="1"/>
  <c r="B3489" i="8" s="1"/>
  <c r="B3490" i="8" s="1"/>
  <c r="B3491" i="8" s="1"/>
  <c r="B3492" i="8" s="1"/>
  <c r="B3493" i="8" s="1"/>
  <c r="B3494" i="8" s="1"/>
  <c r="B3495" i="8" s="1"/>
  <c r="B3496" i="8" s="1"/>
  <c r="B3497" i="8" s="1"/>
  <c r="B3498" i="8" s="1"/>
  <c r="B3499" i="8" s="1"/>
  <c r="B3500" i="8" s="1"/>
  <c r="B3501" i="8" s="1"/>
  <c r="B3502" i="8" s="1"/>
  <c r="B3503" i="8" s="1"/>
  <c r="B3504" i="8" s="1"/>
  <c r="B3505" i="8" s="1"/>
  <c r="B3506" i="8" s="1"/>
  <c r="B3507" i="8" s="1"/>
  <c r="B3508" i="8" s="1"/>
  <c r="B3509" i="8" s="1"/>
  <c r="B3510" i="8" s="1"/>
  <c r="B3511" i="8" s="1"/>
  <c r="B3405" i="8"/>
  <c r="B3406" i="8" s="1"/>
  <c r="B3407" i="8" s="1"/>
  <c r="B3408" i="8" s="1"/>
  <c r="B3409" i="8" s="1"/>
  <c r="B3410" i="8" s="1"/>
  <c r="B3411" i="8" s="1"/>
  <c r="B3412" i="8" s="1"/>
  <c r="B3413" i="8" s="1"/>
  <c r="B3414" i="8" s="1"/>
  <c r="B3415" i="8" s="1"/>
  <c r="B3416" i="8" s="1"/>
  <c r="B3417" i="8" s="1"/>
  <c r="B3418" i="8" s="1"/>
  <c r="B3419" i="8" s="1"/>
  <c r="B3420" i="8" s="1"/>
  <c r="B3421" i="8" s="1"/>
  <c r="B3422" i="8" s="1"/>
  <c r="B3423" i="8" s="1"/>
  <c r="B3424" i="8" s="1"/>
  <c r="B3425" i="8" s="1"/>
  <c r="B3426" i="8" s="1"/>
  <c r="B3427" i="8" s="1"/>
  <c r="B3428" i="8" s="1"/>
  <c r="B3429" i="8" s="1"/>
  <c r="B3430" i="8" s="1"/>
  <c r="B3431" i="8" s="1"/>
  <c r="B3432" i="8" s="1"/>
  <c r="B3433" i="8" s="1"/>
  <c r="B3434" i="8" s="1"/>
  <c r="B3435" i="8" s="1"/>
  <c r="B3436" i="8" s="1"/>
  <c r="B3437" i="8" s="1"/>
  <c r="B3438" i="8" s="1"/>
  <c r="B3439" i="8" s="1"/>
  <c r="B3440" i="8" s="1"/>
  <c r="B3441" i="8" s="1"/>
  <c r="B3442" i="8" s="1"/>
  <c r="B3443" i="8" s="1"/>
  <c r="B3444" i="8" s="1"/>
  <c r="B3445" i="8" s="1"/>
  <c r="B3446" i="8" s="1"/>
  <c r="B3447" i="8" s="1"/>
  <c r="B3448" i="8" s="1"/>
  <c r="B3449" i="8" s="1"/>
  <c r="B3450" i="8" s="1"/>
  <c r="B3451" i="8" s="1"/>
  <c r="B3452" i="8" s="1"/>
  <c r="B3453" i="8" s="1"/>
  <c r="B3454" i="8" s="1"/>
  <c r="B3455" i="8" s="1"/>
  <c r="B3456" i="8" s="1"/>
  <c r="B3457" i="8" s="1"/>
  <c r="B3351" i="8"/>
  <c r="B3352" i="8" s="1"/>
  <c r="B3353" i="8" s="1"/>
  <c r="B3354" i="8" s="1"/>
  <c r="B3355" i="8" s="1"/>
  <c r="B3356" i="8" s="1"/>
  <c r="B3357" i="8" s="1"/>
  <c r="B3358" i="8" s="1"/>
  <c r="B3359" i="8" s="1"/>
  <c r="B3360" i="8" s="1"/>
  <c r="B3361" i="8" s="1"/>
  <c r="B3362" i="8" s="1"/>
  <c r="B3363" i="8" s="1"/>
  <c r="B3364" i="8" s="1"/>
  <c r="B3365" i="8" s="1"/>
  <c r="B3366" i="8" s="1"/>
  <c r="B3367" i="8" s="1"/>
  <c r="B3368" i="8" s="1"/>
  <c r="B3369" i="8" s="1"/>
  <c r="B3370" i="8" s="1"/>
  <c r="B3371" i="8" s="1"/>
  <c r="B3372" i="8" s="1"/>
  <c r="B3373" i="8" s="1"/>
  <c r="B3374" i="8" s="1"/>
  <c r="B3375" i="8" s="1"/>
  <c r="B3376" i="8" s="1"/>
  <c r="B3377" i="8" s="1"/>
  <c r="B3378" i="8" s="1"/>
  <c r="B3379" i="8" s="1"/>
  <c r="B3380" i="8" s="1"/>
  <c r="B3381" i="8" s="1"/>
  <c r="B3382" i="8" s="1"/>
  <c r="B3383" i="8" s="1"/>
  <c r="B3384" i="8" s="1"/>
  <c r="B3385" i="8" s="1"/>
  <c r="B3386" i="8" s="1"/>
  <c r="B3387" i="8" s="1"/>
  <c r="B3388" i="8" s="1"/>
  <c r="B3389" i="8" s="1"/>
  <c r="B3390" i="8" s="1"/>
  <c r="B3391" i="8" s="1"/>
  <c r="B3392" i="8" s="1"/>
  <c r="B3393" i="8" s="1"/>
  <c r="B3394" i="8" s="1"/>
  <c r="B3395" i="8" s="1"/>
  <c r="B3396" i="8" s="1"/>
  <c r="B3397" i="8" s="1"/>
  <c r="B3398" i="8" s="1"/>
  <c r="B3399" i="8" s="1"/>
  <c r="B3400" i="8" s="1"/>
  <c r="B3401" i="8" s="1"/>
  <c r="B3402" i="8" s="1"/>
  <c r="B3403" i="8" s="1"/>
  <c r="B3297" i="8"/>
  <c r="B3298" i="8" s="1"/>
  <c r="B3299" i="8" s="1"/>
  <c r="B3300" i="8" s="1"/>
  <c r="B3301" i="8" s="1"/>
  <c r="B3302" i="8" s="1"/>
  <c r="B3303" i="8" s="1"/>
  <c r="B3304" i="8" s="1"/>
  <c r="B3305" i="8" s="1"/>
  <c r="B3306" i="8" s="1"/>
  <c r="B3307" i="8" s="1"/>
  <c r="B3308" i="8" s="1"/>
  <c r="B3309" i="8" s="1"/>
  <c r="B3310" i="8" s="1"/>
  <c r="B3311" i="8" s="1"/>
  <c r="B3312" i="8" s="1"/>
  <c r="B3313" i="8" s="1"/>
  <c r="B3314" i="8" s="1"/>
  <c r="B3315" i="8" s="1"/>
  <c r="B3316" i="8" s="1"/>
  <c r="B3317" i="8" s="1"/>
  <c r="B3318" i="8" s="1"/>
  <c r="B3319" i="8" s="1"/>
  <c r="B3320" i="8" s="1"/>
  <c r="B3321" i="8" s="1"/>
  <c r="B3322" i="8" s="1"/>
  <c r="B3323" i="8" s="1"/>
  <c r="B3324" i="8" s="1"/>
  <c r="B3325" i="8" s="1"/>
  <c r="B3326" i="8" s="1"/>
  <c r="B3327" i="8" s="1"/>
  <c r="B3328" i="8" s="1"/>
  <c r="B3329" i="8" s="1"/>
  <c r="B3330" i="8" s="1"/>
  <c r="B3331" i="8" s="1"/>
  <c r="B3332" i="8" s="1"/>
  <c r="B3333" i="8" s="1"/>
  <c r="B3334" i="8" s="1"/>
  <c r="B3335" i="8" s="1"/>
  <c r="B3336" i="8" s="1"/>
  <c r="B3337" i="8" s="1"/>
  <c r="B3338" i="8" s="1"/>
  <c r="B3339" i="8" s="1"/>
  <c r="B3340" i="8" s="1"/>
  <c r="B3341" i="8" s="1"/>
  <c r="B3342" i="8" s="1"/>
  <c r="B3343" i="8" s="1"/>
  <c r="B3344" i="8" s="1"/>
  <c r="B3345" i="8" s="1"/>
  <c r="B3346" i="8" s="1"/>
  <c r="B3347" i="8" s="1"/>
  <c r="B3348" i="8" s="1"/>
  <c r="B3349" i="8" s="1"/>
  <c r="B3243" i="8"/>
  <c r="B3244" i="8" s="1"/>
  <c r="B3245" i="8" s="1"/>
  <c r="B3246" i="8" s="1"/>
  <c r="B3247" i="8" s="1"/>
  <c r="B3248" i="8" s="1"/>
  <c r="B3249" i="8" s="1"/>
  <c r="B3250" i="8" s="1"/>
  <c r="B3251" i="8" s="1"/>
  <c r="B3252" i="8" s="1"/>
  <c r="B3253" i="8" s="1"/>
  <c r="B3254" i="8" s="1"/>
  <c r="B3255" i="8" s="1"/>
  <c r="B3256" i="8" s="1"/>
  <c r="B3257" i="8" s="1"/>
  <c r="B3258" i="8" s="1"/>
  <c r="B3259" i="8" s="1"/>
  <c r="B3260" i="8" s="1"/>
  <c r="B3261" i="8" s="1"/>
  <c r="B3262" i="8" s="1"/>
  <c r="B3263" i="8" s="1"/>
  <c r="B3264" i="8" s="1"/>
  <c r="B3265" i="8" s="1"/>
  <c r="B3266" i="8" s="1"/>
  <c r="B3267" i="8" s="1"/>
  <c r="B3268" i="8" s="1"/>
  <c r="B3269" i="8" s="1"/>
  <c r="B3270" i="8" s="1"/>
  <c r="B3271" i="8" s="1"/>
  <c r="B3272" i="8" s="1"/>
  <c r="B3273" i="8" s="1"/>
  <c r="B3274" i="8" s="1"/>
  <c r="B3275" i="8" s="1"/>
  <c r="B3276" i="8" s="1"/>
  <c r="B3277" i="8" s="1"/>
  <c r="B3278" i="8" s="1"/>
  <c r="B3279" i="8" s="1"/>
  <c r="B3280" i="8" s="1"/>
  <c r="B3281" i="8" s="1"/>
  <c r="B3282" i="8" s="1"/>
  <c r="B3283" i="8" s="1"/>
  <c r="B3284" i="8" s="1"/>
  <c r="B3285" i="8" s="1"/>
  <c r="B3286" i="8" s="1"/>
  <c r="B3287" i="8" s="1"/>
  <c r="B3288" i="8" s="1"/>
  <c r="B3289" i="8" s="1"/>
  <c r="B3290" i="8" s="1"/>
  <c r="B3291" i="8" s="1"/>
  <c r="B3292" i="8" s="1"/>
  <c r="B3293" i="8" s="1"/>
  <c r="B3294" i="8" s="1"/>
  <c r="B3295" i="8" s="1"/>
  <c r="B3189" i="8"/>
  <c r="B3190" i="8" s="1"/>
  <c r="B3191" i="8" s="1"/>
  <c r="B3192" i="8" s="1"/>
  <c r="B3193" i="8" s="1"/>
  <c r="B3194" i="8" s="1"/>
  <c r="B3195" i="8" s="1"/>
  <c r="B3196" i="8" s="1"/>
  <c r="B3197" i="8" s="1"/>
  <c r="B3198" i="8" s="1"/>
  <c r="B3199" i="8" s="1"/>
  <c r="B3200" i="8" s="1"/>
  <c r="B3201" i="8" s="1"/>
  <c r="B3202" i="8" s="1"/>
  <c r="B3203" i="8" s="1"/>
  <c r="B3204" i="8" s="1"/>
  <c r="B3205" i="8" s="1"/>
  <c r="B3206" i="8" s="1"/>
  <c r="B3207" i="8" s="1"/>
  <c r="B3208" i="8" s="1"/>
  <c r="B3209" i="8" s="1"/>
  <c r="B3210" i="8" s="1"/>
  <c r="B3211" i="8" s="1"/>
  <c r="B3212" i="8" s="1"/>
  <c r="B3213" i="8" s="1"/>
  <c r="B3214" i="8" s="1"/>
  <c r="B3215" i="8" s="1"/>
  <c r="B3216" i="8" s="1"/>
  <c r="B3217" i="8" s="1"/>
  <c r="B3218" i="8" s="1"/>
  <c r="B3219" i="8" s="1"/>
  <c r="B3220" i="8" s="1"/>
  <c r="B3221" i="8" s="1"/>
  <c r="B3222" i="8" s="1"/>
  <c r="B3223" i="8" s="1"/>
  <c r="B3224" i="8" s="1"/>
  <c r="B3225" i="8" s="1"/>
  <c r="B3226" i="8" s="1"/>
  <c r="B3227" i="8" s="1"/>
  <c r="B3228" i="8" s="1"/>
  <c r="B3229" i="8" s="1"/>
  <c r="B3230" i="8" s="1"/>
  <c r="B3231" i="8" s="1"/>
  <c r="B3232" i="8" s="1"/>
  <c r="B3233" i="8" s="1"/>
  <c r="B3234" i="8" s="1"/>
  <c r="B3235" i="8" s="1"/>
  <c r="B3236" i="8" s="1"/>
  <c r="B3237" i="8" s="1"/>
  <c r="B3238" i="8" s="1"/>
  <c r="B3239" i="8" s="1"/>
  <c r="B3240" i="8" s="1"/>
  <c r="B3241" i="8" s="1"/>
  <c r="B3135" i="8"/>
  <c r="B3136" i="8" s="1"/>
  <c r="B3137" i="8" s="1"/>
  <c r="B3138" i="8" s="1"/>
  <c r="B3139" i="8" s="1"/>
  <c r="B3140" i="8" s="1"/>
  <c r="B3141" i="8" s="1"/>
  <c r="B3142" i="8" s="1"/>
  <c r="B3143" i="8" s="1"/>
  <c r="B3144" i="8" s="1"/>
  <c r="B3145" i="8" s="1"/>
  <c r="B3146" i="8" s="1"/>
  <c r="B3147" i="8" s="1"/>
  <c r="B3148" i="8" s="1"/>
  <c r="B3149" i="8" s="1"/>
  <c r="B3150" i="8" s="1"/>
  <c r="B3151" i="8" s="1"/>
  <c r="B3152" i="8" s="1"/>
  <c r="B3153" i="8" s="1"/>
  <c r="B3154" i="8" s="1"/>
  <c r="B3155" i="8" s="1"/>
  <c r="B3156" i="8" s="1"/>
  <c r="B3157" i="8" s="1"/>
  <c r="B3158" i="8" s="1"/>
  <c r="B3159" i="8" s="1"/>
  <c r="B3160" i="8" s="1"/>
  <c r="B3161" i="8" s="1"/>
  <c r="B3162" i="8" s="1"/>
  <c r="B3163" i="8" s="1"/>
  <c r="B3164" i="8" s="1"/>
  <c r="B3165" i="8" s="1"/>
  <c r="B3166" i="8" s="1"/>
  <c r="B3167" i="8" s="1"/>
  <c r="B3168" i="8" s="1"/>
  <c r="B3169" i="8" s="1"/>
  <c r="B3170" i="8" s="1"/>
  <c r="B3171" i="8" s="1"/>
  <c r="B3172" i="8" s="1"/>
  <c r="B3173" i="8" s="1"/>
  <c r="B3174" i="8" s="1"/>
  <c r="B3175" i="8" s="1"/>
  <c r="B3176" i="8" s="1"/>
  <c r="B3177" i="8" s="1"/>
  <c r="B3178" i="8" s="1"/>
  <c r="B3179" i="8" s="1"/>
  <c r="B3180" i="8" s="1"/>
  <c r="B3181" i="8" s="1"/>
  <c r="B3182" i="8" s="1"/>
  <c r="B3183" i="8" s="1"/>
  <c r="B3184" i="8" s="1"/>
  <c r="B3185" i="8" s="1"/>
  <c r="B3186" i="8" s="1"/>
  <c r="B3187" i="8" s="1"/>
  <c r="B3081" i="8"/>
  <c r="B3082" i="8" s="1"/>
  <c r="B3083" i="8" s="1"/>
  <c r="B3084" i="8" s="1"/>
  <c r="B3085" i="8" s="1"/>
  <c r="B3086" i="8" s="1"/>
  <c r="B3087" i="8" s="1"/>
  <c r="B3088" i="8" s="1"/>
  <c r="B3089" i="8" s="1"/>
  <c r="B3090" i="8" s="1"/>
  <c r="B3091" i="8" s="1"/>
  <c r="B3092" i="8" s="1"/>
  <c r="B3093" i="8" s="1"/>
  <c r="B3094" i="8" s="1"/>
  <c r="B3095" i="8" s="1"/>
  <c r="B3096" i="8" s="1"/>
  <c r="B3097" i="8" s="1"/>
  <c r="B3098" i="8" s="1"/>
  <c r="B3099" i="8" s="1"/>
  <c r="B3100" i="8" s="1"/>
  <c r="B3101" i="8" s="1"/>
  <c r="B3102" i="8" s="1"/>
  <c r="B3103" i="8" s="1"/>
  <c r="B3104" i="8" s="1"/>
  <c r="B3105" i="8" s="1"/>
  <c r="B3106" i="8" s="1"/>
  <c r="B3107" i="8" s="1"/>
  <c r="B3108" i="8" s="1"/>
  <c r="B3109" i="8" s="1"/>
  <c r="B3110" i="8" s="1"/>
  <c r="B3111" i="8" s="1"/>
  <c r="B3112" i="8" s="1"/>
  <c r="B3113" i="8" s="1"/>
  <c r="B3114" i="8" s="1"/>
  <c r="B3115" i="8" s="1"/>
  <c r="B3116" i="8" s="1"/>
  <c r="B3117" i="8" s="1"/>
  <c r="B3118" i="8" s="1"/>
  <c r="B3119" i="8" s="1"/>
  <c r="B3120" i="8" s="1"/>
  <c r="B3121" i="8" s="1"/>
  <c r="B3122" i="8" s="1"/>
  <c r="B3123" i="8" s="1"/>
  <c r="B3124" i="8" s="1"/>
  <c r="B3125" i="8" s="1"/>
  <c r="B3126" i="8" s="1"/>
  <c r="B3127" i="8" s="1"/>
  <c r="B3128" i="8" s="1"/>
  <c r="B3129" i="8" s="1"/>
  <c r="B3130" i="8" s="1"/>
  <c r="B3131" i="8" s="1"/>
  <c r="B3132" i="8" s="1"/>
  <c r="B3133" i="8" s="1"/>
  <c r="B3027" i="8"/>
  <c r="B3028" i="8" s="1"/>
  <c r="B3029" i="8" s="1"/>
  <c r="B3030" i="8" s="1"/>
  <c r="B3031" i="8" s="1"/>
  <c r="B3032" i="8" s="1"/>
  <c r="B3033" i="8" s="1"/>
  <c r="B3034" i="8" s="1"/>
  <c r="B3035" i="8" s="1"/>
  <c r="B3036" i="8" s="1"/>
  <c r="B3037" i="8" s="1"/>
  <c r="B3038" i="8" s="1"/>
  <c r="B3039" i="8" s="1"/>
  <c r="B3040" i="8" s="1"/>
  <c r="B3041" i="8" s="1"/>
  <c r="B3042" i="8" s="1"/>
  <c r="B3043" i="8" s="1"/>
  <c r="B3044" i="8" s="1"/>
  <c r="B3045" i="8" s="1"/>
  <c r="B3046" i="8" s="1"/>
  <c r="B3047" i="8" s="1"/>
  <c r="B3048" i="8" s="1"/>
  <c r="B3049" i="8" s="1"/>
  <c r="B3050" i="8" s="1"/>
  <c r="B3051" i="8" s="1"/>
  <c r="B3052" i="8" s="1"/>
  <c r="B3053" i="8" s="1"/>
  <c r="B3054" i="8" s="1"/>
  <c r="B3055" i="8" s="1"/>
  <c r="B3056" i="8" s="1"/>
  <c r="B3057" i="8" s="1"/>
  <c r="B3058" i="8" s="1"/>
  <c r="B3059" i="8" s="1"/>
  <c r="B3060" i="8" s="1"/>
  <c r="B3061" i="8" s="1"/>
  <c r="B3062" i="8" s="1"/>
  <c r="B3063" i="8" s="1"/>
  <c r="B3064" i="8" s="1"/>
  <c r="B3065" i="8" s="1"/>
  <c r="B3066" i="8" s="1"/>
  <c r="B3067" i="8" s="1"/>
  <c r="B3068" i="8" s="1"/>
  <c r="B3069" i="8" s="1"/>
  <c r="B3070" i="8" s="1"/>
  <c r="B3071" i="8" s="1"/>
  <c r="B3072" i="8" s="1"/>
  <c r="B3073" i="8" s="1"/>
  <c r="B3074" i="8" s="1"/>
  <c r="B3075" i="8" s="1"/>
  <c r="B3076" i="8" s="1"/>
  <c r="B3077" i="8" s="1"/>
  <c r="B3078" i="8" s="1"/>
  <c r="B3079" i="8" s="1"/>
  <c r="B2973" i="8"/>
  <c r="B2974" i="8" s="1"/>
  <c r="B2975" i="8" s="1"/>
  <c r="B2976" i="8" s="1"/>
  <c r="B2977" i="8" s="1"/>
  <c r="B2978" i="8" s="1"/>
  <c r="B2979" i="8" s="1"/>
  <c r="B2980" i="8" s="1"/>
  <c r="B2981" i="8" s="1"/>
  <c r="B2982" i="8" s="1"/>
  <c r="B2983" i="8" s="1"/>
  <c r="B2984" i="8" s="1"/>
  <c r="B2985" i="8" s="1"/>
  <c r="B2986" i="8" s="1"/>
  <c r="B2987" i="8" s="1"/>
  <c r="B2988" i="8" s="1"/>
  <c r="B2989" i="8" s="1"/>
  <c r="B2990" i="8" s="1"/>
  <c r="B2991" i="8" s="1"/>
  <c r="B2992" i="8" s="1"/>
  <c r="B2993" i="8" s="1"/>
  <c r="B2994" i="8" s="1"/>
  <c r="B2995" i="8" s="1"/>
  <c r="B2996" i="8" s="1"/>
  <c r="B2997" i="8" s="1"/>
  <c r="B2998" i="8" s="1"/>
  <c r="B2999" i="8" s="1"/>
  <c r="B3000" i="8" s="1"/>
  <c r="B3001" i="8" s="1"/>
  <c r="B3002" i="8" s="1"/>
  <c r="B3003" i="8" s="1"/>
  <c r="B3004" i="8" s="1"/>
  <c r="B3005" i="8" s="1"/>
  <c r="B3006" i="8" s="1"/>
  <c r="B3007" i="8" s="1"/>
  <c r="B3008" i="8" s="1"/>
  <c r="B3009" i="8" s="1"/>
  <c r="B3010" i="8" s="1"/>
  <c r="B3011" i="8" s="1"/>
  <c r="B3012" i="8" s="1"/>
  <c r="B3013" i="8" s="1"/>
  <c r="B3014" i="8" s="1"/>
  <c r="B3015" i="8" s="1"/>
  <c r="B3016" i="8" s="1"/>
  <c r="B3017" i="8" s="1"/>
  <c r="B3018" i="8" s="1"/>
  <c r="B3019" i="8" s="1"/>
  <c r="B3020" i="8" s="1"/>
  <c r="B3021" i="8" s="1"/>
  <c r="B3022" i="8" s="1"/>
  <c r="B3023" i="8" s="1"/>
  <c r="B3024" i="8" s="1"/>
  <c r="B3025" i="8" s="1"/>
  <c r="B2919" i="8"/>
  <c r="B2920" i="8" s="1"/>
  <c r="B2921" i="8" s="1"/>
  <c r="B2922" i="8" s="1"/>
  <c r="B2923" i="8" s="1"/>
  <c r="B2924" i="8" s="1"/>
  <c r="B2925" i="8" s="1"/>
  <c r="B2926" i="8" s="1"/>
  <c r="B2927" i="8" s="1"/>
  <c r="B2928" i="8" s="1"/>
  <c r="B2929" i="8" s="1"/>
  <c r="B2930" i="8" s="1"/>
  <c r="B2931" i="8" s="1"/>
  <c r="B2932" i="8" s="1"/>
  <c r="B2933" i="8" s="1"/>
  <c r="B2934" i="8" s="1"/>
  <c r="B2935" i="8" s="1"/>
  <c r="B2936" i="8" s="1"/>
  <c r="B2937" i="8" s="1"/>
  <c r="B2938" i="8" s="1"/>
  <c r="B2939" i="8" s="1"/>
  <c r="B2940" i="8" s="1"/>
  <c r="B2941" i="8" s="1"/>
  <c r="B2942" i="8" s="1"/>
  <c r="B2943" i="8" s="1"/>
  <c r="B2944" i="8" s="1"/>
  <c r="B2945" i="8" s="1"/>
  <c r="B2946" i="8" s="1"/>
  <c r="B2947" i="8" s="1"/>
  <c r="B2948" i="8" s="1"/>
  <c r="B2949" i="8" s="1"/>
  <c r="B2950" i="8" s="1"/>
  <c r="B2951" i="8" s="1"/>
  <c r="B2952" i="8" s="1"/>
  <c r="B2953" i="8" s="1"/>
  <c r="B2954" i="8" s="1"/>
  <c r="B2955" i="8" s="1"/>
  <c r="B2956" i="8" s="1"/>
  <c r="B2957" i="8" s="1"/>
  <c r="B2958" i="8" s="1"/>
  <c r="B2959" i="8" s="1"/>
  <c r="B2960" i="8" s="1"/>
  <c r="B2961" i="8" s="1"/>
  <c r="B2962" i="8" s="1"/>
  <c r="B2963" i="8" s="1"/>
  <c r="B2964" i="8" s="1"/>
  <c r="B2965" i="8" s="1"/>
  <c r="B2966" i="8" s="1"/>
  <c r="B2967" i="8" s="1"/>
  <c r="B2968" i="8" s="1"/>
  <c r="B2969" i="8" s="1"/>
  <c r="B2970" i="8" s="1"/>
  <c r="B2971" i="8" s="1"/>
  <c r="B2865" i="8"/>
  <c r="B2866" i="8" s="1"/>
  <c r="B2867" i="8" s="1"/>
  <c r="B2868" i="8" s="1"/>
  <c r="B2869" i="8" s="1"/>
  <c r="B2870" i="8" s="1"/>
  <c r="B2871" i="8" s="1"/>
  <c r="B2872" i="8" s="1"/>
  <c r="B2873" i="8" s="1"/>
  <c r="B2874" i="8" s="1"/>
  <c r="B2875" i="8" s="1"/>
  <c r="B2876" i="8" s="1"/>
  <c r="B2877" i="8" s="1"/>
  <c r="B2878" i="8" s="1"/>
  <c r="B2879" i="8" s="1"/>
  <c r="B2880" i="8" s="1"/>
  <c r="B2881" i="8" s="1"/>
  <c r="B2882" i="8" s="1"/>
  <c r="B2883" i="8" s="1"/>
  <c r="B2884" i="8" s="1"/>
  <c r="B2885" i="8" s="1"/>
  <c r="B2886" i="8" s="1"/>
  <c r="B2887" i="8" s="1"/>
  <c r="B2888" i="8" s="1"/>
  <c r="B2889" i="8" s="1"/>
  <c r="B2890" i="8" s="1"/>
  <c r="B2891" i="8" s="1"/>
  <c r="B2892" i="8" s="1"/>
  <c r="B2893" i="8" s="1"/>
  <c r="B2894" i="8" s="1"/>
  <c r="B2895" i="8" s="1"/>
  <c r="B2896" i="8" s="1"/>
  <c r="B2897" i="8" s="1"/>
  <c r="B2898" i="8" s="1"/>
  <c r="B2899" i="8" s="1"/>
  <c r="B2900" i="8" s="1"/>
  <c r="B2901" i="8" s="1"/>
  <c r="B2902" i="8" s="1"/>
  <c r="B2903" i="8" s="1"/>
  <c r="B2904" i="8" s="1"/>
  <c r="B2905" i="8" s="1"/>
  <c r="B2906" i="8" s="1"/>
  <c r="B2907" i="8" s="1"/>
  <c r="B2908" i="8" s="1"/>
  <c r="B2909" i="8" s="1"/>
  <c r="B2910" i="8" s="1"/>
  <c r="B2911" i="8" s="1"/>
  <c r="B2912" i="8" s="1"/>
  <c r="B2913" i="8" s="1"/>
  <c r="B2914" i="8" s="1"/>
  <c r="B2915" i="8" s="1"/>
  <c r="B2916" i="8" s="1"/>
  <c r="B2917" i="8" s="1"/>
  <c r="B2811" i="8"/>
  <c r="B2812" i="8" s="1"/>
  <c r="B2813" i="8" s="1"/>
  <c r="B2814" i="8" s="1"/>
  <c r="B2815" i="8" s="1"/>
  <c r="B2816" i="8" s="1"/>
  <c r="B2817" i="8" s="1"/>
  <c r="B2818" i="8" s="1"/>
  <c r="B2819" i="8" s="1"/>
  <c r="B2820" i="8" s="1"/>
  <c r="B2821" i="8" s="1"/>
  <c r="B2822" i="8" s="1"/>
  <c r="B2823" i="8" s="1"/>
  <c r="B2824" i="8" s="1"/>
  <c r="B2825" i="8" s="1"/>
  <c r="B2826" i="8" s="1"/>
  <c r="B2827" i="8" s="1"/>
  <c r="B2828" i="8" s="1"/>
  <c r="B2829" i="8" s="1"/>
  <c r="B2830" i="8" s="1"/>
  <c r="B2831" i="8" s="1"/>
  <c r="B2832" i="8" s="1"/>
  <c r="B2833" i="8" s="1"/>
  <c r="B2834" i="8" s="1"/>
  <c r="B2835" i="8" s="1"/>
  <c r="B2836" i="8" s="1"/>
  <c r="B2837" i="8" s="1"/>
  <c r="B2838" i="8" s="1"/>
  <c r="B2839" i="8" s="1"/>
  <c r="B2840" i="8" s="1"/>
  <c r="B2841" i="8" s="1"/>
  <c r="B2842" i="8" s="1"/>
  <c r="B2843" i="8" s="1"/>
  <c r="B2844" i="8" s="1"/>
  <c r="B2845" i="8" s="1"/>
  <c r="B2846" i="8" s="1"/>
  <c r="B2847" i="8" s="1"/>
  <c r="B2848" i="8" s="1"/>
  <c r="B2849" i="8" s="1"/>
  <c r="B2850" i="8" s="1"/>
  <c r="B2851" i="8" s="1"/>
  <c r="B2852" i="8" s="1"/>
  <c r="B2853" i="8" s="1"/>
  <c r="B2854" i="8" s="1"/>
  <c r="B2855" i="8" s="1"/>
  <c r="B2856" i="8" s="1"/>
  <c r="B2857" i="8" s="1"/>
  <c r="B2858" i="8" s="1"/>
  <c r="B2859" i="8" s="1"/>
  <c r="B2860" i="8" s="1"/>
  <c r="B2861" i="8" s="1"/>
  <c r="B2862" i="8" s="1"/>
  <c r="B2863" i="8" s="1"/>
  <c r="B2757" i="8"/>
  <c r="B2758" i="8" s="1"/>
  <c r="B2759" i="8" s="1"/>
  <c r="B2760" i="8" s="1"/>
  <c r="B2761" i="8" s="1"/>
  <c r="B2762" i="8" s="1"/>
  <c r="B2763" i="8" s="1"/>
  <c r="B2764" i="8" s="1"/>
  <c r="B2765" i="8" s="1"/>
  <c r="B2766" i="8" s="1"/>
  <c r="B2767" i="8" s="1"/>
  <c r="B2768" i="8" s="1"/>
  <c r="B2769" i="8" s="1"/>
  <c r="B2770" i="8" s="1"/>
  <c r="B2771" i="8" s="1"/>
  <c r="B2772" i="8" s="1"/>
  <c r="B2773" i="8" s="1"/>
  <c r="B2774" i="8" s="1"/>
  <c r="B2775" i="8" s="1"/>
  <c r="B2776" i="8" s="1"/>
  <c r="B2777" i="8" s="1"/>
  <c r="B2778" i="8" s="1"/>
  <c r="B2779" i="8" s="1"/>
  <c r="B2780" i="8" s="1"/>
  <c r="B2781" i="8" s="1"/>
  <c r="B2782" i="8" s="1"/>
  <c r="B2783" i="8" s="1"/>
  <c r="B2784" i="8" s="1"/>
  <c r="B2785" i="8" s="1"/>
  <c r="B2786" i="8" s="1"/>
  <c r="B2787" i="8" s="1"/>
  <c r="B2788" i="8" s="1"/>
  <c r="B2789" i="8" s="1"/>
  <c r="B2790" i="8" s="1"/>
  <c r="B2791" i="8" s="1"/>
  <c r="B2792" i="8" s="1"/>
  <c r="B2793" i="8" s="1"/>
  <c r="B2794" i="8" s="1"/>
  <c r="B2795" i="8" s="1"/>
  <c r="B2796" i="8" s="1"/>
  <c r="B2797" i="8" s="1"/>
  <c r="B2798" i="8" s="1"/>
  <c r="B2799" i="8" s="1"/>
  <c r="B2800" i="8" s="1"/>
  <c r="B2801" i="8" s="1"/>
  <c r="B2802" i="8" s="1"/>
  <c r="B2803" i="8" s="1"/>
  <c r="B2804" i="8" s="1"/>
  <c r="B2805" i="8" s="1"/>
  <c r="B2806" i="8" s="1"/>
  <c r="B2807" i="8" s="1"/>
  <c r="B2808" i="8" s="1"/>
  <c r="B2809" i="8" s="1"/>
  <c r="B2703" i="8"/>
  <c r="B2704" i="8" s="1"/>
  <c r="B2705" i="8" s="1"/>
  <c r="B2706" i="8" s="1"/>
  <c r="B2707" i="8" s="1"/>
  <c r="B2708" i="8" s="1"/>
  <c r="B2709" i="8" s="1"/>
  <c r="B2710" i="8" s="1"/>
  <c r="B2711" i="8" s="1"/>
  <c r="B2712" i="8" s="1"/>
  <c r="B2713" i="8" s="1"/>
  <c r="B2714" i="8" s="1"/>
  <c r="B2715" i="8" s="1"/>
  <c r="B2716" i="8" s="1"/>
  <c r="B2717" i="8" s="1"/>
  <c r="B2718" i="8" s="1"/>
  <c r="B2719" i="8" s="1"/>
  <c r="B2720" i="8" s="1"/>
  <c r="B2721" i="8" s="1"/>
  <c r="B2722" i="8" s="1"/>
  <c r="B2723" i="8" s="1"/>
  <c r="B2724" i="8" s="1"/>
  <c r="B2725" i="8" s="1"/>
  <c r="B2726" i="8" s="1"/>
  <c r="B2727" i="8" s="1"/>
  <c r="B2728" i="8" s="1"/>
  <c r="B2729" i="8" s="1"/>
  <c r="B2730" i="8" s="1"/>
  <c r="B2731" i="8" s="1"/>
  <c r="B2732" i="8" s="1"/>
  <c r="B2733" i="8" s="1"/>
  <c r="B2734" i="8" s="1"/>
  <c r="B2735" i="8" s="1"/>
  <c r="B2736" i="8" s="1"/>
  <c r="B2737" i="8" s="1"/>
  <c r="B2738" i="8" s="1"/>
  <c r="B2739" i="8" s="1"/>
  <c r="B2740" i="8" s="1"/>
  <c r="B2741" i="8" s="1"/>
  <c r="B2742" i="8" s="1"/>
  <c r="B2743" i="8" s="1"/>
  <c r="B2744" i="8" s="1"/>
  <c r="B2745" i="8" s="1"/>
  <c r="B2746" i="8" s="1"/>
  <c r="B2747" i="8" s="1"/>
  <c r="B2748" i="8" s="1"/>
  <c r="B2749" i="8" s="1"/>
  <c r="B2750" i="8" s="1"/>
  <c r="B2751" i="8" s="1"/>
  <c r="B2752" i="8" s="1"/>
  <c r="B2753" i="8" s="1"/>
  <c r="B2754" i="8" s="1"/>
  <c r="B2755" i="8" s="1"/>
  <c r="B2649" i="8"/>
  <c r="B2650" i="8" s="1"/>
  <c r="B2651" i="8" s="1"/>
  <c r="B2652" i="8" s="1"/>
  <c r="B2653" i="8" s="1"/>
  <c r="B2654" i="8" s="1"/>
  <c r="B2655" i="8" s="1"/>
  <c r="B2656" i="8" s="1"/>
  <c r="B2657" i="8" s="1"/>
  <c r="B2658" i="8" s="1"/>
  <c r="B2659" i="8" s="1"/>
  <c r="B2660" i="8" s="1"/>
  <c r="B2661" i="8" s="1"/>
  <c r="B2662" i="8" s="1"/>
  <c r="B2663" i="8" s="1"/>
  <c r="B2664" i="8" s="1"/>
  <c r="B2665" i="8" s="1"/>
  <c r="B2666" i="8" s="1"/>
  <c r="B2667" i="8" s="1"/>
  <c r="B2668" i="8" s="1"/>
  <c r="B2669" i="8" s="1"/>
  <c r="B2670" i="8" s="1"/>
  <c r="B2671" i="8" s="1"/>
  <c r="B2672" i="8" s="1"/>
  <c r="B2673" i="8" s="1"/>
  <c r="B2674" i="8" s="1"/>
  <c r="B2675" i="8" s="1"/>
  <c r="B2676" i="8" s="1"/>
  <c r="B2677" i="8" s="1"/>
  <c r="B2678" i="8" s="1"/>
  <c r="B2679" i="8" s="1"/>
  <c r="B2680" i="8" s="1"/>
  <c r="B2681" i="8" s="1"/>
  <c r="B2682" i="8" s="1"/>
  <c r="B2683" i="8" s="1"/>
  <c r="B2684" i="8" s="1"/>
  <c r="B2685" i="8" s="1"/>
  <c r="B2686" i="8" s="1"/>
  <c r="B2687" i="8" s="1"/>
  <c r="B2688" i="8" s="1"/>
  <c r="B2689" i="8" s="1"/>
  <c r="B2690" i="8" s="1"/>
  <c r="B2691" i="8" s="1"/>
  <c r="B2692" i="8" s="1"/>
  <c r="B2693" i="8" s="1"/>
  <c r="B2694" i="8" s="1"/>
  <c r="B2695" i="8" s="1"/>
  <c r="B2696" i="8" s="1"/>
  <c r="B2697" i="8" s="1"/>
  <c r="B2698" i="8" s="1"/>
  <c r="B2699" i="8" s="1"/>
  <c r="B2700" i="8" s="1"/>
  <c r="B2701" i="8" s="1"/>
  <c r="B2595" i="8"/>
  <c r="B2596" i="8" s="1"/>
  <c r="B2597" i="8" s="1"/>
  <c r="B2598" i="8" s="1"/>
  <c r="B2599" i="8" s="1"/>
  <c r="B2600" i="8" s="1"/>
  <c r="B2601" i="8" s="1"/>
  <c r="B2602" i="8" s="1"/>
  <c r="B2603" i="8" s="1"/>
  <c r="B2604" i="8" s="1"/>
  <c r="B2605" i="8" s="1"/>
  <c r="B2606" i="8" s="1"/>
  <c r="B2607" i="8" s="1"/>
  <c r="B2608" i="8" s="1"/>
  <c r="B2609" i="8" s="1"/>
  <c r="B2610" i="8" s="1"/>
  <c r="B2611" i="8" s="1"/>
  <c r="B2612" i="8" s="1"/>
  <c r="B2613" i="8" s="1"/>
  <c r="B2614" i="8" s="1"/>
  <c r="B2615" i="8" s="1"/>
  <c r="B2616" i="8" s="1"/>
  <c r="B2617" i="8" s="1"/>
  <c r="B2618" i="8" s="1"/>
  <c r="B2619" i="8" s="1"/>
  <c r="B2620" i="8" s="1"/>
  <c r="B2621" i="8" s="1"/>
  <c r="B2622" i="8" s="1"/>
  <c r="B2623" i="8" s="1"/>
  <c r="B2624" i="8" s="1"/>
  <c r="B2625" i="8" s="1"/>
  <c r="B2626" i="8" s="1"/>
  <c r="B2627" i="8" s="1"/>
  <c r="B2628" i="8" s="1"/>
  <c r="B2629" i="8" s="1"/>
  <c r="B2630" i="8" s="1"/>
  <c r="B2631" i="8" s="1"/>
  <c r="B2632" i="8" s="1"/>
  <c r="B2633" i="8" s="1"/>
  <c r="B2634" i="8" s="1"/>
  <c r="B2635" i="8" s="1"/>
  <c r="B2636" i="8" s="1"/>
  <c r="B2637" i="8" s="1"/>
  <c r="B2638" i="8" s="1"/>
  <c r="B2639" i="8" s="1"/>
  <c r="B2640" i="8" s="1"/>
  <c r="B2641" i="8" s="1"/>
  <c r="B2642" i="8" s="1"/>
  <c r="B2643" i="8" s="1"/>
  <c r="B2644" i="8" s="1"/>
  <c r="B2645" i="8" s="1"/>
  <c r="B2646" i="8" s="1"/>
  <c r="B2647" i="8" s="1"/>
  <c r="B2541" i="8"/>
  <c r="B2542" i="8" s="1"/>
  <c r="B2543" i="8" s="1"/>
  <c r="B2544" i="8" s="1"/>
  <c r="B2545" i="8" s="1"/>
  <c r="B2546" i="8" s="1"/>
  <c r="B2547" i="8" s="1"/>
  <c r="B2548" i="8" s="1"/>
  <c r="B2549" i="8" s="1"/>
  <c r="B2550" i="8" s="1"/>
  <c r="B2551" i="8" s="1"/>
  <c r="B2552" i="8" s="1"/>
  <c r="B2553" i="8" s="1"/>
  <c r="B2554" i="8" s="1"/>
  <c r="B2555" i="8" s="1"/>
  <c r="B2556" i="8" s="1"/>
  <c r="B2557" i="8" s="1"/>
  <c r="B2558" i="8" s="1"/>
  <c r="B2559" i="8" s="1"/>
  <c r="B2560" i="8" s="1"/>
  <c r="B2561" i="8" s="1"/>
  <c r="B2562" i="8" s="1"/>
  <c r="B2563" i="8" s="1"/>
  <c r="B2564" i="8" s="1"/>
  <c r="B2565" i="8" s="1"/>
  <c r="B2566" i="8" s="1"/>
  <c r="B2567" i="8" s="1"/>
  <c r="B2568" i="8" s="1"/>
  <c r="B2569" i="8" s="1"/>
  <c r="B2570" i="8" s="1"/>
  <c r="B2571" i="8" s="1"/>
  <c r="B2572" i="8" s="1"/>
  <c r="B2573" i="8" s="1"/>
  <c r="B2574" i="8" s="1"/>
  <c r="B2575" i="8" s="1"/>
  <c r="B2576" i="8" s="1"/>
  <c r="B2577" i="8" s="1"/>
  <c r="B2578" i="8" s="1"/>
  <c r="B2579" i="8" s="1"/>
  <c r="B2580" i="8" s="1"/>
  <c r="B2581" i="8" s="1"/>
  <c r="B2582" i="8" s="1"/>
  <c r="B2583" i="8" s="1"/>
  <c r="B2584" i="8" s="1"/>
  <c r="B2585" i="8" s="1"/>
  <c r="B2586" i="8" s="1"/>
  <c r="B2587" i="8" s="1"/>
  <c r="B2588" i="8" s="1"/>
  <c r="B2589" i="8" s="1"/>
  <c r="B2590" i="8" s="1"/>
  <c r="B2591" i="8" s="1"/>
  <c r="B2592" i="8" s="1"/>
  <c r="B2593" i="8" s="1"/>
  <c r="B2487" i="8"/>
  <c r="B2488" i="8" s="1"/>
  <c r="B2489" i="8" s="1"/>
  <c r="B2490" i="8" s="1"/>
  <c r="B2491" i="8" s="1"/>
  <c r="B2492" i="8" s="1"/>
  <c r="B2493" i="8" s="1"/>
  <c r="B2494" i="8" s="1"/>
  <c r="B2495" i="8" s="1"/>
  <c r="B2496" i="8" s="1"/>
  <c r="B2497" i="8" s="1"/>
  <c r="B2498" i="8" s="1"/>
  <c r="B2499" i="8" s="1"/>
  <c r="B2500" i="8" s="1"/>
  <c r="B2501" i="8" s="1"/>
  <c r="B2502" i="8" s="1"/>
  <c r="B2503" i="8" s="1"/>
  <c r="B2504" i="8" s="1"/>
  <c r="B2505" i="8" s="1"/>
  <c r="B2506" i="8" s="1"/>
  <c r="B2507" i="8" s="1"/>
  <c r="B2508" i="8" s="1"/>
  <c r="B2509" i="8" s="1"/>
  <c r="B2510" i="8" s="1"/>
  <c r="B2511" i="8" s="1"/>
  <c r="B2512" i="8" s="1"/>
  <c r="B2513" i="8" s="1"/>
  <c r="B2514" i="8" s="1"/>
  <c r="B2515" i="8" s="1"/>
  <c r="B2516" i="8" s="1"/>
  <c r="B2517" i="8" s="1"/>
  <c r="B2518" i="8" s="1"/>
  <c r="B2519" i="8" s="1"/>
  <c r="B2520" i="8" s="1"/>
  <c r="B2521" i="8" s="1"/>
  <c r="B2522" i="8" s="1"/>
  <c r="B2523" i="8" s="1"/>
  <c r="B2524" i="8" s="1"/>
  <c r="B2525" i="8" s="1"/>
  <c r="B2526" i="8" s="1"/>
  <c r="B2527" i="8" s="1"/>
  <c r="B2528" i="8" s="1"/>
  <c r="B2529" i="8" s="1"/>
  <c r="B2530" i="8" s="1"/>
  <c r="B2531" i="8" s="1"/>
  <c r="B2532" i="8" s="1"/>
  <c r="B2533" i="8" s="1"/>
  <c r="B2534" i="8" s="1"/>
  <c r="B2535" i="8" s="1"/>
  <c r="B2536" i="8" s="1"/>
  <c r="B2537" i="8" s="1"/>
  <c r="B2538" i="8" s="1"/>
  <c r="B2539" i="8" s="1"/>
  <c r="B2433" i="8"/>
  <c r="B2434" i="8" s="1"/>
  <c r="B2435" i="8" s="1"/>
  <c r="B2436" i="8" s="1"/>
  <c r="B2437" i="8" s="1"/>
  <c r="B2438" i="8" s="1"/>
  <c r="B2439" i="8" s="1"/>
  <c r="B2440" i="8" s="1"/>
  <c r="B2441" i="8" s="1"/>
  <c r="B2442" i="8" s="1"/>
  <c r="B2443" i="8" s="1"/>
  <c r="B2444" i="8" s="1"/>
  <c r="B2445" i="8" s="1"/>
  <c r="B2446" i="8" s="1"/>
  <c r="B2447" i="8" s="1"/>
  <c r="B2448" i="8" s="1"/>
  <c r="B2449" i="8" s="1"/>
  <c r="B2450" i="8" s="1"/>
  <c r="B2451" i="8" s="1"/>
  <c r="B2452" i="8" s="1"/>
  <c r="B2453" i="8" s="1"/>
  <c r="B2454" i="8" s="1"/>
  <c r="B2455" i="8" s="1"/>
  <c r="B2456" i="8" s="1"/>
  <c r="B2457" i="8" s="1"/>
  <c r="B2458" i="8" s="1"/>
  <c r="B2459" i="8" s="1"/>
  <c r="B2460" i="8" s="1"/>
  <c r="B2461" i="8" s="1"/>
  <c r="B2462" i="8" s="1"/>
  <c r="B2463" i="8" s="1"/>
  <c r="B2464" i="8" s="1"/>
  <c r="B2465" i="8" s="1"/>
  <c r="B2466" i="8" s="1"/>
  <c r="B2467" i="8" s="1"/>
  <c r="B2468" i="8" s="1"/>
  <c r="B2469" i="8" s="1"/>
  <c r="B2470" i="8" s="1"/>
  <c r="B2471" i="8" s="1"/>
  <c r="B2472" i="8" s="1"/>
  <c r="B2473" i="8" s="1"/>
  <c r="B2474" i="8" s="1"/>
  <c r="B2475" i="8" s="1"/>
  <c r="B2476" i="8" s="1"/>
  <c r="B2477" i="8" s="1"/>
  <c r="B2478" i="8" s="1"/>
  <c r="B2479" i="8" s="1"/>
  <c r="B2480" i="8" s="1"/>
  <c r="B2481" i="8" s="1"/>
  <c r="B2482" i="8" s="1"/>
  <c r="B2483" i="8" s="1"/>
  <c r="B2484" i="8" s="1"/>
  <c r="B2485" i="8" s="1"/>
  <c r="B2379" i="8"/>
  <c r="B2380" i="8" s="1"/>
  <c r="B2381" i="8" s="1"/>
  <c r="B2382" i="8" s="1"/>
  <c r="B2383" i="8" s="1"/>
  <c r="B2384" i="8" s="1"/>
  <c r="B2385" i="8" s="1"/>
  <c r="B2386" i="8" s="1"/>
  <c r="B2387" i="8" s="1"/>
  <c r="B2388" i="8" s="1"/>
  <c r="B2389" i="8" s="1"/>
  <c r="B2390" i="8" s="1"/>
  <c r="B2391" i="8" s="1"/>
  <c r="B2392" i="8" s="1"/>
  <c r="B2393" i="8" s="1"/>
  <c r="B2394" i="8" s="1"/>
  <c r="B2395" i="8" s="1"/>
  <c r="B2396" i="8" s="1"/>
  <c r="B2397" i="8" s="1"/>
  <c r="B2398" i="8" s="1"/>
  <c r="B2399" i="8" s="1"/>
  <c r="B2400" i="8" s="1"/>
  <c r="B2401" i="8" s="1"/>
  <c r="B2402" i="8" s="1"/>
  <c r="B2403" i="8" s="1"/>
  <c r="B2404" i="8" s="1"/>
  <c r="B2405" i="8" s="1"/>
  <c r="B2406" i="8" s="1"/>
  <c r="B2407" i="8" s="1"/>
  <c r="B2408" i="8" s="1"/>
  <c r="B2409" i="8" s="1"/>
  <c r="B2410" i="8" s="1"/>
  <c r="B2411" i="8" s="1"/>
  <c r="B2412" i="8" s="1"/>
  <c r="B2413" i="8" s="1"/>
  <c r="B2414" i="8" s="1"/>
  <c r="B2415" i="8" s="1"/>
  <c r="B2416" i="8" s="1"/>
  <c r="B2417" i="8" s="1"/>
  <c r="B2418" i="8" s="1"/>
  <c r="B2419" i="8" s="1"/>
  <c r="B2420" i="8" s="1"/>
  <c r="B2421" i="8" s="1"/>
  <c r="B2422" i="8" s="1"/>
  <c r="B2423" i="8" s="1"/>
  <c r="B2424" i="8" s="1"/>
  <c r="B2425" i="8" s="1"/>
  <c r="B2426" i="8" s="1"/>
  <c r="B2427" i="8" s="1"/>
  <c r="B2428" i="8" s="1"/>
  <c r="B2429" i="8" s="1"/>
  <c r="B2430" i="8" s="1"/>
  <c r="B2431" i="8" s="1"/>
  <c r="B2325" i="8"/>
  <c r="B2326" i="8" s="1"/>
  <c r="B2327" i="8" s="1"/>
  <c r="B2328" i="8" s="1"/>
  <c r="B2329" i="8" s="1"/>
  <c r="B2330" i="8" s="1"/>
  <c r="B2331" i="8" s="1"/>
  <c r="B2332" i="8" s="1"/>
  <c r="B2333" i="8" s="1"/>
  <c r="B2334" i="8" s="1"/>
  <c r="B2335" i="8" s="1"/>
  <c r="B2336" i="8" s="1"/>
  <c r="B2337" i="8" s="1"/>
  <c r="B2338" i="8" s="1"/>
  <c r="B2339" i="8" s="1"/>
  <c r="B2340" i="8" s="1"/>
  <c r="B2341" i="8" s="1"/>
  <c r="B2342" i="8" s="1"/>
  <c r="B2343" i="8" s="1"/>
  <c r="B2344" i="8" s="1"/>
  <c r="B2345" i="8" s="1"/>
  <c r="B2346" i="8" s="1"/>
  <c r="B2347" i="8" s="1"/>
  <c r="B2348" i="8" s="1"/>
  <c r="B2349" i="8" s="1"/>
  <c r="B2350" i="8" s="1"/>
  <c r="B2351" i="8" s="1"/>
  <c r="B2352" i="8" s="1"/>
  <c r="B2353" i="8" s="1"/>
  <c r="B2354" i="8" s="1"/>
  <c r="B2355" i="8" s="1"/>
  <c r="B2356" i="8" s="1"/>
  <c r="B2357" i="8" s="1"/>
  <c r="B2358" i="8" s="1"/>
  <c r="B2359" i="8" s="1"/>
  <c r="B2360" i="8" s="1"/>
  <c r="B2361" i="8" s="1"/>
  <c r="B2362" i="8" s="1"/>
  <c r="B2363" i="8" s="1"/>
  <c r="B2364" i="8" s="1"/>
  <c r="B2365" i="8" s="1"/>
  <c r="B2366" i="8" s="1"/>
  <c r="B2367" i="8" s="1"/>
  <c r="B2368" i="8" s="1"/>
  <c r="B2369" i="8" s="1"/>
  <c r="B2370" i="8" s="1"/>
  <c r="B2371" i="8" s="1"/>
  <c r="B2372" i="8" s="1"/>
  <c r="B2373" i="8" s="1"/>
  <c r="B2374" i="8" s="1"/>
  <c r="B2375" i="8" s="1"/>
  <c r="B2376" i="8" s="1"/>
  <c r="B2377" i="8" s="1"/>
  <c r="B2271" i="8"/>
  <c r="B2272" i="8" s="1"/>
  <c r="B2273" i="8" s="1"/>
  <c r="B2274" i="8" s="1"/>
  <c r="B2275" i="8" s="1"/>
  <c r="B2276" i="8" s="1"/>
  <c r="B2277" i="8" s="1"/>
  <c r="B2278" i="8" s="1"/>
  <c r="B2279" i="8" s="1"/>
  <c r="B2280" i="8" s="1"/>
  <c r="B2281" i="8" s="1"/>
  <c r="B2282" i="8" s="1"/>
  <c r="B2283" i="8" s="1"/>
  <c r="B2284" i="8" s="1"/>
  <c r="B2285" i="8" s="1"/>
  <c r="B2286" i="8" s="1"/>
  <c r="B2287" i="8" s="1"/>
  <c r="B2288" i="8" s="1"/>
  <c r="B2289" i="8" s="1"/>
  <c r="B2290" i="8" s="1"/>
  <c r="B2291" i="8" s="1"/>
  <c r="B2292" i="8" s="1"/>
  <c r="B2293" i="8" s="1"/>
  <c r="B2294" i="8" s="1"/>
  <c r="B2295" i="8" s="1"/>
  <c r="B2296" i="8" s="1"/>
  <c r="B2297" i="8" s="1"/>
  <c r="B2298" i="8" s="1"/>
  <c r="B2299" i="8" s="1"/>
  <c r="B2300" i="8" s="1"/>
  <c r="B2301" i="8" s="1"/>
  <c r="B2302" i="8" s="1"/>
  <c r="B2303" i="8" s="1"/>
  <c r="B2304" i="8" s="1"/>
  <c r="B2305" i="8" s="1"/>
  <c r="B2306" i="8" s="1"/>
  <c r="B2307" i="8" s="1"/>
  <c r="B2308" i="8" s="1"/>
  <c r="B2309" i="8" s="1"/>
  <c r="B2310" i="8" s="1"/>
  <c r="B2311" i="8" s="1"/>
  <c r="B2312" i="8" s="1"/>
  <c r="B2313" i="8" s="1"/>
  <c r="B2314" i="8" s="1"/>
  <c r="B2315" i="8" s="1"/>
  <c r="B2316" i="8" s="1"/>
  <c r="B2317" i="8" s="1"/>
  <c r="B2318" i="8" s="1"/>
  <c r="B2319" i="8" s="1"/>
  <c r="B2320" i="8" s="1"/>
  <c r="B2321" i="8" s="1"/>
  <c r="B2322" i="8" s="1"/>
  <c r="B2323" i="8" s="1"/>
  <c r="B2217" i="8"/>
  <c r="B2218" i="8" s="1"/>
  <c r="B2219" i="8" s="1"/>
  <c r="B2220" i="8" s="1"/>
  <c r="B2221" i="8" s="1"/>
  <c r="B2222" i="8" s="1"/>
  <c r="B2223" i="8" s="1"/>
  <c r="B2224" i="8" s="1"/>
  <c r="B2225" i="8" s="1"/>
  <c r="B2226" i="8" s="1"/>
  <c r="B2227" i="8" s="1"/>
  <c r="B2228" i="8" s="1"/>
  <c r="B2229" i="8" s="1"/>
  <c r="B2230" i="8" s="1"/>
  <c r="B2231" i="8" s="1"/>
  <c r="B2232" i="8" s="1"/>
  <c r="B2233" i="8" s="1"/>
  <c r="B2234" i="8" s="1"/>
  <c r="B2235" i="8" s="1"/>
  <c r="B2236" i="8" s="1"/>
  <c r="B2237" i="8" s="1"/>
  <c r="B2238" i="8" s="1"/>
  <c r="B2239" i="8" s="1"/>
  <c r="B2240" i="8" s="1"/>
  <c r="B2241" i="8" s="1"/>
  <c r="B2242" i="8" s="1"/>
  <c r="B2243" i="8" s="1"/>
  <c r="B2244" i="8" s="1"/>
  <c r="B2245" i="8" s="1"/>
  <c r="B2246" i="8" s="1"/>
  <c r="B2247" i="8" s="1"/>
  <c r="B2248" i="8" s="1"/>
  <c r="B2249" i="8" s="1"/>
  <c r="B2250" i="8" s="1"/>
  <c r="B2251" i="8" s="1"/>
  <c r="B2252" i="8" s="1"/>
  <c r="B2253" i="8" s="1"/>
  <c r="B2254" i="8" s="1"/>
  <c r="B2255" i="8" s="1"/>
  <c r="B2256" i="8" s="1"/>
  <c r="B2257" i="8" s="1"/>
  <c r="B2258" i="8" s="1"/>
  <c r="B2259" i="8" s="1"/>
  <c r="B2260" i="8" s="1"/>
  <c r="B2261" i="8" s="1"/>
  <c r="B2262" i="8" s="1"/>
  <c r="B2263" i="8" s="1"/>
  <c r="B2264" i="8" s="1"/>
  <c r="B2265" i="8" s="1"/>
  <c r="B2266" i="8" s="1"/>
  <c r="B2267" i="8" s="1"/>
  <c r="B2268" i="8" s="1"/>
  <c r="B2269" i="8" s="1"/>
  <c r="B2163" i="8"/>
  <c r="B2164" i="8" s="1"/>
  <c r="B2165" i="8" s="1"/>
  <c r="B2166" i="8" s="1"/>
  <c r="B2167" i="8" s="1"/>
  <c r="B2168" i="8" s="1"/>
  <c r="B2169" i="8" s="1"/>
  <c r="B2170" i="8" s="1"/>
  <c r="B2171" i="8" s="1"/>
  <c r="B2172" i="8" s="1"/>
  <c r="B2173" i="8" s="1"/>
  <c r="B2174" i="8" s="1"/>
  <c r="B2175" i="8" s="1"/>
  <c r="B2176" i="8" s="1"/>
  <c r="B2177" i="8" s="1"/>
  <c r="B2178" i="8" s="1"/>
  <c r="B2179" i="8" s="1"/>
  <c r="B2180" i="8" s="1"/>
  <c r="B2181" i="8" s="1"/>
  <c r="B2182" i="8" s="1"/>
  <c r="B2183" i="8" s="1"/>
  <c r="B2184" i="8" s="1"/>
  <c r="B2185" i="8" s="1"/>
  <c r="B2186" i="8" s="1"/>
  <c r="B2187" i="8" s="1"/>
  <c r="B2188" i="8" s="1"/>
  <c r="B2189" i="8" s="1"/>
  <c r="B2190" i="8" s="1"/>
  <c r="B2191" i="8" s="1"/>
  <c r="B2192" i="8" s="1"/>
  <c r="B2193" i="8" s="1"/>
  <c r="B2194" i="8" s="1"/>
  <c r="B2195" i="8" s="1"/>
  <c r="B2196" i="8" s="1"/>
  <c r="B2197" i="8" s="1"/>
  <c r="B2198" i="8" s="1"/>
  <c r="B2199" i="8" s="1"/>
  <c r="B2200" i="8" s="1"/>
  <c r="B2201" i="8" s="1"/>
  <c r="B2202" i="8" s="1"/>
  <c r="B2203" i="8" s="1"/>
  <c r="B2204" i="8" s="1"/>
  <c r="B2205" i="8" s="1"/>
  <c r="B2206" i="8" s="1"/>
  <c r="B2207" i="8" s="1"/>
  <c r="B2208" i="8" s="1"/>
  <c r="B2209" i="8" s="1"/>
  <c r="B2210" i="8" s="1"/>
  <c r="B2211" i="8" s="1"/>
  <c r="B2212" i="8" s="1"/>
  <c r="B2213" i="8" s="1"/>
  <c r="B2214" i="8" s="1"/>
  <c r="B2215" i="8" s="1"/>
  <c r="B2109" i="8"/>
  <c r="B2110" i="8" s="1"/>
  <c r="B2111" i="8" s="1"/>
  <c r="B2112" i="8" s="1"/>
  <c r="B2113" i="8" s="1"/>
  <c r="B2114" i="8" s="1"/>
  <c r="B2115" i="8" s="1"/>
  <c r="B2116" i="8" s="1"/>
  <c r="B2117" i="8" s="1"/>
  <c r="B2118" i="8" s="1"/>
  <c r="B2119" i="8" s="1"/>
  <c r="B2120" i="8" s="1"/>
  <c r="B2121" i="8" s="1"/>
  <c r="B2122" i="8" s="1"/>
  <c r="B2123" i="8" s="1"/>
  <c r="B2124" i="8" s="1"/>
  <c r="B2125" i="8" s="1"/>
  <c r="B2126" i="8" s="1"/>
  <c r="B2127" i="8" s="1"/>
  <c r="B2128" i="8" s="1"/>
  <c r="B2129" i="8" s="1"/>
  <c r="B2130" i="8" s="1"/>
  <c r="B2131" i="8" s="1"/>
  <c r="B2132" i="8" s="1"/>
  <c r="B2133" i="8" s="1"/>
  <c r="B2134" i="8" s="1"/>
  <c r="B2135" i="8" s="1"/>
  <c r="B2136" i="8" s="1"/>
  <c r="B2137" i="8" s="1"/>
  <c r="B2138" i="8" s="1"/>
  <c r="B2139" i="8" s="1"/>
  <c r="B2140" i="8" s="1"/>
  <c r="B2141" i="8" s="1"/>
  <c r="B2142" i="8" s="1"/>
  <c r="B2143" i="8" s="1"/>
  <c r="B2144" i="8" s="1"/>
  <c r="B2145" i="8" s="1"/>
  <c r="B2146" i="8" s="1"/>
  <c r="B2147" i="8" s="1"/>
  <c r="B2148" i="8" s="1"/>
  <c r="B2149" i="8" s="1"/>
  <c r="B2150" i="8" s="1"/>
  <c r="B2151" i="8" s="1"/>
  <c r="B2152" i="8" s="1"/>
  <c r="B2153" i="8" s="1"/>
  <c r="B2154" i="8" s="1"/>
  <c r="B2155" i="8" s="1"/>
  <c r="B2156" i="8" s="1"/>
  <c r="B2157" i="8" s="1"/>
  <c r="B2158" i="8" s="1"/>
  <c r="B2159" i="8" s="1"/>
  <c r="B2160" i="8" s="1"/>
  <c r="B2161" i="8" s="1"/>
  <c r="B2055" i="8"/>
  <c r="B2056" i="8" s="1"/>
  <c r="B2057" i="8" s="1"/>
  <c r="B2058" i="8" s="1"/>
  <c r="B2059" i="8" s="1"/>
  <c r="B2060" i="8" s="1"/>
  <c r="B2061" i="8" s="1"/>
  <c r="B2062" i="8" s="1"/>
  <c r="B2063" i="8" s="1"/>
  <c r="B2064" i="8" s="1"/>
  <c r="B2065" i="8" s="1"/>
  <c r="B2066" i="8" s="1"/>
  <c r="B2067" i="8" s="1"/>
  <c r="B2068" i="8" s="1"/>
  <c r="B2069" i="8" s="1"/>
  <c r="B2070" i="8" s="1"/>
  <c r="B2071" i="8" s="1"/>
  <c r="B2072" i="8" s="1"/>
  <c r="B2073" i="8" s="1"/>
  <c r="B2074" i="8" s="1"/>
  <c r="B2075" i="8" s="1"/>
  <c r="B2076" i="8" s="1"/>
  <c r="B2077" i="8" s="1"/>
  <c r="B2078" i="8" s="1"/>
  <c r="B2079" i="8" s="1"/>
  <c r="B2080" i="8" s="1"/>
  <c r="B2081" i="8" s="1"/>
  <c r="B2082" i="8" s="1"/>
  <c r="B2083" i="8" s="1"/>
  <c r="B2084" i="8" s="1"/>
  <c r="B2085" i="8" s="1"/>
  <c r="B2086" i="8" s="1"/>
  <c r="B2087" i="8" s="1"/>
  <c r="B2088" i="8" s="1"/>
  <c r="B2089" i="8" s="1"/>
  <c r="B2090" i="8" s="1"/>
  <c r="B2091" i="8" s="1"/>
  <c r="B2092" i="8" s="1"/>
  <c r="B2093" i="8" s="1"/>
  <c r="B2094" i="8" s="1"/>
  <c r="B2095" i="8" s="1"/>
  <c r="B2096" i="8" s="1"/>
  <c r="B2097" i="8" s="1"/>
  <c r="B2098" i="8" s="1"/>
  <c r="B2099" i="8" s="1"/>
  <c r="B2100" i="8" s="1"/>
  <c r="B2101" i="8" s="1"/>
  <c r="B2102" i="8" s="1"/>
  <c r="B2103" i="8" s="1"/>
  <c r="B2104" i="8" s="1"/>
  <c r="B2105" i="8" s="1"/>
  <c r="B2106" i="8" s="1"/>
  <c r="B2107" i="8" s="1"/>
  <c r="B2002" i="8"/>
  <c r="B2003" i="8" s="1"/>
  <c r="B2004" i="8" s="1"/>
  <c r="B2005" i="8" s="1"/>
  <c r="B2006" i="8" s="1"/>
  <c r="B2007" i="8" s="1"/>
  <c r="B2008" i="8" s="1"/>
  <c r="B2009" i="8" s="1"/>
  <c r="B2010" i="8" s="1"/>
  <c r="B2011" i="8" s="1"/>
  <c r="B2012" i="8" s="1"/>
  <c r="B2013" i="8" s="1"/>
  <c r="B2014" i="8" s="1"/>
  <c r="B2015" i="8" s="1"/>
  <c r="B2016" i="8" s="1"/>
  <c r="B2017" i="8" s="1"/>
  <c r="B2018" i="8" s="1"/>
  <c r="B2019" i="8" s="1"/>
  <c r="B2020" i="8" s="1"/>
  <c r="B2021" i="8" s="1"/>
  <c r="B2022" i="8" s="1"/>
  <c r="B2023" i="8" s="1"/>
  <c r="B2024" i="8" s="1"/>
  <c r="B2025" i="8" s="1"/>
  <c r="B2026" i="8" s="1"/>
  <c r="B2027" i="8" s="1"/>
  <c r="B2028" i="8" s="1"/>
  <c r="B2029" i="8" s="1"/>
  <c r="B2030" i="8" s="1"/>
  <c r="B2031" i="8" s="1"/>
  <c r="B2032" i="8" s="1"/>
  <c r="B2033" i="8" s="1"/>
  <c r="B2034" i="8" s="1"/>
  <c r="B2035" i="8" s="1"/>
  <c r="B2036" i="8" s="1"/>
  <c r="B2037" i="8" s="1"/>
  <c r="B2038" i="8" s="1"/>
  <c r="B2039" i="8" s="1"/>
  <c r="B2040" i="8" s="1"/>
  <c r="B2041" i="8" s="1"/>
  <c r="B2042" i="8" s="1"/>
  <c r="B2043" i="8" s="1"/>
  <c r="B2044" i="8" s="1"/>
  <c r="B2045" i="8" s="1"/>
  <c r="B2046" i="8" s="1"/>
  <c r="B2047" i="8" s="1"/>
  <c r="B2048" i="8" s="1"/>
  <c r="B2049" i="8" s="1"/>
  <c r="B2050" i="8" s="1"/>
  <c r="B2051" i="8" s="1"/>
  <c r="B2052" i="8" s="1"/>
  <c r="B2053" i="8" s="1"/>
  <c r="B2001" i="8"/>
  <c r="B1947" i="8"/>
  <c r="B1948" i="8" s="1"/>
  <c r="B1949" i="8" s="1"/>
  <c r="B1950" i="8" s="1"/>
  <c r="B1951" i="8" s="1"/>
  <c r="B1952" i="8" s="1"/>
  <c r="B1953" i="8" s="1"/>
  <c r="B1954" i="8" s="1"/>
  <c r="B1955" i="8" s="1"/>
  <c r="B1956" i="8" s="1"/>
  <c r="B1957" i="8" s="1"/>
  <c r="B1958" i="8" s="1"/>
  <c r="B1959" i="8" s="1"/>
  <c r="B1960" i="8" s="1"/>
  <c r="B1961" i="8" s="1"/>
  <c r="B1962" i="8" s="1"/>
  <c r="B1963" i="8" s="1"/>
  <c r="B1964" i="8" s="1"/>
  <c r="B1965" i="8" s="1"/>
  <c r="B1966" i="8" s="1"/>
  <c r="B1967" i="8" s="1"/>
  <c r="B1968" i="8" s="1"/>
  <c r="B1969" i="8" s="1"/>
  <c r="B1970" i="8" s="1"/>
  <c r="B1971" i="8" s="1"/>
  <c r="B1972" i="8" s="1"/>
  <c r="B1973" i="8" s="1"/>
  <c r="B1974" i="8" s="1"/>
  <c r="B1975" i="8" s="1"/>
  <c r="B1976" i="8" s="1"/>
  <c r="B1977" i="8" s="1"/>
  <c r="B1978" i="8" s="1"/>
  <c r="B1979" i="8" s="1"/>
  <c r="B1980" i="8" s="1"/>
  <c r="B1981" i="8" s="1"/>
  <c r="B1982" i="8" s="1"/>
  <c r="B1983" i="8" s="1"/>
  <c r="B1984" i="8" s="1"/>
  <c r="B1985" i="8" s="1"/>
  <c r="B1986" i="8" s="1"/>
  <c r="B1987" i="8" s="1"/>
  <c r="B1988" i="8" s="1"/>
  <c r="B1989" i="8" s="1"/>
  <c r="B1990" i="8" s="1"/>
  <c r="B1991" i="8" s="1"/>
  <c r="B1992" i="8" s="1"/>
  <c r="B1993" i="8" s="1"/>
  <c r="B1994" i="8" s="1"/>
  <c r="B1995" i="8" s="1"/>
  <c r="B1996" i="8" s="1"/>
  <c r="B1997" i="8" s="1"/>
  <c r="B1998" i="8" s="1"/>
  <c r="B1999" i="8" s="1"/>
  <c r="B1893" i="8"/>
  <c r="B1894" i="8" s="1"/>
  <c r="B1895" i="8" s="1"/>
  <c r="B1896" i="8" s="1"/>
  <c r="B1897" i="8" s="1"/>
  <c r="B1898" i="8" s="1"/>
  <c r="B1899" i="8" s="1"/>
  <c r="B1900" i="8" s="1"/>
  <c r="B1901" i="8" s="1"/>
  <c r="B1902" i="8" s="1"/>
  <c r="B1903" i="8" s="1"/>
  <c r="B1904" i="8" s="1"/>
  <c r="B1905" i="8" s="1"/>
  <c r="B1906" i="8" s="1"/>
  <c r="B1907" i="8" s="1"/>
  <c r="B1908" i="8" s="1"/>
  <c r="B1909" i="8" s="1"/>
  <c r="B1910" i="8" s="1"/>
  <c r="B1911" i="8" s="1"/>
  <c r="B1912" i="8" s="1"/>
  <c r="B1913" i="8" s="1"/>
  <c r="B1914" i="8" s="1"/>
  <c r="B1915" i="8" s="1"/>
  <c r="B1916" i="8" s="1"/>
  <c r="B1917" i="8" s="1"/>
  <c r="B1918" i="8" s="1"/>
  <c r="B1919" i="8" s="1"/>
  <c r="B1920" i="8" s="1"/>
  <c r="B1921" i="8" s="1"/>
  <c r="B1922" i="8" s="1"/>
  <c r="B1923" i="8" s="1"/>
  <c r="B1924" i="8" s="1"/>
  <c r="B1925" i="8" s="1"/>
  <c r="B1926" i="8" s="1"/>
  <c r="B1927" i="8" s="1"/>
  <c r="B1928" i="8" s="1"/>
  <c r="B1929" i="8" s="1"/>
  <c r="B1930" i="8" s="1"/>
  <c r="B1931" i="8" s="1"/>
  <c r="B1932" i="8" s="1"/>
  <c r="B1933" i="8" s="1"/>
  <c r="B1934" i="8" s="1"/>
  <c r="B1935" i="8" s="1"/>
  <c r="B1936" i="8" s="1"/>
  <c r="B1937" i="8" s="1"/>
  <c r="B1938" i="8" s="1"/>
  <c r="B1939" i="8" s="1"/>
  <c r="B1940" i="8" s="1"/>
  <c r="B1941" i="8" s="1"/>
  <c r="B1942" i="8" s="1"/>
  <c r="B1943" i="8" s="1"/>
  <c r="B1944" i="8" s="1"/>
  <c r="B1945" i="8" s="1"/>
  <c r="B1839" i="8"/>
  <c r="B1840" i="8" s="1"/>
  <c r="B1841" i="8" s="1"/>
  <c r="B1842" i="8" s="1"/>
  <c r="B1843" i="8" s="1"/>
  <c r="B1844" i="8" s="1"/>
  <c r="B1845" i="8" s="1"/>
  <c r="B1846" i="8" s="1"/>
  <c r="B1847" i="8" s="1"/>
  <c r="B1848" i="8" s="1"/>
  <c r="B1849" i="8" s="1"/>
  <c r="B1850" i="8" s="1"/>
  <c r="B1851" i="8" s="1"/>
  <c r="B1852" i="8" s="1"/>
  <c r="B1853" i="8" s="1"/>
  <c r="B1854" i="8" s="1"/>
  <c r="B1855" i="8" s="1"/>
  <c r="B1856" i="8" s="1"/>
  <c r="B1857" i="8" s="1"/>
  <c r="B1858" i="8" s="1"/>
  <c r="B1859" i="8" s="1"/>
  <c r="B1860" i="8" s="1"/>
  <c r="B1861" i="8" s="1"/>
  <c r="B1862" i="8" s="1"/>
  <c r="B1863" i="8" s="1"/>
  <c r="B1864" i="8" s="1"/>
  <c r="B1865" i="8" s="1"/>
  <c r="B1866" i="8" s="1"/>
  <c r="B1867" i="8" s="1"/>
  <c r="B1868" i="8" s="1"/>
  <c r="B1869" i="8" s="1"/>
  <c r="B1870" i="8" s="1"/>
  <c r="B1871" i="8" s="1"/>
  <c r="B1872" i="8" s="1"/>
  <c r="B1873" i="8" s="1"/>
  <c r="B1874" i="8" s="1"/>
  <c r="B1875" i="8" s="1"/>
  <c r="B1876" i="8" s="1"/>
  <c r="B1877" i="8" s="1"/>
  <c r="B1878" i="8" s="1"/>
  <c r="B1879" i="8" s="1"/>
  <c r="B1880" i="8" s="1"/>
  <c r="B1881" i="8" s="1"/>
  <c r="B1882" i="8" s="1"/>
  <c r="B1883" i="8" s="1"/>
  <c r="B1884" i="8" s="1"/>
  <c r="B1885" i="8" s="1"/>
  <c r="B1886" i="8" s="1"/>
  <c r="B1887" i="8" s="1"/>
  <c r="B1888" i="8" s="1"/>
  <c r="B1889" i="8" s="1"/>
  <c r="B1890" i="8" s="1"/>
  <c r="B1891" i="8" s="1"/>
  <c r="B1785" i="8"/>
  <c r="B1786" i="8" s="1"/>
  <c r="B1787" i="8" s="1"/>
  <c r="B1788" i="8" s="1"/>
  <c r="B1789" i="8" s="1"/>
  <c r="B1790" i="8" s="1"/>
  <c r="B1791" i="8" s="1"/>
  <c r="B1792" i="8" s="1"/>
  <c r="B1793" i="8" s="1"/>
  <c r="B1794" i="8" s="1"/>
  <c r="B1795" i="8" s="1"/>
  <c r="B1796" i="8" s="1"/>
  <c r="B1797" i="8" s="1"/>
  <c r="B1798" i="8" s="1"/>
  <c r="B1799" i="8" s="1"/>
  <c r="B1800" i="8" s="1"/>
  <c r="B1801" i="8" s="1"/>
  <c r="B1802" i="8" s="1"/>
  <c r="B1803" i="8" s="1"/>
  <c r="B1804" i="8" s="1"/>
  <c r="B1805" i="8" s="1"/>
  <c r="B1806" i="8" s="1"/>
  <c r="B1807" i="8" s="1"/>
  <c r="B1808" i="8" s="1"/>
  <c r="B1809" i="8" s="1"/>
  <c r="B1810" i="8" s="1"/>
  <c r="B1811" i="8" s="1"/>
  <c r="B1812" i="8" s="1"/>
  <c r="B1813" i="8" s="1"/>
  <c r="B1814" i="8" s="1"/>
  <c r="B1815" i="8" s="1"/>
  <c r="B1816" i="8" s="1"/>
  <c r="B1817" i="8" s="1"/>
  <c r="B1818" i="8" s="1"/>
  <c r="B1819" i="8" s="1"/>
  <c r="B1820" i="8" s="1"/>
  <c r="B1821" i="8" s="1"/>
  <c r="B1822" i="8" s="1"/>
  <c r="B1823" i="8" s="1"/>
  <c r="B1824" i="8" s="1"/>
  <c r="B1825" i="8" s="1"/>
  <c r="B1826" i="8" s="1"/>
  <c r="B1827" i="8" s="1"/>
  <c r="B1828" i="8" s="1"/>
  <c r="B1829" i="8" s="1"/>
  <c r="B1830" i="8" s="1"/>
  <c r="B1831" i="8" s="1"/>
  <c r="B1832" i="8" s="1"/>
  <c r="B1833" i="8" s="1"/>
  <c r="B1834" i="8" s="1"/>
  <c r="B1835" i="8" s="1"/>
  <c r="B1836" i="8" s="1"/>
  <c r="B1837" i="8" s="1"/>
  <c r="B1731" i="8"/>
  <c r="B1732" i="8" s="1"/>
  <c r="B1733" i="8" s="1"/>
  <c r="B1734" i="8" s="1"/>
  <c r="B1735" i="8" s="1"/>
  <c r="B1736" i="8" s="1"/>
  <c r="B1737" i="8" s="1"/>
  <c r="B1738" i="8" s="1"/>
  <c r="B1739" i="8" s="1"/>
  <c r="B1740" i="8" s="1"/>
  <c r="B1741" i="8" s="1"/>
  <c r="B1742" i="8" s="1"/>
  <c r="B1743" i="8" s="1"/>
  <c r="B1744" i="8" s="1"/>
  <c r="B1745" i="8" s="1"/>
  <c r="B1746" i="8" s="1"/>
  <c r="B1747" i="8" s="1"/>
  <c r="B1748" i="8" s="1"/>
  <c r="B1749" i="8" s="1"/>
  <c r="B1750" i="8" s="1"/>
  <c r="B1751" i="8" s="1"/>
  <c r="B1752" i="8" s="1"/>
  <c r="B1753" i="8" s="1"/>
  <c r="B1754" i="8" s="1"/>
  <c r="B1755" i="8" s="1"/>
  <c r="B1756" i="8" s="1"/>
  <c r="B1757" i="8" s="1"/>
  <c r="B1758" i="8" s="1"/>
  <c r="B1759" i="8" s="1"/>
  <c r="B1760" i="8" s="1"/>
  <c r="B1761" i="8" s="1"/>
  <c r="B1762" i="8" s="1"/>
  <c r="B1763" i="8" s="1"/>
  <c r="B1764" i="8" s="1"/>
  <c r="B1765" i="8" s="1"/>
  <c r="B1766" i="8" s="1"/>
  <c r="B1767" i="8" s="1"/>
  <c r="B1768" i="8" s="1"/>
  <c r="B1769" i="8" s="1"/>
  <c r="B1770" i="8" s="1"/>
  <c r="B1771" i="8" s="1"/>
  <c r="B1772" i="8" s="1"/>
  <c r="B1773" i="8" s="1"/>
  <c r="B1774" i="8" s="1"/>
  <c r="B1775" i="8" s="1"/>
  <c r="B1776" i="8" s="1"/>
  <c r="B1777" i="8" s="1"/>
  <c r="B1778" i="8" s="1"/>
  <c r="B1779" i="8" s="1"/>
  <c r="B1780" i="8" s="1"/>
  <c r="B1781" i="8" s="1"/>
  <c r="B1782" i="8" s="1"/>
  <c r="B1783" i="8" s="1"/>
  <c r="B1677" i="8"/>
  <c r="B1678" i="8" s="1"/>
  <c r="B1679" i="8" s="1"/>
  <c r="B1680" i="8" s="1"/>
  <c r="B1681" i="8" s="1"/>
  <c r="B1682" i="8" s="1"/>
  <c r="B1683" i="8" s="1"/>
  <c r="B1684" i="8" s="1"/>
  <c r="B1685" i="8" s="1"/>
  <c r="B1686" i="8" s="1"/>
  <c r="B1687" i="8" s="1"/>
  <c r="B1688" i="8" s="1"/>
  <c r="B1689" i="8" s="1"/>
  <c r="B1690" i="8" s="1"/>
  <c r="B1691" i="8" s="1"/>
  <c r="B1692" i="8" s="1"/>
  <c r="B1693" i="8" s="1"/>
  <c r="B1694" i="8" s="1"/>
  <c r="B1695" i="8" s="1"/>
  <c r="B1696" i="8" s="1"/>
  <c r="B1697" i="8" s="1"/>
  <c r="B1698" i="8" s="1"/>
  <c r="B1699" i="8" s="1"/>
  <c r="B1700" i="8" s="1"/>
  <c r="B1701" i="8" s="1"/>
  <c r="B1702" i="8" s="1"/>
  <c r="B1703" i="8" s="1"/>
  <c r="B1704" i="8" s="1"/>
  <c r="B1705" i="8" s="1"/>
  <c r="B1706" i="8" s="1"/>
  <c r="B1707" i="8" s="1"/>
  <c r="B1708" i="8" s="1"/>
  <c r="B1709" i="8" s="1"/>
  <c r="B1710" i="8" s="1"/>
  <c r="B1711" i="8" s="1"/>
  <c r="B1712" i="8" s="1"/>
  <c r="B1713" i="8" s="1"/>
  <c r="B1714" i="8" s="1"/>
  <c r="B1715" i="8" s="1"/>
  <c r="B1716" i="8" s="1"/>
  <c r="B1717" i="8" s="1"/>
  <c r="B1718" i="8" s="1"/>
  <c r="B1719" i="8" s="1"/>
  <c r="B1720" i="8" s="1"/>
  <c r="B1721" i="8" s="1"/>
  <c r="B1722" i="8" s="1"/>
  <c r="B1723" i="8" s="1"/>
  <c r="B1724" i="8" s="1"/>
  <c r="B1725" i="8" s="1"/>
  <c r="B1726" i="8" s="1"/>
  <c r="B1727" i="8" s="1"/>
  <c r="B1728" i="8" s="1"/>
  <c r="B1729" i="8" s="1"/>
  <c r="B1623" i="8"/>
  <c r="B1624" i="8" s="1"/>
  <c r="B1625" i="8" s="1"/>
  <c r="B1626" i="8" s="1"/>
  <c r="B1627" i="8" s="1"/>
  <c r="B1628" i="8" s="1"/>
  <c r="B1629" i="8" s="1"/>
  <c r="B1630" i="8" s="1"/>
  <c r="B1631" i="8" s="1"/>
  <c r="B1632" i="8" s="1"/>
  <c r="B1633" i="8" s="1"/>
  <c r="B1634" i="8" s="1"/>
  <c r="B1635" i="8" s="1"/>
  <c r="B1636" i="8" s="1"/>
  <c r="B1637" i="8" s="1"/>
  <c r="B1638" i="8" s="1"/>
  <c r="B1639" i="8" s="1"/>
  <c r="B1640" i="8" s="1"/>
  <c r="B1641" i="8" s="1"/>
  <c r="B1642" i="8" s="1"/>
  <c r="B1643" i="8" s="1"/>
  <c r="B1644" i="8" s="1"/>
  <c r="B1645" i="8" s="1"/>
  <c r="B1646" i="8" s="1"/>
  <c r="B1647" i="8" s="1"/>
  <c r="B1648" i="8" s="1"/>
  <c r="B1649" i="8" s="1"/>
  <c r="B1650" i="8" s="1"/>
  <c r="B1651" i="8" s="1"/>
  <c r="B1652" i="8" s="1"/>
  <c r="B1653" i="8" s="1"/>
  <c r="B1654" i="8" s="1"/>
  <c r="B1655" i="8" s="1"/>
  <c r="B1656" i="8" s="1"/>
  <c r="B1657" i="8" s="1"/>
  <c r="B1658" i="8" s="1"/>
  <c r="B1659" i="8" s="1"/>
  <c r="B1660" i="8" s="1"/>
  <c r="B1661" i="8" s="1"/>
  <c r="B1662" i="8" s="1"/>
  <c r="B1663" i="8" s="1"/>
  <c r="B1664" i="8" s="1"/>
  <c r="B1665" i="8" s="1"/>
  <c r="B1666" i="8" s="1"/>
  <c r="B1667" i="8" s="1"/>
  <c r="B1668" i="8" s="1"/>
  <c r="B1669" i="8" s="1"/>
  <c r="B1670" i="8" s="1"/>
  <c r="B1671" i="8" s="1"/>
  <c r="B1672" i="8" s="1"/>
  <c r="B1673" i="8" s="1"/>
  <c r="B1674" i="8" s="1"/>
  <c r="B1675" i="8" s="1"/>
  <c r="B1569" i="8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B1603" i="8" s="1"/>
  <c r="B1604" i="8" s="1"/>
  <c r="B1605" i="8" s="1"/>
  <c r="B1606" i="8" s="1"/>
  <c r="B1607" i="8" s="1"/>
  <c r="B1608" i="8" s="1"/>
  <c r="B1609" i="8" s="1"/>
  <c r="B1610" i="8" s="1"/>
  <c r="B1611" i="8" s="1"/>
  <c r="B1612" i="8" s="1"/>
  <c r="B1613" i="8" s="1"/>
  <c r="B1614" i="8" s="1"/>
  <c r="B1615" i="8" s="1"/>
  <c r="B1616" i="8" s="1"/>
  <c r="B1617" i="8" s="1"/>
  <c r="B1618" i="8" s="1"/>
  <c r="B1619" i="8" s="1"/>
  <c r="B1620" i="8" s="1"/>
  <c r="B1621" i="8" s="1"/>
  <c r="B1515" i="8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461" i="8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407" i="8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353" i="8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299" i="8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245" i="8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191" i="8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138" i="8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37" i="8"/>
  <c r="B1083" i="8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029" i="8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975" i="8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921" i="8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867" i="8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813" i="8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759" i="8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705" i="8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651" i="8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597" i="8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543" i="8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489" i="8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435" i="8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381" i="8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B403" i="8" s="1"/>
  <c r="B404" i="8" s="1"/>
  <c r="B405" i="8" s="1"/>
  <c r="B406" i="8" s="1"/>
  <c r="B407" i="8" s="1"/>
  <c r="B408" i="8" s="1"/>
  <c r="B409" i="8" s="1"/>
  <c r="B410" i="8" s="1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327" i="8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274" i="8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273" i="8"/>
  <c r="B219" i="8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165" i="8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111" i="8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57" i="8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4269" i="8"/>
  <c r="B4270" i="8" s="1"/>
  <c r="B4271" i="8" s="1"/>
  <c r="B4272" i="8" s="1"/>
  <c r="B4273" i="8" s="1"/>
  <c r="B4274" i="8" s="1"/>
  <c r="B4275" i="8" s="1"/>
  <c r="B4276" i="8" s="1"/>
  <c r="B4277" i="8" s="1"/>
  <c r="B4278" i="8" s="1"/>
  <c r="B4279" i="8" s="1"/>
  <c r="B4280" i="8" s="1"/>
  <c r="B4281" i="8" s="1"/>
  <c r="B4282" i="8" s="1"/>
  <c r="B4283" i="8" s="1"/>
  <c r="B4284" i="8" s="1"/>
  <c r="B4285" i="8" s="1"/>
  <c r="B4286" i="8" s="1"/>
  <c r="B4287" i="8" s="1"/>
  <c r="B4288" i="8" s="1"/>
  <c r="B4289" i="8" s="1"/>
  <c r="B4290" i="8" s="1"/>
  <c r="B4291" i="8" s="1"/>
  <c r="B4292" i="8" s="1"/>
  <c r="B4293" i="8" s="1"/>
  <c r="B4294" i="8" s="1"/>
  <c r="B4295" i="8" s="1"/>
  <c r="B4296" i="8" s="1"/>
  <c r="B4297" i="8" s="1"/>
  <c r="B4298" i="8" s="1"/>
  <c r="B4299" i="8" s="1"/>
  <c r="B4300" i="8" s="1"/>
  <c r="B4301" i="8" s="1"/>
  <c r="B4302" i="8" s="1"/>
  <c r="B4303" i="8" s="1"/>
  <c r="B4304" i="8" s="1"/>
  <c r="B4305" i="8" s="1"/>
  <c r="B4306" i="8" s="1"/>
  <c r="B4307" i="8" s="1"/>
  <c r="B4308" i="8" s="1"/>
  <c r="B4309" i="8" s="1"/>
  <c r="B4310" i="8" s="1"/>
  <c r="B4311" i="8" s="1"/>
  <c r="B4312" i="8" s="1"/>
  <c r="B4313" i="8" s="1"/>
  <c r="B4314" i="8" s="1"/>
  <c r="B4315" i="8" s="1"/>
  <c r="B4316" i="8" s="1"/>
  <c r="B4317" i="8" s="1"/>
  <c r="B4318" i="8" s="1"/>
  <c r="B4319" i="8" s="1"/>
  <c r="B4320" i="8" s="1"/>
  <c r="B4321" i="8" s="1"/>
  <c r="H56" i="8"/>
  <c r="H55" i="8"/>
  <c r="B3" i="12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2" i="8"/>
  <c r="AK46" i="6" l="1"/>
  <c r="AI16" i="6"/>
  <c r="AK16" i="6"/>
  <c r="AM16" i="6"/>
  <c r="AO16" i="6"/>
  <c r="AQ16" i="6"/>
  <c r="AS16" i="6"/>
  <c r="AU16" i="6"/>
  <c r="AW16" i="6"/>
  <c r="AY16" i="6"/>
  <c r="BA16" i="6"/>
  <c r="BC16" i="6"/>
  <c r="BE16" i="6"/>
  <c r="BG16" i="6"/>
  <c r="BI16" i="6"/>
  <c r="BK16" i="6"/>
  <c r="BM16" i="6"/>
  <c r="BO16" i="6"/>
  <c r="BQ16" i="6"/>
  <c r="BS16" i="6"/>
  <c r="BU16" i="6"/>
  <c r="BW16" i="6"/>
  <c r="BY16" i="6"/>
  <c r="CA16" i="6"/>
  <c r="CC16" i="6"/>
  <c r="CE16" i="6"/>
  <c r="CG16" i="6"/>
  <c r="CI16" i="6"/>
  <c r="CK16" i="6"/>
  <c r="CM16" i="6"/>
  <c r="CO16" i="6"/>
  <c r="CQ16" i="6"/>
  <c r="CS16" i="6"/>
  <c r="CU16" i="6"/>
  <c r="CW16" i="6"/>
  <c r="CY16" i="6"/>
  <c r="DA16" i="6"/>
  <c r="DC16" i="6"/>
  <c r="DE16" i="6"/>
  <c r="DG16" i="6"/>
  <c r="DI16" i="6"/>
  <c r="DK16" i="6"/>
  <c r="DM16" i="6"/>
  <c r="DO16" i="6"/>
  <c r="DQ16" i="6"/>
  <c r="DS16" i="6"/>
  <c r="DU16" i="6"/>
  <c r="DW16" i="6"/>
  <c r="DY16" i="6"/>
  <c r="EA16" i="6"/>
  <c r="EC16" i="6"/>
  <c r="EE16" i="6"/>
  <c r="EG16" i="6"/>
  <c r="EI16" i="6"/>
  <c r="EK16" i="6"/>
  <c r="EM16" i="6"/>
  <c r="EO16" i="6"/>
  <c r="EQ16" i="6"/>
  <c r="ES16" i="6"/>
  <c r="EU16" i="6"/>
  <c r="EW16" i="6"/>
  <c r="EY16" i="6"/>
  <c r="FA16" i="6"/>
  <c r="FC16" i="6"/>
  <c r="FE16" i="6"/>
  <c r="FG16" i="6"/>
  <c r="FI16" i="6"/>
  <c r="FK16" i="6"/>
  <c r="FM16" i="6"/>
  <c r="FO16" i="6"/>
  <c r="FQ16" i="6"/>
  <c r="AI17" i="6"/>
  <c r="AK17" i="6"/>
  <c r="AM17" i="6"/>
  <c r="AO17" i="6"/>
  <c r="AQ17" i="6"/>
  <c r="AS17" i="6"/>
  <c r="AU17" i="6"/>
  <c r="AW17" i="6"/>
  <c r="AY17" i="6"/>
  <c r="BA17" i="6"/>
  <c r="BC17" i="6"/>
  <c r="BE17" i="6"/>
  <c r="BG17" i="6"/>
  <c r="BI17" i="6"/>
  <c r="BK17" i="6"/>
  <c r="BM17" i="6"/>
  <c r="BO17" i="6"/>
  <c r="BQ17" i="6"/>
  <c r="BS17" i="6"/>
  <c r="BU17" i="6"/>
  <c r="BW17" i="6"/>
  <c r="BY17" i="6"/>
  <c r="CA17" i="6"/>
  <c r="CC17" i="6"/>
  <c r="CE17" i="6"/>
  <c r="CG17" i="6"/>
  <c r="CI17" i="6"/>
  <c r="CK17" i="6"/>
  <c r="CM17" i="6"/>
  <c r="CO17" i="6"/>
  <c r="CQ17" i="6"/>
  <c r="CS17" i="6"/>
  <c r="CU17" i="6"/>
  <c r="CW17" i="6"/>
  <c r="CY17" i="6"/>
  <c r="DA17" i="6"/>
  <c r="DC17" i="6"/>
  <c r="DE17" i="6"/>
  <c r="DG17" i="6"/>
  <c r="DI17" i="6"/>
  <c r="DK17" i="6"/>
  <c r="DM17" i="6"/>
  <c r="DO17" i="6"/>
  <c r="DQ17" i="6"/>
  <c r="DS17" i="6"/>
  <c r="DU17" i="6"/>
  <c r="DW17" i="6"/>
  <c r="DY17" i="6"/>
  <c r="EA17" i="6"/>
  <c r="EC17" i="6"/>
  <c r="EE17" i="6"/>
  <c r="EG17" i="6"/>
  <c r="EI17" i="6"/>
  <c r="EK17" i="6"/>
  <c r="EM17" i="6"/>
  <c r="EO17" i="6"/>
  <c r="EQ17" i="6"/>
  <c r="ES17" i="6"/>
  <c r="EU17" i="6"/>
  <c r="EW17" i="6"/>
  <c r="EY17" i="6"/>
  <c r="FA17" i="6"/>
  <c r="FC17" i="6"/>
  <c r="FE17" i="6"/>
  <c r="FG17" i="6"/>
  <c r="FI17" i="6"/>
  <c r="FK17" i="6"/>
  <c r="FM17" i="6"/>
  <c r="FO17" i="6"/>
  <c r="FQ17" i="6"/>
  <c r="AI18" i="6"/>
  <c r="AK18" i="6"/>
  <c r="AM18" i="6"/>
  <c r="AO18" i="6"/>
  <c r="AQ18" i="6"/>
  <c r="AS18" i="6"/>
  <c r="AU18" i="6"/>
  <c r="AW18" i="6"/>
  <c r="AY18" i="6"/>
  <c r="BA18" i="6"/>
  <c r="BC18" i="6"/>
  <c r="BE18" i="6"/>
  <c r="BG18" i="6"/>
  <c r="BI18" i="6"/>
  <c r="BK18" i="6"/>
  <c r="BM18" i="6"/>
  <c r="BO18" i="6"/>
  <c r="BQ18" i="6"/>
  <c r="BS18" i="6"/>
  <c r="BU18" i="6"/>
  <c r="BW18" i="6"/>
  <c r="BY18" i="6"/>
  <c r="CA18" i="6"/>
  <c r="CC18" i="6"/>
  <c r="CE18" i="6"/>
  <c r="CG18" i="6"/>
  <c r="CI18" i="6"/>
  <c r="CK18" i="6"/>
  <c r="CM18" i="6"/>
  <c r="CO18" i="6"/>
  <c r="CQ18" i="6"/>
  <c r="CS18" i="6"/>
  <c r="CU18" i="6"/>
  <c r="CW18" i="6"/>
  <c r="CY18" i="6"/>
  <c r="DA18" i="6"/>
  <c r="DC18" i="6"/>
  <c r="DE18" i="6"/>
  <c r="DG18" i="6"/>
  <c r="DI18" i="6"/>
  <c r="DK18" i="6"/>
  <c r="DM18" i="6"/>
  <c r="DO18" i="6"/>
  <c r="DQ18" i="6"/>
  <c r="DS18" i="6"/>
  <c r="DU18" i="6"/>
  <c r="DW18" i="6"/>
  <c r="DY18" i="6"/>
  <c r="EA18" i="6"/>
  <c r="EC18" i="6"/>
  <c r="EE18" i="6"/>
  <c r="EG18" i="6"/>
  <c r="EI18" i="6"/>
  <c r="EK18" i="6"/>
  <c r="EM18" i="6"/>
  <c r="EO18" i="6"/>
  <c r="EQ18" i="6"/>
  <c r="ES18" i="6"/>
  <c r="EU18" i="6"/>
  <c r="EW18" i="6"/>
  <c r="EY18" i="6"/>
  <c r="FA18" i="6"/>
  <c r="FC18" i="6"/>
  <c r="FE18" i="6"/>
  <c r="FG18" i="6"/>
  <c r="FI18" i="6"/>
  <c r="FK18" i="6"/>
  <c r="FM18" i="6"/>
  <c r="FO18" i="6"/>
  <c r="FQ18" i="6"/>
  <c r="AI19" i="6"/>
  <c r="AK19" i="6"/>
  <c r="AM19" i="6"/>
  <c r="AO19" i="6"/>
  <c r="AQ19" i="6"/>
  <c r="AS19" i="6"/>
  <c r="AU19" i="6"/>
  <c r="AW19" i="6"/>
  <c r="AY19" i="6"/>
  <c r="BA19" i="6"/>
  <c r="BC19" i="6"/>
  <c r="BE19" i="6"/>
  <c r="BG19" i="6"/>
  <c r="BI19" i="6"/>
  <c r="BK19" i="6"/>
  <c r="BM19" i="6"/>
  <c r="BO19" i="6"/>
  <c r="BQ19" i="6"/>
  <c r="BS19" i="6"/>
  <c r="BU19" i="6"/>
  <c r="BW19" i="6"/>
  <c r="BY19" i="6"/>
  <c r="CA19" i="6"/>
  <c r="CC19" i="6"/>
  <c r="CE19" i="6"/>
  <c r="CG19" i="6"/>
  <c r="CI19" i="6"/>
  <c r="CK19" i="6"/>
  <c r="CM19" i="6"/>
  <c r="CO19" i="6"/>
  <c r="CQ19" i="6"/>
  <c r="CS19" i="6"/>
  <c r="CU19" i="6"/>
  <c r="CW19" i="6"/>
  <c r="CY19" i="6"/>
  <c r="DA19" i="6"/>
  <c r="DC19" i="6"/>
  <c r="DE19" i="6"/>
  <c r="DG19" i="6"/>
  <c r="DI19" i="6"/>
  <c r="DK19" i="6"/>
  <c r="DM19" i="6"/>
  <c r="DO19" i="6"/>
  <c r="DQ19" i="6"/>
  <c r="DS19" i="6"/>
  <c r="DU19" i="6"/>
  <c r="DW19" i="6"/>
  <c r="DY19" i="6"/>
  <c r="EA19" i="6"/>
  <c r="EC19" i="6"/>
  <c r="EE19" i="6"/>
  <c r="EG19" i="6"/>
  <c r="EI19" i="6"/>
  <c r="EK19" i="6"/>
  <c r="EM19" i="6"/>
  <c r="EO19" i="6"/>
  <c r="EQ19" i="6"/>
  <c r="ES19" i="6"/>
  <c r="EU19" i="6"/>
  <c r="EW19" i="6"/>
  <c r="EY19" i="6"/>
  <c r="FA19" i="6"/>
  <c r="FC19" i="6"/>
  <c r="FE19" i="6"/>
  <c r="FG19" i="6"/>
  <c r="FI19" i="6"/>
  <c r="FK19" i="6"/>
  <c r="FM19" i="6"/>
  <c r="FO19" i="6"/>
  <c r="FQ19" i="6"/>
  <c r="AI20" i="6"/>
  <c r="AK20" i="6"/>
  <c r="AM20" i="6"/>
  <c r="AO20" i="6"/>
  <c r="AQ20" i="6"/>
  <c r="AS20" i="6"/>
  <c r="AU20" i="6"/>
  <c r="AW20" i="6"/>
  <c r="AY20" i="6"/>
  <c r="BA20" i="6"/>
  <c r="BC20" i="6"/>
  <c r="BE20" i="6"/>
  <c r="BG20" i="6"/>
  <c r="BI20" i="6"/>
  <c r="BK20" i="6"/>
  <c r="BM20" i="6"/>
  <c r="BO20" i="6"/>
  <c r="BQ20" i="6"/>
  <c r="BS20" i="6"/>
  <c r="BU20" i="6"/>
  <c r="BW20" i="6"/>
  <c r="BY20" i="6"/>
  <c r="CA20" i="6"/>
  <c r="CC20" i="6"/>
  <c r="CE20" i="6"/>
  <c r="CG20" i="6"/>
  <c r="CI20" i="6"/>
  <c r="CK20" i="6"/>
  <c r="CM20" i="6"/>
  <c r="CO20" i="6"/>
  <c r="CQ20" i="6"/>
  <c r="CS20" i="6"/>
  <c r="CU20" i="6"/>
  <c r="CW20" i="6"/>
  <c r="CY20" i="6"/>
  <c r="DA20" i="6"/>
  <c r="DC20" i="6"/>
  <c r="DE20" i="6"/>
  <c r="DG20" i="6"/>
  <c r="DI20" i="6"/>
  <c r="DK20" i="6"/>
  <c r="DM20" i="6"/>
  <c r="DO20" i="6"/>
  <c r="DQ20" i="6"/>
  <c r="DS20" i="6"/>
  <c r="DU20" i="6"/>
  <c r="DW20" i="6"/>
  <c r="DY20" i="6"/>
  <c r="EA20" i="6"/>
  <c r="EC20" i="6"/>
  <c r="EE20" i="6"/>
  <c r="EG20" i="6"/>
  <c r="EI20" i="6"/>
  <c r="EK20" i="6"/>
  <c r="EM20" i="6"/>
  <c r="EO20" i="6"/>
  <c r="EQ20" i="6"/>
  <c r="ES20" i="6"/>
  <c r="EU20" i="6"/>
  <c r="EW20" i="6"/>
  <c r="EY20" i="6"/>
  <c r="FA20" i="6"/>
  <c r="FC20" i="6"/>
  <c r="FE20" i="6"/>
  <c r="FG20" i="6"/>
  <c r="FI20" i="6"/>
  <c r="FK20" i="6"/>
  <c r="FM20" i="6"/>
  <c r="FO20" i="6"/>
  <c r="FQ20" i="6"/>
  <c r="AI21" i="6"/>
  <c r="AK21" i="6"/>
  <c r="AM21" i="6"/>
  <c r="AO21" i="6"/>
  <c r="AQ21" i="6"/>
  <c r="AS21" i="6"/>
  <c r="AU21" i="6"/>
  <c r="AW21" i="6"/>
  <c r="AY21" i="6"/>
  <c r="BA21" i="6"/>
  <c r="BC21" i="6"/>
  <c r="BE21" i="6"/>
  <c r="BG21" i="6"/>
  <c r="BI21" i="6"/>
  <c r="BK21" i="6"/>
  <c r="BM21" i="6"/>
  <c r="BO21" i="6"/>
  <c r="BQ21" i="6"/>
  <c r="BS21" i="6"/>
  <c r="BU21" i="6"/>
  <c r="BW21" i="6"/>
  <c r="BY21" i="6"/>
  <c r="CA21" i="6"/>
  <c r="CC21" i="6"/>
  <c r="CE21" i="6"/>
  <c r="CG21" i="6"/>
  <c r="CI21" i="6"/>
  <c r="CK21" i="6"/>
  <c r="CM21" i="6"/>
  <c r="CO21" i="6"/>
  <c r="CQ21" i="6"/>
  <c r="CS21" i="6"/>
  <c r="CU21" i="6"/>
  <c r="CW21" i="6"/>
  <c r="CY21" i="6"/>
  <c r="DA21" i="6"/>
  <c r="DC21" i="6"/>
  <c r="DE21" i="6"/>
  <c r="DG21" i="6"/>
  <c r="DI21" i="6"/>
  <c r="DK21" i="6"/>
  <c r="DM21" i="6"/>
  <c r="DO21" i="6"/>
  <c r="DQ21" i="6"/>
  <c r="DS21" i="6"/>
  <c r="DU21" i="6"/>
  <c r="DW21" i="6"/>
  <c r="DY21" i="6"/>
  <c r="EA21" i="6"/>
  <c r="EC21" i="6"/>
  <c r="EE21" i="6"/>
  <c r="EG21" i="6"/>
  <c r="EI21" i="6"/>
  <c r="EK21" i="6"/>
  <c r="EM21" i="6"/>
  <c r="EO21" i="6"/>
  <c r="EQ21" i="6"/>
  <c r="ES21" i="6"/>
  <c r="EU21" i="6"/>
  <c r="EW21" i="6"/>
  <c r="EY21" i="6"/>
  <c r="FA21" i="6"/>
  <c r="FC21" i="6"/>
  <c r="FE21" i="6"/>
  <c r="FG21" i="6"/>
  <c r="FI21" i="6"/>
  <c r="FK21" i="6"/>
  <c r="FM21" i="6"/>
  <c r="FO21" i="6"/>
  <c r="FQ21" i="6"/>
  <c r="AG21" i="6"/>
  <c r="AG20" i="6"/>
  <c r="AG19" i="6"/>
  <c r="AG18" i="6"/>
  <c r="AG17" i="6"/>
  <c r="AG16" i="6"/>
  <c r="AE21" i="6"/>
  <c r="AE20" i="6"/>
  <c r="AE19" i="6"/>
  <c r="AE18" i="6"/>
  <c r="AE17" i="6"/>
  <c r="AE16" i="6"/>
  <c r="AC21" i="6"/>
  <c r="AC20" i="6"/>
  <c r="AC19" i="6"/>
  <c r="AC18" i="6"/>
  <c r="AC17" i="6"/>
  <c r="AC16" i="6"/>
  <c r="AA21" i="6"/>
  <c r="AA20" i="6"/>
  <c r="AA19" i="6"/>
  <c r="AA18" i="6"/>
  <c r="AA17" i="6"/>
  <c r="AA16" i="6"/>
  <c r="Y21" i="6"/>
  <c r="Y20" i="6"/>
  <c r="Y19" i="6"/>
  <c r="Y18" i="6"/>
  <c r="Y17" i="6"/>
  <c r="Y16" i="6"/>
  <c r="W21" i="6"/>
  <c r="W20" i="6"/>
  <c r="W19" i="6"/>
  <c r="W18" i="6"/>
  <c r="W17" i="6"/>
  <c r="W16" i="6"/>
  <c r="U21" i="6"/>
  <c r="U20" i="6"/>
  <c r="U19" i="6"/>
  <c r="U18" i="6"/>
  <c r="U17" i="6"/>
  <c r="U16" i="6"/>
  <c r="S21" i="6"/>
  <c r="S20" i="6"/>
  <c r="S19" i="6"/>
  <c r="S18" i="6"/>
  <c r="S17" i="6"/>
  <c r="S16" i="6"/>
  <c r="Q21" i="6"/>
  <c r="Q20" i="6"/>
  <c r="Q19" i="6"/>
  <c r="Q18" i="6"/>
  <c r="Q17" i="6"/>
  <c r="Q16" i="6"/>
  <c r="O21" i="6"/>
  <c r="O20" i="6"/>
  <c r="O19" i="6"/>
  <c r="O18" i="6"/>
  <c r="O17" i="6"/>
  <c r="O16" i="6"/>
  <c r="M21" i="6"/>
  <c r="M20" i="6"/>
  <c r="M19" i="6"/>
  <c r="M18" i="6"/>
  <c r="M17" i="6"/>
  <c r="M16" i="6"/>
  <c r="K21" i="6"/>
  <c r="K20" i="6"/>
  <c r="K19" i="6"/>
  <c r="K18" i="6"/>
  <c r="K17" i="6"/>
  <c r="K16" i="6"/>
  <c r="M22" i="6"/>
  <c r="O22" i="6"/>
  <c r="Q22" i="6"/>
  <c r="S22" i="6"/>
  <c r="U22" i="6"/>
  <c r="W22" i="6"/>
  <c r="Y22" i="6"/>
  <c r="AA22" i="6"/>
  <c r="AC22" i="6"/>
  <c r="AE22" i="6"/>
  <c r="AG22" i="6"/>
  <c r="AI22" i="6"/>
  <c r="AK22" i="6"/>
  <c r="AM22" i="6"/>
  <c r="AO22" i="6"/>
  <c r="AQ22" i="6"/>
  <c r="AS22" i="6"/>
  <c r="AU22" i="6"/>
  <c r="AW22" i="6"/>
  <c r="AY22" i="6"/>
  <c r="BA22" i="6"/>
  <c r="BC22" i="6"/>
  <c r="BE22" i="6"/>
  <c r="BG22" i="6"/>
  <c r="BI22" i="6"/>
  <c r="BK22" i="6"/>
  <c r="BM22" i="6"/>
  <c r="BO22" i="6"/>
  <c r="BQ22" i="6"/>
  <c r="BS22" i="6"/>
  <c r="BU22" i="6"/>
  <c r="BW22" i="6"/>
  <c r="BY22" i="6"/>
  <c r="CA22" i="6"/>
  <c r="CC22" i="6"/>
  <c r="CE22" i="6"/>
  <c r="CG22" i="6"/>
  <c r="CI22" i="6"/>
  <c r="CK22" i="6"/>
  <c r="CM22" i="6"/>
  <c r="CO22" i="6"/>
  <c r="CQ22" i="6"/>
  <c r="CS22" i="6"/>
  <c r="CU22" i="6"/>
  <c r="CW22" i="6"/>
  <c r="CY22" i="6"/>
  <c r="DA22" i="6"/>
  <c r="DC22" i="6"/>
  <c r="DE22" i="6"/>
  <c r="DG22" i="6"/>
  <c r="DI22" i="6"/>
  <c r="DK22" i="6"/>
  <c r="DM22" i="6"/>
  <c r="DO22" i="6"/>
  <c r="DQ22" i="6"/>
  <c r="DS22" i="6"/>
  <c r="DU22" i="6"/>
  <c r="DW22" i="6"/>
  <c r="DY22" i="6"/>
  <c r="EA22" i="6"/>
  <c r="EC22" i="6"/>
  <c r="EE22" i="6"/>
  <c r="EG22" i="6"/>
  <c r="EI22" i="6"/>
  <c r="EK22" i="6"/>
  <c r="EM22" i="6"/>
  <c r="EO22" i="6"/>
  <c r="EQ22" i="6"/>
  <c r="ES22" i="6"/>
  <c r="EU22" i="6"/>
  <c r="EW22" i="6"/>
  <c r="EY22" i="6"/>
  <c r="FA22" i="6"/>
  <c r="FC22" i="6"/>
  <c r="FE22" i="6"/>
  <c r="FG22" i="6"/>
  <c r="FI22" i="6"/>
  <c r="FK22" i="6"/>
  <c r="FM22" i="6"/>
  <c r="FO22" i="6"/>
  <c r="FQ22" i="6"/>
  <c r="M23" i="6"/>
  <c r="O23" i="6"/>
  <c r="Q23" i="6"/>
  <c r="S23" i="6"/>
  <c r="U23" i="6"/>
  <c r="W23" i="6"/>
  <c r="Y23" i="6"/>
  <c r="AA23" i="6"/>
  <c r="AC23" i="6"/>
  <c r="AE23" i="6"/>
  <c r="AG23" i="6"/>
  <c r="AI23" i="6"/>
  <c r="AK23" i="6"/>
  <c r="AM23" i="6"/>
  <c r="AO23" i="6"/>
  <c r="AQ23" i="6"/>
  <c r="AS23" i="6"/>
  <c r="AU23" i="6"/>
  <c r="AW23" i="6"/>
  <c r="AY23" i="6"/>
  <c r="BA23" i="6"/>
  <c r="BC23" i="6"/>
  <c r="BE23" i="6"/>
  <c r="BG23" i="6"/>
  <c r="BI23" i="6"/>
  <c r="BK23" i="6"/>
  <c r="BM23" i="6"/>
  <c r="BO23" i="6"/>
  <c r="BQ23" i="6"/>
  <c r="BS23" i="6"/>
  <c r="BU23" i="6"/>
  <c r="BW23" i="6"/>
  <c r="BY23" i="6"/>
  <c r="CA23" i="6"/>
  <c r="CC23" i="6"/>
  <c r="CE23" i="6"/>
  <c r="CG23" i="6"/>
  <c r="CI23" i="6"/>
  <c r="CK23" i="6"/>
  <c r="CM23" i="6"/>
  <c r="CO23" i="6"/>
  <c r="CQ23" i="6"/>
  <c r="CS23" i="6"/>
  <c r="CU23" i="6"/>
  <c r="CW23" i="6"/>
  <c r="CY23" i="6"/>
  <c r="DA23" i="6"/>
  <c r="DC23" i="6"/>
  <c r="DE23" i="6"/>
  <c r="DG23" i="6"/>
  <c r="DI23" i="6"/>
  <c r="DK23" i="6"/>
  <c r="DM23" i="6"/>
  <c r="DO23" i="6"/>
  <c r="DQ23" i="6"/>
  <c r="DS23" i="6"/>
  <c r="DU23" i="6"/>
  <c r="DW23" i="6"/>
  <c r="DY23" i="6"/>
  <c r="EA23" i="6"/>
  <c r="EC23" i="6"/>
  <c r="EE23" i="6"/>
  <c r="EG23" i="6"/>
  <c r="EI23" i="6"/>
  <c r="EK23" i="6"/>
  <c r="EM23" i="6"/>
  <c r="EO23" i="6"/>
  <c r="EQ23" i="6"/>
  <c r="ES23" i="6"/>
  <c r="EU23" i="6"/>
  <c r="EW23" i="6"/>
  <c r="EY23" i="6"/>
  <c r="FA23" i="6"/>
  <c r="FC23" i="6"/>
  <c r="FE23" i="6"/>
  <c r="FG23" i="6"/>
  <c r="FI23" i="6"/>
  <c r="FK23" i="6"/>
  <c r="FM23" i="6"/>
  <c r="FO23" i="6"/>
  <c r="FQ23" i="6"/>
  <c r="M24" i="6"/>
  <c r="O24" i="6"/>
  <c r="Q24" i="6"/>
  <c r="S24" i="6"/>
  <c r="U24" i="6"/>
  <c r="W24" i="6"/>
  <c r="Y24" i="6"/>
  <c r="AA24" i="6"/>
  <c r="AC24" i="6"/>
  <c r="AE24" i="6"/>
  <c r="AG24" i="6"/>
  <c r="AI24" i="6"/>
  <c r="AK24" i="6"/>
  <c r="AM24" i="6"/>
  <c r="AO24" i="6"/>
  <c r="AQ24" i="6"/>
  <c r="AS24" i="6"/>
  <c r="AU24" i="6"/>
  <c r="AW24" i="6"/>
  <c r="AY24" i="6"/>
  <c r="BA24" i="6"/>
  <c r="BC24" i="6"/>
  <c r="BE24" i="6"/>
  <c r="BG24" i="6"/>
  <c r="BI24" i="6"/>
  <c r="BK24" i="6"/>
  <c r="BM24" i="6"/>
  <c r="BO24" i="6"/>
  <c r="BQ24" i="6"/>
  <c r="BS24" i="6"/>
  <c r="BU24" i="6"/>
  <c r="BW24" i="6"/>
  <c r="BY24" i="6"/>
  <c r="CA24" i="6"/>
  <c r="CC24" i="6"/>
  <c r="CE24" i="6"/>
  <c r="CG24" i="6"/>
  <c r="CI24" i="6"/>
  <c r="CK24" i="6"/>
  <c r="CM24" i="6"/>
  <c r="CO24" i="6"/>
  <c r="CQ24" i="6"/>
  <c r="CS24" i="6"/>
  <c r="CU24" i="6"/>
  <c r="CW24" i="6"/>
  <c r="CY24" i="6"/>
  <c r="DA24" i="6"/>
  <c r="DC24" i="6"/>
  <c r="DE24" i="6"/>
  <c r="DG24" i="6"/>
  <c r="DI24" i="6"/>
  <c r="DK24" i="6"/>
  <c r="DM24" i="6"/>
  <c r="DO24" i="6"/>
  <c r="DQ24" i="6"/>
  <c r="DS24" i="6"/>
  <c r="DU24" i="6"/>
  <c r="DW24" i="6"/>
  <c r="DY24" i="6"/>
  <c r="EA24" i="6"/>
  <c r="EC24" i="6"/>
  <c r="EE24" i="6"/>
  <c r="EG24" i="6"/>
  <c r="EI24" i="6"/>
  <c r="EK24" i="6"/>
  <c r="EM24" i="6"/>
  <c r="EO24" i="6"/>
  <c r="EQ24" i="6"/>
  <c r="ES24" i="6"/>
  <c r="EU24" i="6"/>
  <c r="EW24" i="6"/>
  <c r="EY24" i="6"/>
  <c r="FA24" i="6"/>
  <c r="FC24" i="6"/>
  <c r="FE24" i="6"/>
  <c r="FG24" i="6"/>
  <c r="FI24" i="6"/>
  <c r="FK24" i="6"/>
  <c r="FM24" i="6"/>
  <c r="FO24" i="6"/>
  <c r="FQ24" i="6"/>
  <c r="M25" i="6"/>
  <c r="O25" i="6"/>
  <c r="Q25" i="6"/>
  <c r="S25" i="6"/>
  <c r="U25" i="6"/>
  <c r="W25" i="6"/>
  <c r="Y25" i="6"/>
  <c r="AA25" i="6"/>
  <c r="AC25" i="6"/>
  <c r="AE25" i="6"/>
  <c r="AG25" i="6"/>
  <c r="AI25" i="6"/>
  <c r="AK25" i="6"/>
  <c r="AM25" i="6"/>
  <c r="AO25" i="6"/>
  <c r="AQ25" i="6"/>
  <c r="AS25" i="6"/>
  <c r="AU25" i="6"/>
  <c r="AW25" i="6"/>
  <c r="AY25" i="6"/>
  <c r="BA25" i="6"/>
  <c r="BC25" i="6"/>
  <c r="BE25" i="6"/>
  <c r="BG25" i="6"/>
  <c r="BI25" i="6"/>
  <c r="BK25" i="6"/>
  <c r="BM25" i="6"/>
  <c r="BO25" i="6"/>
  <c r="BQ25" i="6"/>
  <c r="BS25" i="6"/>
  <c r="BU25" i="6"/>
  <c r="BW25" i="6"/>
  <c r="BY25" i="6"/>
  <c r="CA25" i="6"/>
  <c r="CC25" i="6"/>
  <c r="CE25" i="6"/>
  <c r="CG25" i="6"/>
  <c r="CI25" i="6"/>
  <c r="CK25" i="6"/>
  <c r="CM25" i="6"/>
  <c r="CO25" i="6"/>
  <c r="CQ25" i="6"/>
  <c r="CS25" i="6"/>
  <c r="CU25" i="6"/>
  <c r="CW25" i="6"/>
  <c r="CY25" i="6"/>
  <c r="DA25" i="6"/>
  <c r="DC25" i="6"/>
  <c r="DE25" i="6"/>
  <c r="DG25" i="6"/>
  <c r="DI25" i="6"/>
  <c r="DK25" i="6"/>
  <c r="DM25" i="6"/>
  <c r="DO25" i="6"/>
  <c r="DQ25" i="6"/>
  <c r="DS25" i="6"/>
  <c r="DU25" i="6"/>
  <c r="DW25" i="6"/>
  <c r="DY25" i="6"/>
  <c r="EA25" i="6"/>
  <c r="EC25" i="6"/>
  <c r="EE25" i="6"/>
  <c r="EG25" i="6"/>
  <c r="EI25" i="6"/>
  <c r="EK25" i="6"/>
  <c r="EM25" i="6"/>
  <c r="EO25" i="6"/>
  <c r="EQ25" i="6"/>
  <c r="ES25" i="6"/>
  <c r="EU25" i="6"/>
  <c r="EW25" i="6"/>
  <c r="EY25" i="6"/>
  <c r="FA25" i="6"/>
  <c r="FC25" i="6"/>
  <c r="FE25" i="6"/>
  <c r="FG25" i="6"/>
  <c r="FI25" i="6"/>
  <c r="FK25" i="6"/>
  <c r="FM25" i="6"/>
  <c r="FO25" i="6"/>
  <c r="FQ25" i="6"/>
  <c r="M26" i="6"/>
  <c r="O26" i="6"/>
  <c r="Q26" i="6"/>
  <c r="S26" i="6"/>
  <c r="U26" i="6"/>
  <c r="W26" i="6"/>
  <c r="Y26" i="6"/>
  <c r="AA26" i="6"/>
  <c r="AC26" i="6"/>
  <c r="AE26" i="6"/>
  <c r="AG26" i="6"/>
  <c r="AI26" i="6"/>
  <c r="AK26" i="6"/>
  <c r="AM26" i="6"/>
  <c r="AO26" i="6"/>
  <c r="AQ26" i="6"/>
  <c r="AS26" i="6"/>
  <c r="AU26" i="6"/>
  <c r="AW26" i="6"/>
  <c r="AY26" i="6"/>
  <c r="BA26" i="6"/>
  <c r="BC26" i="6"/>
  <c r="BE26" i="6"/>
  <c r="BG26" i="6"/>
  <c r="BI26" i="6"/>
  <c r="BK26" i="6"/>
  <c r="BM26" i="6"/>
  <c r="BO26" i="6"/>
  <c r="BQ26" i="6"/>
  <c r="BS26" i="6"/>
  <c r="BU26" i="6"/>
  <c r="BW26" i="6"/>
  <c r="BY26" i="6"/>
  <c r="CA26" i="6"/>
  <c r="CC26" i="6"/>
  <c r="CE26" i="6"/>
  <c r="CG26" i="6"/>
  <c r="CI26" i="6"/>
  <c r="CK26" i="6"/>
  <c r="CM26" i="6"/>
  <c r="CO26" i="6"/>
  <c r="CQ26" i="6"/>
  <c r="CS26" i="6"/>
  <c r="CU26" i="6"/>
  <c r="CW26" i="6"/>
  <c r="CY26" i="6"/>
  <c r="DA26" i="6"/>
  <c r="DC26" i="6"/>
  <c r="DE26" i="6"/>
  <c r="DG26" i="6"/>
  <c r="DI26" i="6"/>
  <c r="DK26" i="6"/>
  <c r="DM26" i="6"/>
  <c r="DO26" i="6"/>
  <c r="DQ26" i="6"/>
  <c r="DS26" i="6"/>
  <c r="DU26" i="6"/>
  <c r="DW26" i="6"/>
  <c r="DY26" i="6"/>
  <c r="EA26" i="6"/>
  <c r="EC26" i="6"/>
  <c r="EE26" i="6"/>
  <c r="EG26" i="6"/>
  <c r="EI26" i="6"/>
  <c r="EK26" i="6"/>
  <c r="EM26" i="6"/>
  <c r="EO26" i="6"/>
  <c r="EQ26" i="6"/>
  <c r="ES26" i="6"/>
  <c r="EU26" i="6"/>
  <c r="EW26" i="6"/>
  <c r="EY26" i="6"/>
  <c r="FA26" i="6"/>
  <c r="FC26" i="6"/>
  <c r="FE26" i="6"/>
  <c r="FG26" i="6"/>
  <c r="FI26" i="6"/>
  <c r="FK26" i="6"/>
  <c r="FM26" i="6"/>
  <c r="FO26" i="6"/>
  <c r="FQ26" i="6"/>
  <c r="M27" i="6"/>
  <c r="O27" i="6"/>
  <c r="Q27" i="6"/>
  <c r="S27" i="6"/>
  <c r="U27" i="6"/>
  <c r="W27" i="6"/>
  <c r="Y27" i="6"/>
  <c r="AA27" i="6"/>
  <c r="AC27" i="6"/>
  <c r="AE27" i="6"/>
  <c r="AG27" i="6"/>
  <c r="AI27" i="6"/>
  <c r="AK27" i="6"/>
  <c r="AM27" i="6"/>
  <c r="AO27" i="6"/>
  <c r="AQ27" i="6"/>
  <c r="AS27" i="6"/>
  <c r="AU27" i="6"/>
  <c r="AW27" i="6"/>
  <c r="AY27" i="6"/>
  <c r="BA27" i="6"/>
  <c r="BC27" i="6"/>
  <c r="BE27" i="6"/>
  <c r="BG27" i="6"/>
  <c r="BI27" i="6"/>
  <c r="BK27" i="6"/>
  <c r="BM27" i="6"/>
  <c r="BO27" i="6"/>
  <c r="BQ27" i="6"/>
  <c r="BS27" i="6"/>
  <c r="BU27" i="6"/>
  <c r="BW27" i="6"/>
  <c r="BY27" i="6"/>
  <c r="CA27" i="6"/>
  <c r="CC27" i="6"/>
  <c r="CE27" i="6"/>
  <c r="CG27" i="6"/>
  <c r="CI27" i="6"/>
  <c r="CK27" i="6"/>
  <c r="CM27" i="6"/>
  <c r="CO27" i="6"/>
  <c r="CQ27" i="6"/>
  <c r="CS27" i="6"/>
  <c r="CU27" i="6"/>
  <c r="CW27" i="6"/>
  <c r="CY27" i="6"/>
  <c r="DA27" i="6"/>
  <c r="DC27" i="6"/>
  <c r="DE27" i="6"/>
  <c r="DG27" i="6"/>
  <c r="DI27" i="6"/>
  <c r="DK27" i="6"/>
  <c r="DM27" i="6"/>
  <c r="DO27" i="6"/>
  <c r="DQ27" i="6"/>
  <c r="DS27" i="6"/>
  <c r="DU27" i="6"/>
  <c r="DW27" i="6"/>
  <c r="DY27" i="6"/>
  <c r="EA27" i="6"/>
  <c r="EC27" i="6"/>
  <c r="EE27" i="6"/>
  <c r="EG27" i="6"/>
  <c r="EI27" i="6"/>
  <c r="EK27" i="6"/>
  <c r="EM27" i="6"/>
  <c r="EO27" i="6"/>
  <c r="EQ27" i="6"/>
  <c r="ES27" i="6"/>
  <c r="EU27" i="6"/>
  <c r="EW27" i="6"/>
  <c r="EY27" i="6"/>
  <c r="FA27" i="6"/>
  <c r="FC27" i="6"/>
  <c r="FE27" i="6"/>
  <c r="FG27" i="6"/>
  <c r="FI27" i="6"/>
  <c r="FK27" i="6"/>
  <c r="FM27" i="6"/>
  <c r="FO27" i="6"/>
  <c r="FQ27" i="6"/>
  <c r="M28" i="6"/>
  <c r="O28" i="6"/>
  <c r="Q28" i="6"/>
  <c r="S28" i="6"/>
  <c r="U28" i="6"/>
  <c r="W28" i="6"/>
  <c r="Y28" i="6"/>
  <c r="AA28" i="6"/>
  <c r="AC28" i="6"/>
  <c r="AE28" i="6"/>
  <c r="AG28" i="6"/>
  <c r="AI28" i="6"/>
  <c r="AK28" i="6"/>
  <c r="AM28" i="6"/>
  <c r="AO28" i="6"/>
  <c r="AQ28" i="6"/>
  <c r="AS28" i="6"/>
  <c r="AU28" i="6"/>
  <c r="AW28" i="6"/>
  <c r="AY28" i="6"/>
  <c r="BA28" i="6"/>
  <c r="BC28" i="6"/>
  <c r="BE28" i="6"/>
  <c r="BG28" i="6"/>
  <c r="BI28" i="6"/>
  <c r="BK28" i="6"/>
  <c r="BM28" i="6"/>
  <c r="BO28" i="6"/>
  <c r="BQ28" i="6"/>
  <c r="BS28" i="6"/>
  <c r="BU28" i="6"/>
  <c r="BW28" i="6"/>
  <c r="BY28" i="6"/>
  <c r="CA28" i="6"/>
  <c r="CC28" i="6"/>
  <c r="CE28" i="6"/>
  <c r="CG28" i="6"/>
  <c r="CI28" i="6"/>
  <c r="CK28" i="6"/>
  <c r="CM28" i="6"/>
  <c r="CO28" i="6"/>
  <c r="CQ28" i="6"/>
  <c r="CS28" i="6"/>
  <c r="CU28" i="6"/>
  <c r="CW28" i="6"/>
  <c r="CY28" i="6"/>
  <c r="DA28" i="6"/>
  <c r="DC28" i="6"/>
  <c r="DE28" i="6"/>
  <c r="DG28" i="6"/>
  <c r="DI28" i="6"/>
  <c r="DK28" i="6"/>
  <c r="DM28" i="6"/>
  <c r="DO28" i="6"/>
  <c r="DQ28" i="6"/>
  <c r="DS28" i="6"/>
  <c r="DU28" i="6"/>
  <c r="DW28" i="6"/>
  <c r="DY28" i="6"/>
  <c r="EA28" i="6"/>
  <c r="EC28" i="6"/>
  <c r="EE28" i="6"/>
  <c r="EG28" i="6"/>
  <c r="EI28" i="6"/>
  <c r="EK28" i="6"/>
  <c r="EM28" i="6"/>
  <c r="EO28" i="6"/>
  <c r="EQ28" i="6"/>
  <c r="ES28" i="6"/>
  <c r="EU28" i="6"/>
  <c r="EW28" i="6"/>
  <c r="EY28" i="6"/>
  <c r="FA28" i="6"/>
  <c r="FC28" i="6"/>
  <c r="FE28" i="6"/>
  <c r="FG28" i="6"/>
  <c r="FI28" i="6"/>
  <c r="FK28" i="6"/>
  <c r="FM28" i="6"/>
  <c r="FO28" i="6"/>
  <c r="FQ28" i="6"/>
  <c r="M29" i="6"/>
  <c r="O29" i="6"/>
  <c r="Q29" i="6"/>
  <c r="S29" i="6"/>
  <c r="U29" i="6"/>
  <c r="W29" i="6"/>
  <c r="Y29" i="6"/>
  <c r="AA29" i="6"/>
  <c r="AC29" i="6"/>
  <c r="AE29" i="6"/>
  <c r="AG29" i="6"/>
  <c r="AI29" i="6"/>
  <c r="AK29" i="6"/>
  <c r="AM29" i="6"/>
  <c r="AO29" i="6"/>
  <c r="AQ29" i="6"/>
  <c r="AS29" i="6"/>
  <c r="AU29" i="6"/>
  <c r="AW29" i="6"/>
  <c r="AY29" i="6"/>
  <c r="BA29" i="6"/>
  <c r="BC29" i="6"/>
  <c r="BE29" i="6"/>
  <c r="BG29" i="6"/>
  <c r="BI29" i="6"/>
  <c r="BK29" i="6"/>
  <c r="BM29" i="6"/>
  <c r="BO29" i="6"/>
  <c r="BQ29" i="6"/>
  <c r="BS29" i="6"/>
  <c r="BU29" i="6"/>
  <c r="BW29" i="6"/>
  <c r="BY29" i="6"/>
  <c r="CA29" i="6"/>
  <c r="CC29" i="6"/>
  <c r="CE29" i="6"/>
  <c r="CG29" i="6"/>
  <c r="CI29" i="6"/>
  <c r="CK29" i="6"/>
  <c r="CM29" i="6"/>
  <c r="CO29" i="6"/>
  <c r="CQ29" i="6"/>
  <c r="CS29" i="6"/>
  <c r="CU29" i="6"/>
  <c r="CW29" i="6"/>
  <c r="CY29" i="6"/>
  <c r="DA29" i="6"/>
  <c r="DC29" i="6"/>
  <c r="DE29" i="6"/>
  <c r="DG29" i="6"/>
  <c r="DI29" i="6"/>
  <c r="DK29" i="6"/>
  <c r="DM29" i="6"/>
  <c r="DO29" i="6"/>
  <c r="DQ29" i="6"/>
  <c r="DS29" i="6"/>
  <c r="DU29" i="6"/>
  <c r="DW29" i="6"/>
  <c r="DY29" i="6"/>
  <c r="EA29" i="6"/>
  <c r="EC29" i="6"/>
  <c r="EE29" i="6"/>
  <c r="EG29" i="6"/>
  <c r="EI29" i="6"/>
  <c r="EK29" i="6"/>
  <c r="EM29" i="6"/>
  <c r="EO29" i="6"/>
  <c r="EQ29" i="6"/>
  <c r="ES29" i="6"/>
  <c r="EU29" i="6"/>
  <c r="EW29" i="6"/>
  <c r="EY29" i="6"/>
  <c r="FA29" i="6"/>
  <c r="FC29" i="6"/>
  <c r="FE29" i="6"/>
  <c r="FG29" i="6"/>
  <c r="FI29" i="6"/>
  <c r="FK29" i="6"/>
  <c r="FM29" i="6"/>
  <c r="FO29" i="6"/>
  <c r="FQ29" i="6"/>
  <c r="M30" i="6"/>
  <c r="O30" i="6"/>
  <c r="Q30" i="6"/>
  <c r="S30" i="6"/>
  <c r="U30" i="6"/>
  <c r="W30" i="6"/>
  <c r="Y30" i="6"/>
  <c r="AA30" i="6"/>
  <c r="AC30" i="6"/>
  <c r="AE30" i="6"/>
  <c r="AG30" i="6"/>
  <c r="AI30" i="6"/>
  <c r="AK30" i="6"/>
  <c r="AM30" i="6"/>
  <c r="AO30" i="6"/>
  <c r="AQ30" i="6"/>
  <c r="AS30" i="6"/>
  <c r="AU30" i="6"/>
  <c r="AW30" i="6"/>
  <c r="AY30" i="6"/>
  <c r="BA30" i="6"/>
  <c r="BC30" i="6"/>
  <c r="BE30" i="6"/>
  <c r="BG30" i="6"/>
  <c r="BI30" i="6"/>
  <c r="BK30" i="6"/>
  <c r="BM30" i="6"/>
  <c r="BO30" i="6"/>
  <c r="BQ30" i="6"/>
  <c r="BS30" i="6"/>
  <c r="BU30" i="6"/>
  <c r="BW30" i="6"/>
  <c r="BY30" i="6"/>
  <c r="CA30" i="6"/>
  <c r="CC30" i="6"/>
  <c r="CE30" i="6"/>
  <c r="CG30" i="6"/>
  <c r="CI30" i="6"/>
  <c r="CK30" i="6"/>
  <c r="CM30" i="6"/>
  <c r="CO30" i="6"/>
  <c r="CQ30" i="6"/>
  <c r="CS30" i="6"/>
  <c r="CU30" i="6"/>
  <c r="CW30" i="6"/>
  <c r="CY30" i="6"/>
  <c r="DA30" i="6"/>
  <c r="DC30" i="6"/>
  <c r="DE30" i="6"/>
  <c r="DG30" i="6"/>
  <c r="DI30" i="6"/>
  <c r="DK30" i="6"/>
  <c r="DM30" i="6"/>
  <c r="DO30" i="6"/>
  <c r="DQ30" i="6"/>
  <c r="DS30" i="6"/>
  <c r="DU30" i="6"/>
  <c r="DW30" i="6"/>
  <c r="DY30" i="6"/>
  <c r="EA30" i="6"/>
  <c r="EC30" i="6"/>
  <c r="EE30" i="6"/>
  <c r="EG30" i="6"/>
  <c r="EI30" i="6"/>
  <c r="EK30" i="6"/>
  <c r="EM30" i="6"/>
  <c r="EO30" i="6"/>
  <c r="EQ30" i="6"/>
  <c r="ES30" i="6"/>
  <c r="EU30" i="6"/>
  <c r="EW30" i="6"/>
  <c r="EY30" i="6"/>
  <c r="FA30" i="6"/>
  <c r="FC30" i="6"/>
  <c r="FE30" i="6"/>
  <c r="FG30" i="6"/>
  <c r="FI30" i="6"/>
  <c r="FK30" i="6"/>
  <c r="FM30" i="6"/>
  <c r="FO30" i="6"/>
  <c r="FQ30" i="6"/>
  <c r="M31" i="6"/>
  <c r="O31" i="6"/>
  <c r="Q31" i="6"/>
  <c r="S31" i="6"/>
  <c r="U31" i="6"/>
  <c r="W31" i="6"/>
  <c r="Y31" i="6"/>
  <c r="AA31" i="6"/>
  <c r="AC31" i="6"/>
  <c r="AE31" i="6"/>
  <c r="AG31" i="6"/>
  <c r="AI31" i="6"/>
  <c r="AK31" i="6"/>
  <c r="AM31" i="6"/>
  <c r="AO31" i="6"/>
  <c r="AQ31" i="6"/>
  <c r="AS31" i="6"/>
  <c r="AU31" i="6"/>
  <c r="AW31" i="6"/>
  <c r="AY31" i="6"/>
  <c r="BA31" i="6"/>
  <c r="BC31" i="6"/>
  <c r="BE31" i="6"/>
  <c r="BG31" i="6"/>
  <c r="BI31" i="6"/>
  <c r="BK31" i="6"/>
  <c r="BM31" i="6"/>
  <c r="BO31" i="6"/>
  <c r="BQ31" i="6"/>
  <c r="BS31" i="6"/>
  <c r="BU31" i="6"/>
  <c r="BW31" i="6"/>
  <c r="BY31" i="6"/>
  <c r="CA31" i="6"/>
  <c r="CC31" i="6"/>
  <c r="CE31" i="6"/>
  <c r="CG31" i="6"/>
  <c r="CI31" i="6"/>
  <c r="CK31" i="6"/>
  <c r="CM31" i="6"/>
  <c r="CO31" i="6"/>
  <c r="CQ31" i="6"/>
  <c r="CS31" i="6"/>
  <c r="CU31" i="6"/>
  <c r="CW31" i="6"/>
  <c r="CY31" i="6"/>
  <c r="DA31" i="6"/>
  <c r="DC31" i="6"/>
  <c r="DE31" i="6"/>
  <c r="DG31" i="6"/>
  <c r="DI31" i="6"/>
  <c r="DK31" i="6"/>
  <c r="DM31" i="6"/>
  <c r="DO31" i="6"/>
  <c r="DQ31" i="6"/>
  <c r="DS31" i="6"/>
  <c r="DU31" i="6"/>
  <c r="DW31" i="6"/>
  <c r="DY31" i="6"/>
  <c r="EA31" i="6"/>
  <c r="EC31" i="6"/>
  <c r="EE31" i="6"/>
  <c r="EG31" i="6"/>
  <c r="EI31" i="6"/>
  <c r="EK31" i="6"/>
  <c r="EM31" i="6"/>
  <c r="EO31" i="6"/>
  <c r="EQ31" i="6"/>
  <c r="ES31" i="6"/>
  <c r="EU31" i="6"/>
  <c r="EW31" i="6"/>
  <c r="EY31" i="6"/>
  <c r="FA31" i="6"/>
  <c r="FC31" i="6"/>
  <c r="FE31" i="6"/>
  <c r="FG31" i="6"/>
  <c r="FI31" i="6"/>
  <c r="FK31" i="6"/>
  <c r="FM31" i="6"/>
  <c r="FO31" i="6"/>
  <c r="FQ31" i="6"/>
  <c r="M32" i="6"/>
  <c r="O32" i="6"/>
  <c r="Q32" i="6"/>
  <c r="S32" i="6"/>
  <c r="U32" i="6"/>
  <c r="W32" i="6"/>
  <c r="Y32" i="6"/>
  <c r="AA32" i="6"/>
  <c r="AC32" i="6"/>
  <c r="AE32" i="6"/>
  <c r="AG32" i="6"/>
  <c r="AI32" i="6"/>
  <c r="AK32" i="6"/>
  <c r="AM32" i="6"/>
  <c r="AO32" i="6"/>
  <c r="AQ32" i="6"/>
  <c r="AS32" i="6"/>
  <c r="AU32" i="6"/>
  <c r="AW32" i="6"/>
  <c r="AY32" i="6"/>
  <c r="BA32" i="6"/>
  <c r="BC32" i="6"/>
  <c r="BE32" i="6"/>
  <c r="BG32" i="6"/>
  <c r="BI32" i="6"/>
  <c r="BK32" i="6"/>
  <c r="BM32" i="6"/>
  <c r="BO32" i="6"/>
  <c r="BQ32" i="6"/>
  <c r="BS32" i="6"/>
  <c r="BU32" i="6"/>
  <c r="BW32" i="6"/>
  <c r="BY32" i="6"/>
  <c r="CA32" i="6"/>
  <c r="CC32" i="6"/>
  <c r="CE32" i="6"/>
  <c r="CG32" i="6"/>
  <c r="CI32" i="6"/>
  <c r="CK32" i="6"/>
  <c r="CM32" i="6"/>
  <c r="CO32" i="6"/>
  <c r="CQ32" i="6"/>
  <c r="CS32" i="6"/>
  <c r="CU32" i="6"/>
  <c r="CW32" i="6"/>
  <c r="CY32" i="6"/>
  <c r="DA32" i="6"/>
  <c r="DC32" i="6"/>
  <c r="DE32" i="6"/>
  <c r="DG32" i="6"/>
  <c r="DI32" i="6"/>
  <c r="DK32" i="6"/>
  <c r="DM32" i="6"/>
  <c r="DO32" i="6"/>
  <c r="DQ32" i="6"/>
  <c r="DS32" i="6"/>
  <c r="DU32" i="6"/>
  <c r="DW32" i="6"/>
  <c r="DY32" i="6"/>
  <c r="EA32" i="6"/>
  <c r="EC32" i="6"/>
  <c r="EE32" i="6"/>
  <c r="EG32" i="6"/>
  <c r="EI32" i="6"/>
  <c r="EK32" i="6"/>
  <c r="EM32" i="6"/>
  <c r="EO32" i="6"/>
  <c r="EQ32" i="6"/>
  <c r="ES32" i="6"/>
  <c r="EU32" i="6"/>
  <c r="EW32" i="6"/>
  <c r="EY32" i="6"/>
  <c r="FA32" i="6"/>
  <c r="FC32" i="6"/>
  <c r="FE32" i="6"/>
  <c r="FG32" i="6"/>
  <c r="FI32" i="6"/>
  <c r="FK32" i="6"/>
  <c r="FM32" i="6"/>
  <c r="FO32" i="6"/>
  <c r="FQ32" i="6"/>
  <c r="M33" i="6"/>
  <c r="O33" i="6"/>
  <c r="Q33" i="6"/>
  <c r="S33" i="6"/>
  <c r="U33" i="6"/>
  <c r="W33" i="6"/>
  <c r="Y33" i="6"/>
  <c r="AA33" i="6"/>
  <c r="AC33" i="6"/>
  <c r="AE33" i="6"/>
  <c r="AG33" i="6"/>
  <c r="AI33" i="6"/>
  <c r="AK33" i="6"/>
  <c r="AM33" i="6"/>
  <c r="AO33" i="6"/>
  <c r="AQ33" i="6"/>
  <c r="AS33" i="6"/>
  <c r="AU33" i="6"/>
  <c r="AW33" i="6"/>
  <c r="AY33" i="6"/>
  <c r="BA33" i="6"/>
  <c r="BC33" i="6"/>
  <c r="BE33" i="6"/>
  <c r="BG33" i="6"/>
  <c r="BI33" i="6"/>
  <c r="BK33" i="6"/>
  <c r="BM33" i="6"/>
  <c r="BO33" i="6"/>
  <c r="BQ33" i="6"/>
  <c r="BS33" i="6"/>
  <c r="BU33" i="6"/>
  <c r="BW33" i="6"/>
  <c r="BY33" i="6"/>
  <c r="CA33" i="6"/>
  <c r="CC33" i="6"/>
  <c r="CE33" i="6"/>
  <c r="CG33" i="6"/>
  <c r="CI33" i="6"/>
  <c r="CK33" i="6"/>
  <c r="CM33" i="6"/>
  <c r="CO33" i="6"/>
  <c r="CQ33" i="6"/>
  <c r="CS33" i="6"/>
  <c r="CU33" i="6"/>
  <c r="CW33" i="6"/>
  <c r="CY33" i="6"/>
  <c r="DA33" i="6"/>
  <c r="DC33" i="6"/>
  <c r="DE33" i="6"/>
  <c r="DG33" i="6"/>
  <c r="DI33" i="6"/>
  <c r="DK33" i="6"/>
  <c r="DM33" i="6"/>
  <c r="DO33" i="6"/>
  <c r="DQ33" i="6"/>
  <c r="DS33" i="6"/>
  <c r="DU33" i="6"/>
  <c r="DW33" i="6"/>
  <c r="DY33" i="6"/>
  <c r="EA33" i="6"/>
  <c r="EC33" i="6"/>
  <c r="EE33" i="6"/>
  <c r="EG33" i="6"/>
  <c r="EI33" i="6"/>
  <c r="EK33" i="6"/>
  <c r="EM33" i="6"/>
  <c r="EO33" i="6"/>
  <c r="EQ33" i="6"/>
  <c r="ES33" i="6"/>
  <c r="EU33" i="6"/>
  <c r="EW33" i="6"/>
  <c r="EY33" i="6"/>
  <c r="FA33" i="6"/>
  <c r="FC33" i="6"/>
  <c r="FE33" i="6"/>
  <c r="FG33" i="6"/>
  <c r="FI33" i="6"/>
  <c r="FK33" i="6"/>
  <c r="FM33" i="6"/>
  <c r="FO33" i="6"/>
  <c r="FQ33" i="6"/>
  <c r="M34" i="6"/>
  <c r="O34" i="6"/>
  <c r="Q34" i="6"/>
  <c r="S34" i="6"/>
  <c r="U34" i="6"/>
  <c r="W34" i="6"/>
  <c r="Y34" i="6"/>
  <c r="AA34" i="6"/>
  <c r="AC34" i="6"/>
  <c r="AE34" i="6"/>
  <c r="AG34" i="6"/>
  <c r="AI34" i="6"/>
  <c r="AK34" i="6"/>
  <c r="AM34" i="6"/>
  <c r="AO34" i="6"/>
  <c r="AQ34" i="6"/>
  <c r="AS34" i="6"/>
  <c r="AU34" i="6"/>
  <c r="AW34" i="6"/>
  <c r="AY34" i="6"/>
  <c r="BA34" i="6"/>
  <c r="BC34" i="6"/>
  <c r="BE34" i="6"/>
  <c r="BG34" i="6"/>
  <c r="BI34" i="6"/>
  <c r="BK34" i="6"/>
  <c r="BM34" i="6"/>
  <c r="BO34" i="6"/>
  <c r="BQ34" i="6"/>
  <c r="BS34" i="6"/>
  <c r="BU34" i="6"/>
  <c r="BW34" i="6"/>
  <c r="BY34" i="6"/>
  <c r="CA34" i="6"/>
  <c r="CC34" i="6"/>
  <c r="CE34" i="6"/>
  <c r="CG34" i="6"/>
  <c r="CI34" i="6"/>
  <c r="CK34" i="6"/>
  <c r="CM34" i="6"/>
  <c r="CO34" i="6"/>
  <c r="CQ34" i="6"/>
  <c r="CS34" i="6"/>
  <c r="CU34" i="6"/>
  <c r="CW34" i="6"/>
  <c r="CY34" i="6"/>
  <c r="DA34" i="6"/>
  <c r="DC34" i="6"/>
  <c r="DE34" i="6"/>
  <c r="DG34" i="6"/>
  <c r="DI34" i="6"/>
  <c r="DK34" i="6"/>
  <c r="DM34" i="6"/>
  <c r="DO34" i="6"/>
  <c r="DQ34" i="6"/>
  <c r="DS34" i="6"/>
  <c r="DU34" i="6"/>
  <c r="DW34" i="6"/>
  <c r="DY34" i="6"/>
  <c r="EA34" i="6"/>
  <c r="EC34" i="6"/>
  <c r="EE34" i="6"/>
  <c r="EG34" i="6"/>
  <c r="EI34" i="6"/>
  <c r="EK34" i="6"/>
  <c r="EM34" i="6"/>
  <c r="EO34" i="6"/>
  <c r="EQ34" i="6"/>
  <c r="ES34" i="6"/>
  <c r="EU34" i="6"/>
  <c r="EW34" i="6"/>
  <c r="EY34" i="6"/>
  <c r="FA34" i="6"/>
  <c r="FC34" i="6"/>
  <c r="FE34" i="6"/>
  <c r="FG34" i="6"/>
  <c r="FI34" i="6"/>
  <c r="FK34" i="6"/>
  <c r="FM34" i="6"/>
  <c r="FO34" i="6"/>
  <c r="FQ34" i="6"/>
  <c r="M35" i="6"/>
  <c r="O35" i="6"/>
  <c r="Q35" i="6"/>
  <c r="S35" i="6"/>
  <c r="U35" i="6"/>
  <c r="W35" i="6"/>
  <c r="Y35" i="6"/>
  <c r="AA35" i="6"/>
  <c r="AC35" i="6"/>
  <c r="AE35" i="6"/>
  <c r="AG35" i="6"/>
  <c r="AI35" i="6"/>
  <c r="AK35" i="6"/>
  <c r="AM35" i="6"/>
  <c r="AO35" i="6"/>
  <c r="AQ35" i="6"/>
  <c r="AS35" i="6"/>
  <c r="AU35" i="6"/>
  <c r="AW35" i="6"/>
  <c r="AY35" i="6"/>
  <c r="BA35" i="6"/>
  <c r="BC35" i="6"/>
  <c r="BE35" i="6"/>
  <c r="BG35" i="6"/>
  <c r="BI35" i="6"/>
  <c r="BK35" i="6"/>
  <c r="BM35" i="6"/>
  <c r="BO35" i="6"/>
  <c r="BQ35" i="6"/>
  <c r="BS35" i="6"/>
  <c r="BU35" i="6"/>
  <c r="BW35" i="6"/>
  <c r="BY35" i="6"/>
  <c r="CA35" i="6"/>
  <c r="CC35" i="6"/>
  <c r="CE35" i="6"/>
  <c r="CG35" i="6"/>
  <c r="CI35" i="6"/>
  <c r="CK35" i="6"/>
  <c r="CM35" i="6"/>
  <c r="CO35" i="6"/>
  <c r="CQ35" i="6"/>
  <c r="CS35" i="6"/>
  <c r="CU35" i="6"/>
  <c r="CW35" i="6"/>
  <c r="CY35" i="6"/>
  <c r="DA35" i="6"/>
  <c r="DC35" i="6"/>
  <c r="DE35" i="6"/>
  <c r="DG35" i="6"/>
  <c r="DI35" i="6"/>
  <c r="DK35" i="6"/>
  <c r="DM35" i="6"/>
  <c r="DO35" i="6"/>
  <c r="DQ35" i="6"/>
  <c r="DS35" i="6"/>
  <c r="DU35" i="6"/>
  <c r="DW35" i="6"/>
  <c r="DY35" i="6"/>
  <c r="EA35" i="6"/>
  <c r="EC35" i="6"/>
  <c r="EE35" i="6"/>
  <c r="EG35" i="6"/>
  <c r="EI35" i="6"/>
  <c r="EK35" i="6"/>
  <c r="EM35" i="6"/>
  <c r="EO35" i="6"/>
  <c r="EQ35" i="6"/>
  <c r="ES35" i="6"/>
  <c r="EU35" i="6"/>
  <c r="EW35" i="6"/>
  <c r="EY35" i="6"/>
  <c r="FA35" i="6"/>
  <c r="FC35" i="6"/>
  <c r="FE35" i="6"/>
  <c r="FG35" i="6"/>
  <c r="FI35" i="6"/>
  <c r="FK35" i="6"/>
  <c r="FM35" i="6"/>
  <c r="FO35" i="6"/>
  <c r="FQ35" i="6"/>
  <c r="M36" i="6"/>
  <c r="O36" i="6"/>
  <c r="Q36" i="6"/>
  <c r="S36" i="6"/>
  <c r="U36" i="6"/>
  <c r="W36" i="6"/>
  <c r="Y36" i="6"/>
  <c r="AA36" i="6"/>
  <c r="AC36" i="6"/>
  <c r="AE36" i="6"/>
  <c r="AG36" i="6"/>
  <c r="AI36" i="6"/>
  <c r="AK36" i="6"/>
  <c r="AM36" i="6"/>
  <c r="AO36" i="6"/>
  <c r="AQ36" i="6"/>
  <c r="AS36" i="6"/>
  <c r="AU36" i="6"/>
  <c r="AW36" i="6"/>
  <c r="AY36" i="6"/>
  <c r="BA36" i="6"/>
  <c r="BC36" i="6"/>
  <c r="BE36" i="6"/>
  <c r="BG36" i="6"/>
  <c r="BI36" i="6"/>
  <c r="BK36" i="6"/>
  <c r="BM36" i="6"/>
  <c r="BO36" i="6"/>
  <c r="BQ36" i="6"/>
  <c r="BS36" i="6"/>
  <c r="BU36" i="6"/>
  <c r="BW36" i="6"/>
  <c r="BY36" i="6"/>
  <c r="CA36" i="6"/>
  <c r="CC36" i="6"/>
  <c r="CE36" i="6"/>
  <c r="CG36" i="6"/>
  <c r="CI36" i="6"/>
  <c r="CK36" i="6"/>
  <c r="CM36" i="6"/>
  <c r="CO36" i="6"/>
  <c r="CQ36" i="6"/>
  <c r="CS36" i="6"/>
  <c r="CU36" i="6"/>
  <c r="CW36" i="6"/>
  <c r="CY36" i="6"/>
  <c r="DA36" i="6"/>
  <c r="DC36" i="6"/>
  <c r="DE36" i="6"/>
  <c r="DG36" i="6"/>
  <c r="DI36" i="6"/>
  <c r="DK36" i="6"/>
  <c r="DM36" i="6"/>
  <c r="DO36" i="6"/>
  <c r="DQ36" i="6"/>
  <c r="DS36" i="6"/>
  <c r="DU36" i="6"/>
  <c r="DW36" i="6"/>
  <c r="DY36" i="6"/>
  <c r="EA36" i="6"/>
  <c r="EC36" i="6"/>
  <c r="EE36" i="6"/>
  <c r="EG36" i="6"/>
  <c r="EI36" i="6"/>
  <c r="EK36" i="6"/>
  <c r="EM36" i="6"/>
  <c r="EO36" i="6"/>
  <c r="EQ36" i="6"/>
  <c r="ES36" i="6"/>
  <c r="EU36" i="6"/>
  <c r="EW36" i="6"/>
  <c r="EY36" i="6"/>
  <c r="FA36" i="6"/>
  <c r="FC36" i="6"/>
  <c r="FE36" i="6"/>
  <c r="FG36" i="6"/>
  <c r="FI36" i="6"/>
  <c r="FK36" i="6"/>
  <c r="FM36" i="6"/>
  <c r="FO36" i="6"/>
  <c r="FQ36" i="6"/>
  <c r="M37" i="6"/>
  <c r="O37" i="6"/>
  <c r="Q37" i="6"/>
  <c r="S37" i="6"/>
  <c r="U37" i="6"/>
  <c r="W37" i="6"/>
  <c r="Y37" i="6"/>
  <c r="AA37" i="6"/>
  <c r="AC37" i="6"/>
  <c r="AE37" i="6"/>
  <c r="AG37" i="6"/>
  <c r="AI37" i="6"/>
  <c r="AK37" i="6"/>
  <c r="AM37" i="6"/>
  <c r="AO37" i="6"/>
  <c r="AQ37" i="6"/>
  <c r="AS37" i="6"/>
  <c r="AU37" i="6"/>
  <c r="AW37" i="6"/>
  <c r="AY37" i="6"/>
  <c r="BA37" i="6"/>
  <c r="BC37" i="6"/>
  <c r="BE37" i="6"/>
  <c r="BG37" i="6"/>
  <c r="BI37" i="6"/>
  <c r="BK37" i="6"/>
  <c r="BM37" i="6"/>
  <c r="BO37" i="6"/>
  <c r="BQ37" i="6"/>
  <c r="BS37" i="6"/>
  <c r="BU37" i="6"/>
  <c r="BW37" i="6"/>
  <c r="BY37" i="6"/>
  <c r="CA37" i="6"/>
  <c r="CC37" i="6"/>
  <c r="CE37" i="6"/>
  <c r="CG37" i="6"/>
  <c r="CI37" i="6"/>
  <c r="CK37" i="6"/>
  <c r="CM37" i="6"/>
  <c r="CO37" i="6"/>
  <c r="CQ37" i="6"/>
  <c r="CS37" i="6"/>
  <c r="CU37" i="6"/>
  <c r="CW37" i="6"/>
  <c r="CY37" i="6"/>
  <c r="DA37" i="6"/>
  <c r="DC37" i="6"/>
  <c r="DE37" i="6"/>
  <c r="DG37" i="6"/>
  <c r="DI37" i="6"/>
  <c r="DK37" i="6"/>
  <c r="DM37" i="6"/>
  <c r="DO37" i="6"/>
  <c r="DQ37" i="6"/>
  <c r="DS37" i="6"/>
  <c r="DU37" i="6"/>
  <c r="DW37" i="6"/>
  <c r="DY37" i="6"/>
  <c r="EA37" i="6"/>
  <c r="EC37" i="6"/>
  <c r="EE37" i="6"/>
  <c r="EG37" i="6"/>
  <c r="EI37" i="6"/>
  <c r="EK37" i="6"/>
  <c r="EM37" i="6"/>
  <c r="EO37" i="6"/>
  <c r="EQ37" i="6"/>
  <c r="ES37" i="6"/>
  <c r="EU37" i="6"/>
  <c r="EW37" i="6"/>
  <c r="EY37" i="6"/>
  <c r="FA37" i="6"/>
  <c r="FC37" i="6"/>
  <c r="FE37" i="6"/>
  <c r="FG37" i="6"/>
  <c r="FI37" i="6"/>
  <c r="FK37" i="6"/>
  <c r="FM37" i="6"/>
  <c r="FO37" i="6"/>
  <c r="FQ37" i="6"/>
  <c r="M38" i="6"/>
  <c r="O38" i="6"/>
  <c r="Q38" i="6"/>
  <c r="S38" i="6"/>
  <c r="U38" i="6"/>
  <c r="W38" i="6"/>
  <c r="Y38" i="6"/>
  <c r="AA38" i="6"/>
  <c r="AC38" i="6"/>
  <c r="AE38" i="6"/>
  <c r="AG38" i="6"/>
  <c r="AI38" i="6"/>
  <c r="AK38" i="6"/>
  <c r="AM38" i="6"/>
  <c r="AO38" i="6"/>
  <c r="AQ38" i="6"/>
  <c r="AS38" i="6"/>
  <c r="AU38" i="6"/>
  <c r="AW38" i="6"/>
  <c r="AY38" i="6"/>
  <c r="BA38" i="6"/>
  <c r="BC38" i="6"/>
  <c r="BE38" i="6"/>
  <c r="BG38" i="6"/>
  <c r="BI38" i="6"/>
  <c r="BK38" i="6"/>
  <c r="BM38" i="6"/>
  <c r="BO38" i="6"/>
  <c r="BQ38" i="6"/>
  <c r="BS38" i="6"/>
  <c r="BU38" i="6"/>
  <c r="BW38" i="6"/>
  <c r="BY38" i="6"/>
  <c r="CA38" i="6"/>
  <c r="CC38" i="6"/>
  <c r="CE38" i="6"/>
  <c r="CG38" i="6"/>
  <c r="CI38" i="6"/>
  <c r="CK38" i="6"/>
  <c r="CM38" i="6"/>
  <c r="CO38" i="6"/>
  <c r="CQ38" i="6"/>
  <c r="CS38" i="6"/>
  <c r="CU38" i="6"/>
  <c r="CW38" i="6"/>
  <c r="CY38" i="6"/>
  <c r="DA38" i="6"/>
  <c r="DC38" i="6"/>
  <c r="DE38" i="6"/>
  <c r="DG38" i="6"/>
  <c r="DI38" i="6"/>
  <c r="DK38" i="6"/>
  <c r="DM38" i="6"/>
  <c r="DO38" i="6"/>
  <c r="DQ38" i="6"/>
  <c r="DS38" i="6"/>
  <c r="DU38" i="6"/>
  <c r="DW38" i="6"/>
  <c r="DY38" i="6"/>
  <c r="EA38" i="6"/>
  <c r="EC38" i="6"/>
  <c r="EE38" i="6"/>
  <c r="EG38" i="6"/>
  <c r="EI38" i="6"/>
  <c r="EK38" i="6"/>
  <c r="EM38" i="6"/>
  <c r="EO38" i="6"/>
  <c r="EQ38" i="6"/>
  <c r="ES38" i="6"/>
  <c r="EU38" i="6"/>
  <c r="EW38" i="6"/>
  <c r="EY38" i="6"/>
  <c r="FA38" i="6"/>
  <c r="FC38" i="6"/>
  <c r="FE38" i="6"/>
  <c r="FG38" i="6"/>
  <c r="FI38" i="6"/>
  <c r="FK38" i="6"/>
  <c r="FM38" i="6"/>
  <c r="FO38" i="6"/>
  <c r="FQ38" i="6"/>
  <c r="M39" i="6"/>
  <c r="O39" i="6"/>
  <c r="Q39" i="6"/>
  <c r="S39" i="6"/>
  <c r="U39" i="6"/>
  <c r="W39" i="6"/>
  <c r="Y39" i="6"/>
  <c r="AA39" i="6"/>
  <c r="AC39" i="6"/>
  <c r="AE39" i="6"/>
  <c r="AG39" i="6"/>
  <c r="AI39" i="6"/>
  <c r="AK39" i="6"/>
  <c r="AM39" i="6"/>
  <c r="AO39" i="6"/>
  <c r="AQ39" i="6"/>
  <c r="AS39" i="6"/>
  <c r="AU39" i="6"/>
  <c r="AW39" i="6"/>
  <c r="AY39" i="6"/>
  <c r="BA39" i="6"/>
  <c r="BC39" i="6"/>
  <c r="BE39" i="6"/>
  <c r="BG39" i="6"/>
  <c r="BI39" i="6"/>
  <c r="BK39" i="6"/>
  <c r="BM39" i="6"/>
  <c r="BO39" i="6"/>
  <c r="BQ39" i="6"/>
  <c r="BS39" i="6"/>
  <c r="BU39" i="6"/>
  <c r="BW39" i="6"/>
  <c r="BY39" i="6"/>
  <c r="CA39" i="6"/>
  <c r="CC39" i="6"/>
  <c r="CE39" i="6"/>
  <c r="CG39" i="6"/>
  <c r="CI39" i="6"/>
  <c r="CK39" i="6"/>
  <c r="CM39" i="6"/>
  <c r="CO39" i="6"/>
  <c r="CQ39" i="6"/>
  <c r="CS39" i="6"/>
  <c r="CU39" i="6"/>
  <c r="CW39" i="6"/>
  <c r="CY39" i="6"/>
  <c r="DA39" i="6"/>
  <c r="DC39" i="6"/>
  <c r="DE39" i="6"/>
  <c r="DG39" i="6"/>
  <c r="DI39" i="6"/>
  <c r="DK39" i="6"/>
  <c r="DM39" i="6"/>
  <c r="DO39" i="6"/>
  <c r="DQ39" i="6"/>
  <c r="DS39" i="6"/>
  <c r="DU39" i="6"/>
  <c r="DW39" i="6"/>
  <c r="DY39" i="6"/>
  <c r="EA39" i="6"/>
  <c r="EC39" i="6"/>
  <c r="EE39" i="6"/>
  <c r="EG39" i="6"/>
  <c r="EI39" i="6"/>
  <c r="EK39" i="6"/>
  <c r="EM39" i="6"/>
  <c r="EO39" i="6"/>
  <c r="EQ39" i="6"/>
  <c r="ES39" i="6"/>
  <c r="EU39" i="6"/>
  <c r="EW39" i="6"/>
  <c r="EY39" i="6"/>
  <c r="FA39" i="6"/>
  <c r="FC39" i="6"/>
  <c r="FE39" i="6"/>
  <c r="FG39" i="6"/>
  <c r="FI39" i="6"/>
  <c r="FK39" i="6"/>
  <c r="FM39" i="6"/>
  <c r="FO39" i="6"/>
  <c r="FQ39" i="6"/>
  <c r="M40" i="6"/>
  <c r="O40" i="6"/>
  <c r="Q40" i="6"/>
  <c r="S40" i="6"/>
  <c r="U40" i="6"/>
  <c r="W40" i="6"/>
  <c r="Y40" i="6"/>
  <c r="AA40" i="6"/>
  <c r="AC40" i="6"/>
  <c r="AE40" i="6"/>
  <c r="AG40" i="6"/>
  <c r="AI40" i="6"/>
  <c r="AK40" i="6"/>
  <c r="AM40" i="6"/>
  <c r="AO40" i="6"/>
  <c r="AQ40" i="6"/>
  <c r="AS40" i="6"/>
  <c r="AU40" i="6"/>
  <c r="AW40" i="6"/>
  <c r="AY40" i="6"/>
  <c r="BA40" i="6"/>
  <c r="BC40" i="6"/>
  <c r="BE40" i="6"/>
  <c r="BG40" i="6"/>
  <c r="BI40" i="6"/>
  <c r="BK40" i="6"/>
  <c r="BM40" i="6"/>
  <c r="BO40" i="6"/>
  <c r="BQ40" i="6"/>
  <c r="BS40" i="6"/>
  <c r="BU40" i="6"/>
  <c r="BW40" i="6"/>
  <c r="BY40" i="6"/>
  <c r="CA40" i="6"/>
  <c r="CC40" i="6"/>
  <c r="CE40" i="6"/>
  <c r="CG40" i="6"/>
  <c r="CI40" i="6"/>
  <c r="CK40" i="6"/>
  <c r="CM40" i="6"/>
  <c r="CO40" i="6"/>
  <c r="CQ40" i="6"/>
  <c r="CS40" i="6"/>
  <c r="CU40" i="6"/>
  <c r="CW40" i="6"/>
  <c r="CY40" i="6"/>
  <c r="DA40" i="6"/>
  <c r="DC40" i="6"/>
  <c r="DE40" i="6"/>
  <c r="DG40" i="6"/>
  <c r="DI40" i="6"/>
  <c r="DK40" i="6"/>
  <c r="DM40" i="6"/>
  <c r="DO40" i="6"/>
  <c r="DQ40" i="6"/>
  <c r="DS40" i="6"/>
  <c r="DU40" i="6"/>
  <c r="DW40" i="6"/>
  <c r="DY40" i="6"/>
  <c r="EA40" i="6"/>
  <c r="EC40" i="6"/>
  <c r="EE40" i="6"/>
  <c r="EG40" i="6"/>
  <c r="EI40" i="6"/>
  <c r="EK40" i="6"/>
  <c r="EM40" i="6"/>
  <c r="EO40" i="6"/>
  <c r="EQ40" i="6"/>
  <c r="ES40" i="6"/>
  <c r="EU40" i="6"/>
  <c r="EW40" i="6"/>
  <c r="EY40" i="6"/>
  <c r="FA40" i="6"/>
  <c r="FC40" i="6"/>
  <c r="FE40" i="6"/>
  <c r="FG40" i="6"/>
  <c r="FI40" i="6"/>
  <c r="FK40" i="6"/>
  <c r="FM40" i="6"/>
  <c r="FO40" i="6"/>
  <c r="FQ40" i="6"/>
  <c r="M41" i="6"/>
  <c r="O41" i="6"/>
  <c r="Q41" i="6"/>
  <c r="S41" i="6"/>
  <c r="U41" i="6"/>
  <c r="W41" i="6"/>
  <c r="Y41" i="6"/>
  <c r="AA41" i="6"/>
  <c r="AC41" i="6"/>
  <c r="AE41" i="6"/>
  <c r="AG41" i="6"/>
  <c r="AI41" i="6"/>
  <c r="AK41" i="6"/>
  <c r="AM41" i="6"/>
  <c r="AO41" i="6"/>
  <c r="AQ41" i="6"/>
  <c r="AS41" i="6"/>
  <c r="AU41" i="6"/>
  <c r="AW41" i="6"/>
  <c r="AY41" i="6"/>
  <c r="BA41" i="6"/>
  <c r="BC41" i="6"/>
  <c r="BE41" i="6"/>
  <c r="BG41" i="6"/>
  <c r="BI41" i="6"/>
  <c r="BK41" i="6"/>
  <c r="BM41" i="6"/>
  <c r="BO41" i="6"/>
  <c r="BQ41" i="6"/>
  <c r="BS41" i="6"/>
  <c r="BU41" i="6"/>
  <c r="BW41" i="6"/>
  <c r="BY41" i="6"/>
  <c r="CA41" i="6"/>
  <c r="CC41" i="6"/>
  <c r="CE41" i="6"/>
  <c r="CG41" i="6"/>
  <c r="CI41" i="6"/>
  <c r="CK41" i="6"/>
  <c r="CM41" i="6"/>
  <c r="CO41" i="6"/>
  <c r="CQ41" i="6"/>
  <c r="CS41" i="6"/>
  <c r="CU41" i="6"/>
  <c r="CW41" i="6"/>
  <c r="CY41" i="6"/>
  <c r="DA41" i="6"/>
  <c r="DC41" i="6"/>
  <c r="DE41" i="6"/>
  <c r="DG41" i="6"/>
  <c r="DI41" i="6"/>
  <c r="DK41" i="6"/>
  <c r="DM41" i="6"/>
  <c r="DO41" i="6"/>
  <c r="DQ41" i="6"/>
  <c r="DS41" i="6"/>
  <c r="DU41" i="6"/>
  <c r="DW41" i="6"/>
  <c r="DY41" i="6"/>
  <c r="EA41" i="6"/>
  <c r="EC41" i="6"/>
  <c r="EE41" i="6"/>
  <c r="EG41" i="6"/>
  <c r="EI41" i="6"/>
  <c r="EK41" i="6"/>
  <c r="EM41" i="6"/>
  <c r="EO41" i="6"/>
  <c r="EQ41" i="6"/>
  <c r="ES41" i="6"/>
  <c r="EU41" i="6"/>
  <c r="EW41" i="6"/>
  <c r="EY41" i="6"/>
  <c r="FA41" i="6"/>
  <c r="FC41" i="6"/>
  <c r="FE41" i="6"/>
  <c r="FG41" i="6"/>
  <c r="FI41" i="6"/>
  <c r="FK41" i="6"/>
  <c r="FM41" i="6"/>
  <c r="FO41" i="6"/>
  <c r="FQ41" i="6"/>
  <c r="M42" i="6"/>
  <c r="O42" i="6"/>
  <c r="Q42" i="6"/>
  <c r="S42" i="6"/>
  <c r="U42" i="6"/>
  <c r="W42" i="6"/>
  <c r="Y42" i="6"/>
  <c r="AA42" i="6"/>
  <c r="AC42" i="6"/>
  <c r="AE42" i="6"/>
  <c r="AG42" i="6"/>
  <c r="AI42" i="6"/>
  <c r="AK42" i="6"/>
  <c r="AM42" i="6"/>
  <c r="AO42" i="6"/>
  <c r="AQ42" i="6"/>
  <c r="AS42" i="6"/>
  <c r="AU42" i="6"/>
  <c r="AW42" i="6"/>
  <c r="AY42" i="6"/>
  <c r="BA42" i="6"/>
  <c r="BC42" i="6"/>
  <c r="BE42" i="6"/>
  <c r="BG42" i="6"/>
  <c r="BI42" i="6"/>
  <c r="BK42" i="6"/>
  <c r="BM42" i="6"/>
  <c r="BO42" i="6"/>
  <c r="BQ42" i="6"/>
  <c r="BS42" i="6"/>
  <c r="BU42" i="6"/>
  <c r="BW42" i="6"/>
  <c r="BY42" i="6"/>
  <c r="CA42" i="6"/>
  <c r="CC42" i="6"/>
  <c r="CE42" i="6"/>
  <c r="CG42" i="6"/>
  <c r="CI42" i="6"/>
  <c r="CK42" i="6"/>
  <c r="CM42" i="6"/>
  <c r="CO42" i="6"/>
  <c r="CQ42" i="6"/>
  <c r="CS42" i="6"/>
  <c r="CU42" i="6"/>
  <c r="CW42" i="6"/>
  <c r="CY42" i="6"/>
  <c r="DA42" i="6"/>
  <c r="DC42" i="6"/>
  <c r="DE42" i="6"/>
  <c r="DG42" i="6"/>
  <c r="DI42" i="6"/>
  <c r="DK42" i="6"/>
  <c r="DM42" i="6"/>
  <c r="DO42" i="6"/>
  <c r="DQ42" i="6"/>
  <c r="DS42" i="6"/>
  <c r="DU42" i="6"/>
  <c r="DW42" i="6"/>
  <c r="DY42" i="6"/>
  <c r="EA42" i="6"/>
  <c r="EC42" i="6"/>
  <c r="EE42" i="6"/>
  <c r="EG42" i="6"/>
  <c r="EI42" i="6"/>
  <c r="EK42" i="6"/>
  <c r="EM42" i="6"/>
  <c r="EO42" i="6"/>
  <c r="EQ42" i="6"/>
  <c r="ES42" i="6"/>
  <c r="EU42" i="6"/>
  <c r="EW42" i="6"/>
  <c r="EY42" i="6"/>
  <c r="FA42" i="6"/>
  <c r="FC42" i="6"/>
  <c r="FE42" i="6"/>
  <c r="FG42" i="6"/>
  <c r="FI42" i="6"/>
  <c r="FK42" i="6"/>
  <c r="FM42" i="6"/>
  <c r="FO42" i="6"/>
  <c r="FQ42" i="6"/>
  <c r="M43" i="6"/>
  <c r="O43" i="6"/>
  <c r="Q43" i="6"/>
  <c r="S43" i="6"/>
  <c r="U43" i="6"/>
  <c r="W43" i="6"/>
  <c r="Y43" i="6"/>
  <c r="AA43" i="6"/>
  <c r="AC43" i="6"/>
  <c r="AE43" i="6"/>
  <c r="AG43" i="6"/>
  <c r="AI43" i="6"/>
  <c r="AK43" i="6"/>
  <c r="AM43" i="6"/>
  <c r="AO43" i="6"/>
  <c r="AQ43" i="6"/>
  <c r="AS43" i="6"/>
  <c r="AU43" i="6"/>
  <c r="AW43" i="6"/>
  <c r="AY43" i="6"/>
  <c r="BA43" i="6"/>
  <c r="BC43" i="6"/>
  <c r="BE43" i="6"/>
  <c r="BG43" i="6"/>
  <c r="BI43" i="6"/>
  <c r="BK43" i="6"/>
  <c r="BM43" i="6"/>
  <c r="BO43" i="6"/>
  <c r="BQ43" i="6"/>
  <c r="BS43" i="6"/>
  <c r="BU43" i="6"/>
  <c r="BW43" i="6"/>
  <c r="BY43" i="6"/>
  <c r="CA43" i="6"/>
  <c r="CC43" i="6"/>
  <c r="CE43" i="6"/>
  <c r="CG43" i="6"/>
  <c r="CI43" i="6"/>
  <c r="CK43" i="6"/>
  <c r="CM43" i="6"/>
  <c r="CO43" i="6"/>
  <c r="CQ43" i="6"/>
  <c r="CS43" i="6"/>
  <c r="CU43" i="6"/>
  <c r="CW43" i="6"/>
  <c r="CY43" i="6"/>
  <c r="DA43" i="6"/>
  <c r="DC43" i="6"/>
  <c r="DE43" i="6"/>
  <c r="DG43" i="6"/>
  <c r="DI43" i="6"/>
  <c r="DK43" i="6"/>
  <c r="DM43" i="6"/>
  <c r="DO43" i="6"/>
  <c r="DQ43" i="6"/>
  <c r="DS43" i="6"/>
  <c r="DU43" i="6"/>
  <c r="DW43" i="6"/>
  <c r="DY43" i="6"/>
  <c r="EA43" i="6"/>
  <c r="EC43" i="6"/>
  <c r="EE43" i="6"/>
  <c r="EG43" i="6"/>
  <c r="EI43" i="6"/>
  <c r="EK43" i="6"/>
  <c r="EM43" i="6"/>
  <c r="EO43" i="6"/>
  <c r="EQ43" i="6"/>
  <c r="ES43" i="6"/>
  <c r="EU43" i="6"/>
  <c r="EW43" i="6"/>
  <c r="EY43" i="6"/>
  <c r="FA43" i="6"/>
  <c r="FC43" i="6"/>
  <c r="FE43" i="6"/>
  <c r="FG43" i="6"/>
  <c r="FI43" i="6"/>
  <c r="FK43" i="6"/>
  <c r="FM43" i="6"/>
  <c r="FO43" i="6"/>
  <c r="FQ43" i="6"/>
  <c r="M44" i="6"/>
  <c r="O44" i="6"/>
  <c r="Q44" i="6"/>
  <c r="S44" i="6"/>
  <c r="U44" i="6"/>
  <c r="W44" i="6"/>
  <c r="Y44" i="6"/>
  <c r="AA44" i="6"/>
  <c r="AC44" i="6"/>
  <c r="AE44" i="6"/>
  <c r="AG44" i="6"/>
  <c r="AI44" i="6"/>
  <c r="AK44" i="6"/>
  <c r="AM44" i="6"/>
  <c r="AO44" i="6"/>
  <c r="AQ44" i="6"/>
  <c r="AS44" i="6"/>
  <c r="AU44" i="6"/>
  <c r="AW44" i="6"/>
  <c r="AY44" i="6"/>
  <c r="BA44" i="6"/>
  <c r="BC44" i="6"/>
  <c r="BE44" i="6"/>
  <c r="BG44" i="6"/>
  <c r="BI44" i="6"/>
  <c r="BK44" i="6"/>
  <c r="BM44" i="6"/>
  <c r="BO44" i="6"/>
  <c r="BQ44" i="6"/>
  <c r="BS44" i="6"/>
  <c r="BU44" i="6"/>
  <c r="BW44" i="6"/>
  <c r="BY44" i="6"/>
  <c r="CA44" i="6"/>
  <c r="CC44" i="6"/>
  <c r="CE44" i="6"/>
  <c r="CG44" i="6"/>
  <c r="CI44" i="6"/>
  <c r="CK44" i="6"/>
  <c r="CM44" i="6"/>
  <c r="CO44" i="6"/>
  <c r="CQ44" i="6"/>
  <c r="CS44" i="6"/>
  <c r="CU44" i="6"/>
  <c r="CW44" i="6"/>
  <c r="CY44" i="6"/>
  <c r="DA44" i="6"/>
  <c r="DC44" i="6"/>
  <c r="DE44" i="6"/>
  <c r="DG44" i="6"/>
  <c r="DI44" i="6"/>
  <c r="DK44" i="6"/>
  <c r="DM44" i="6"/>
  <c r="DO44" i="6"/>
  <c r="DQ44" i="6"/>
  <c r="DS44" i="6"/>
  <c r="DU44" i="6"/>
  <c r="DW44" i="6"/>
  <c r="DY44" i="6"/>
  <c r="EA44" i="6"/>
  <c r="EC44" i="6"/>
  <c r="EE44" i="6"/>
  <c r="EG44" i="6"/>
  <c r="EI44" i="6"/>
  <c r="EK44" i="6"/>
  <c r="EM44" i="6"/>
  <c r="EO44" i="6"/>
  <c r="EQ44" i="6"/>
  <c r="ES44" i="6"/>
  <c r="EU44" i="6"/>
  <c r="EW44" i="6"/>
  <c r="EY44" i="6"/>
  <c r="FA44" i="6"/>
  <c r="FC44" i="6"/>
  <c r="FE44" i="6"/>
  <c r="FG44" i="6"/>
  <c r="FI44" i="6"/>
  <c r="FK44" i="6"/>
  <c r="FM44" i="6"/>
  <c r="FO44" i="6"/>
  <c r="FQ44" i="6"/>
  <c r="M45" i="6"/>
  <c r="O45" i="6"/>
  <c r="Q45" i="6"/>
  <c r="S45" i="6"/>
  <c r="U45" i="6"/>
  <c r="W45" i="6"/>
  <c r="Y45" i="6"/>
  <c r="AA45" i="6"/>
  <c r="AC45" i="6"/>
  <c r="AE45" i="6"/>
  <c r="AG45" i="6"/>
  <c r="AI45" i="6"/>
  <c r="AK45" i="6"/>
  <c r="AM45" i="6"/>
  <c r="AO45" i="6"/>
  <c r="AQ45" i="6"/>
  <c r="AS45" i="6"/>
  <c r="AU45" i="6"/>
  <c r="AW45" i="6"/>
  <c r="AY45" i="6"/>
  <c r="BA45" i="6"/>
  <c r="BC45" i="6"/>
  <c r="BE45" i="6"/>
  <c r="BG45" i="6"/>
  <c r="BI45" i="6"/>
  <c r="BK45" i="6"/>
  <c r="BM45" i="6"/>
  <c r="BO45" i="6"/>
  <c r="BQ45" i="6"/>
  <c r="BS45" i="6"/>
  <c r="BU45" i="6"/>
  <c r="BW45" i="6"/>
  <c r="BY45" i="6"/>
  <c r="CA45" i="6"/>
  <c r="CC45" i="6"/>
  <c r="CE45" i="6"/>
  <c r="CG45" i="6"/>
  <c r="CI45" i="6"/>
  <c r="CK45" i="6"/>
  <c r="CM45" i="6"/>
  <c r="CO45" i="6"/>
  <c r="CQ45" i="6"/>
  <c r="CS45" i="6"/>
  <c r="CU45" i="6"/>
  <c r="CW45" i="6"/>
  <c r="CY45" i="6"/>
  <c r="DA45" i="6"/>
  <c r="DC45" i="6"/>
  <c r="DE45" i="6"/>
  <c r="DG45" i="6"/>
  <c r="DI45" i="6"/>
  <c r="DK45" i="6"/>
  <c r="DM45" i="6"/>
  <c r="DO45" i="6"/>
  <c r="DQ45" i="6"/>
  <c r="DS45" i="6"/>
  <c r="DU45" i="6"/>
  <c r="DW45" i="6"/>
  <c r="DY45" i="6"/>
  <c r="EA45" i="6"/>
  <c r="EC45" i="6"/>
  <c r="EE45" i="6"/>
  <c r="EG45" i="6"/>
  <c r="EI45" i="6"/>
  <c r="EK45" i="6"/>
  <c r="EM45" i="6"/>
  <c r="EO45" i="6"/>
  <c r="EQ45" i="6"/>
  <c r="ES45" i="6"/>
  <c r="EU45" i="6"/>
  <c r="EW45" i="6"/>
  <c r="EY45" i="6"/>
  <c r="FA45" i="6"/>
  <c r="FC45" i="6"/>
  <c r="FE45" i="6"/>
  <c r="FG45" i="6"/>
  <c r="FI45" i="6"/>
  <c r="FK45" i="6"/>
  <c r="FM45" i="6"/>
  <c r="FO45" i="6"/>
  <c r="FQ45" i="6"/>
  <c r="M46" i="6"/>
  <c r="O46" i="6"/>
  <c r="Q46" i="6"/>
  <c r="S46" i="6"/>
  <c r="U46" i="6"/>
  <c r="W46" i="6"/>
  <c r="Y46" i="6"/>
  <c r="AA46" i="6"/>
  <c r="AC46" i="6"/>
  <c r="AE46" i="6"/>
  <c r="AG46" i="6"/>
  <c r="AI46" i="6"/>
  <c r="AM46" i="6"/>
  <c r="AO46" i="6"/>
  <c r="AQ46" i="6"/>
  <c r="AS46" i="6"/>
  <c r="AU46" i="6"/>
  <c r="AW46" i="6"/>
  <c r="AY46" i="6"/>
  <c r="BA46" i="6"/>
  <c r="BC46" i="6"/>
  <c r="BE46" i="6"/>
  <c r="BG46" i="6"/>
  <c r="BI46" i="6"/>
  <c r="BK46" i="6"/>
  <c r="BM46" i="6"/>
  <c r="BO46" i="6"/>
  <c r="BQ46" i="6"/>
  <c r="BS46" i="6"/>
  <c r="BU46" i="6"/>
  <c r="BW46" i="6"/>
  <c r="BY46" i="6"/>
  <c r="CA46" i="6"/>
  <c r="CC46" i="6"/>
  <c r="CE46" i="6"/>
  <c r="CG46" i="6"/>
  <c r="CI46" i="6"/>
  <c r="CK46" i="6"/>
  <c r="CM46" i="6"/>
  <c r="CO46" i="6"/>
  <c r="CQ46" i="6"/>
  <c r="CS46" i="6"/>
  <c r="CU46" i="6"/>
  <c r="CW46" i="6"/>
  <c r="CY46" i="6"/>
  <c r="DA46" i="6"/>
  <c r="DC46" i="6"/>
  <c r="DE46" i="6"/>
  <c r="DG46" i="6"/>
  <c r="DI46" i="6"/>
  <c r="DK46" i="6"/>
  <c r="DM46" i="6"/>
  <c r="DO46" i="6"/>
  <c r="DQ46" i="6"/>
  <c r="DS46" i="6"/>
  <c r="DU46" i="6"/>
  <c r="DW46" i="6"/>
  <c r="DY46" i="6"/>
  <c r="EA46" i="6"/>
  <c r="EC46" i="6"/>
  <c r="EE46" i="6"/>
  <c r="EG46" i="6"/>
  <c r="EI46" i="6"/>
  <c r="EK46" i="6"/>
  <c r="EM46" i="6"/>
  <c r="EO46" i="6"/>
  <c r="EQ46" i="6"/>
  <c r="ES46" i="6"/>
  <c r="EU46" i="6"/>
  <c r="EW46" i="6"/>
  <c r="EY46" i="6"/>
  <c r="FA46" i="6"/>
  <c r="FC46" i="6"/>
  <c r="FE46" i="6"/>
  <c r="FG46" i="6"/>
  <c r="FI46" i="6"/>
  <c r="FK46" i="6"/>
  <c r="FM46" i="6"/>
  <c r="FO46" i="6"/>
  <c r="FQ46" i="6"/>
  <c r="M47" i="6"/>
  <c r="O47" i="6"/>
  <c r="Q47" i="6"/>
  <c r="S47" i="6"/>
  <c r="U47" i="6"/>
  <c r="W47" i="6"/>
  <c r="Y47" i="6"/>
  <c r="AA47" i="6"/>
  <c r="AC47" i="6"/>
  <c r="AE47" i="6"/>
  <c r="AG47" i="6"/>
  <c r="AI47" i="6"/>
  <c r="AK47" i="6"/>
  <c r="AM47" i="6"/>
  <c r="AO47" i="6"/>
  <c r="AQ47" i="6"/>
  <c r="AS47" i="6"/>
  <c r="AU47" i="6"/>
  <c r="AW47" i="6"/>
  <c r="AY47" i="6"/>
  <c r="BA47" i="6"/>
  <c r="BC47" i="6"/>
  <c r="BE47" i="6"/>
  <c r="BG47" i="6"/>
  <c r="BI47" i="6"/>
  <c r="BK47" i="6"/>
  <c r="BM47" i="6"/>
  <c r="BO47" i="6"/>
  <c r="BQ47" i="6"/>
  <c r="BS47" i="6"/>
  <c r="BU47" i="6"/>
  <c r="BW47" i="6"/>
  <c r="BY47" i="6"/>
  <c r="CA47" i="6"/>
  <c r="CC47" i="6"/>
  <c r="CE47" i="6"/>
  <c r="CG47" i="6"/>
  <c r="CI47" i="6"/>
  <c r="CK47" i="6"/>
  <c r="CM47" i="6"/>
  <c r="CO47" i="6"/>
  <c r="CQ47" i="6"/>
  <c r="CS47" i="6"/>
  <c r="CU47" i="6"/>
  <c r="CW47" i="6"/>
  <c r="CY47" i="6"/>
  <c r="DA47" i="6"/>
  <c r="DC47" i="6"/>
  <c r="DE47" i="6"/>
  <c r="DG47" i="6"/>
  <c r="DI47" i="6"/>
  <c r="DK47" i="6"/>
  <c r="DM47" i="6"/>
  <c r="DO47" i="6"/>
  <c r="DQ47" i="6"/>
  <c r="DS47" i="6"/>
  <c r="DU47" i="6"/>
  <c r="DW47" i="6"/>
  <c r="DY47" i="6"/>
  <c r="EA47" i="6"/>
  <c r="EC47" i="6"/>
  <c r="EE47" i="6"/>
  <c r="EG47" i="6"/>
  <c r="EI47" i="6"/>
  <c r="EK47" i="6"/>
  <c r="EM47" i="6"/>
  <c r="EO47" i="6"/>
  <c r="EQ47" i="6"/>
  <c r="ES47" i="6"/>
  <c r="EU47" i="6"/>
  <c r="EW47" i="6"/>
  <c r="EY47" i="6"/>
  <c r="FA47" i="6"/>
  <c r="FC47" i="6"/>
  <c r="FE47" i="6"/>
  <c r="FG47" i="6"/>
  <c r="FI47" i="6"/>
  <c r="FK47" i="6"/>
  <c r="FM47" i="6"/>
  <c r="FO47" i="6"/>
  <c r="FQ47" i="6"/>
  <c r="M48" i="6"/>
  <c r="O48" i="6"/>
  <c r="Q48" i="6"/>
  <c r="S48" i="6"/>
  <c r="U48" i="6"/>
  <c r="W48" i="6"/>
  <c r="Y48" i="6"/>
  <c r="AA48" i="6"/>
  <c r="AC48" i="6"/>
  <c r="AE48" i="6"/>
  <c r="AG48" i="6"/>
  <c r="AI48" i="6"/>
  <c r="AK48" i="6"/>
  <c r="AM48" i="6"/>
  <c r="AO48" i="6"/>
  <c r="AQ48" i="6"/>
  <c r="AS48" i="6"/>
  <c r="AU48" i="6"/>
  <c r="AW48" i="6"/>
  <c r="AY48" i="6"/>
  <c r="BA48" i="6"/>
  <c r="BC48" i="6"/>
  <c r="BE48" i="6"/>
  <c r="BG48" i="6"/>
  <c r="BI48" i="6"/>
  <c r="BK48" i="6"/>
  <c r="BM48" i="6"/>
  <c r="BO48" i="6"/>
  <c r="BQ48" i="6"/>
  <c r="BS48" i="6"/>
  <c r="BU48" i="6"/>
  <c r="BW48" i="6"/>
  <c r="BY48" i="6"/>
  <c r="CA48" i="6"/>
  <c r="CC48" i="6"/>
  <c r="CE48" i="6"/>
  <c r="CG48" i="6"/>
  <c r="CI48" i="6"/>
  <c r="CK48" i="6"/>
  <c r="CM48" i="6"/>
  <c r="CO48" i="6"/>
  <c r="CQ48" i="6"/>
  <c r="CS48" i="6"/>
  <c r="CU48" i="6"/>
  <c r="CW48" i="6"/>
  <c r="CY48" i="6"/>
  <c r="DA48" i="6"/>
  <c r="DC48" i="6"/>
  <c r="DE48" i="6"/>
  <c r="DG48" i="6"/>
  <c r="DI48" i="6"/>
  <c r="DK48" i="6"/>
  <c r="DM48" i="6"/>
  <c r="DO48" i="6"/>
  <c r="DQ48" i="6"/>
  <c r="DS48" i="6"/>
  <c r="DU48" i="6"/>
  <c r="DW48" i="6"/>
  <c r="DY48" i="6"/>
  <c r="EA48" i="6"/>
  <c r="EC48" i="6"/>
  <c r="EE48" i="6"/>
  <c r="EG48" i="6"/>
  <c r="EI48" i="6"/>
  <c r="EK48" i="6"/>
  <c r="EM48" i="6"/>
  <c r="EO48" i="6"/>
  <c r="EQ48" i="6"/>
  <c r="ES48" i="6"/>
  <c r="EU48" i="6"/>
  <c r="EW48" i="6"/>
  <c r="EY48" i="6"/>
  <c r="FA48" i="6"/>
  <c r="FC48" i="6"/>
  <c r="FE48" i="6"/>
  <c r="FG48" i="6"/>
  <c r="FI48" i="6"/>
  <c r="FK48" i="6"/>
  <c r="FM48" i="6"/>
  <c r="FO48" i="6"/>
  <c r="FQ48" i="6"/>
  <c r="M49" i="6"/>
  <c r="O49" i="6"/>
  <c r="Q49" i="6"/>
  <c r="S49" i="6"/>
  <c r="U49" i="6"/>
  <c r="W49" i="6"/>
  <c r="Y49" i="6"/>
  <c r="AA49" i="6"/>
  <c r="AC49" i="6"/>
  <c r="AE49" i="6"/>
  <c r="AG49" i="6"/>
  <c r="AI49" i="6"/>
  <c r="AK49" i="6"/>
  <c r="AM49" i="6"/>
  <c r="AO49" i="6"/>
  <c r="AQ49" i="6"/>
  <c r="AS49" i="6"/>
  <c r="AU49" i="6"/>
  <c r="AW49" i="6"/>
  <c r="AY49" i="6"/>
  <c r="BA49" i="6"/>
  <c r="BC49" i="6"/>
  <c r="BE49" i="6"/>
  <c r="BG49" i="6"/>
  <c r="BI49" i="6"/>
  <c r="BK49" i="6"/>
  <c r="BM49" i="6"/>
  <c r="BO49" i="6"/>
  <c r="BQ49" i="6"/>
  <c r="BS49" i="6"/>
  <c r="BU49" i="6"/>
  <c r="BW49" i="6"/>
  <c r="BY49" i="6"/>
  <c r="CA49" i="6"/>
  <c r="CC49" i="6"/>
  <c r="CE49" i="6"/>
  <c r="CG49" i="6"/>
  <c r="CI49" i="6"/>
  <c r="CK49" i="6"/>
  <c r="CM49" i="6"/>
  <c r="CO49" i="6"/>
  <c r="CQ49" i="6"/>
  <c r="CS49" i="6"/>
  <c r="CU49" i="6"/>
  <c r="CW49" i="6"/>
  <c r="CY49" i="6"/>
  <c r="DA49" i="6"/>
  <c r="DC49" i="6"/>
  <c r="DE49" i="6"/>
  <c r="DG49" i="6"/>
  <c r="DI49" i="6"/>
  <c r="DK49" i="6"/>
  <c r="DM49" i="6"/>
  <c r="DO49" i="6"/>
  <c r="DQ49" i="6"/>
  <c r="DS49" i="6"/>
  <c r="DU49" i="6"/>
  <c r="DW49" i="6"/>
  <c r="DY49" i="6"/>
  <c r="EA49" i="6"/>
  <c r="EC49" i="6"/>
  <c r="EE49" i="6"/>
  <c r="EG49" i="6"/>
  <c r="EI49" i="6"/>
  <c r="EK49" i="6"/>
  <c r="EM49" i="6"/>
  <c r="EO49" i="6"/>
  <c r="EQ49" i="6"/>
  <c r="ES49" i="6"/>
  <c r="EU49" i="6"/>
  <c r="EW49" i="6"/>
  <c r="EY49" i="6"/>
  <c r="FA49" i="6"/>
  <c r="FC49" i="6"/>
  <c r="FE49" i="6"/>
  <c r="FG49" i="6"/>
  <c r="FI49" i="6"/>
  <c r="FK49" i="6"/>
  <c r="FM49" i="6"/>
  <c r="FO49" i="6"/>
  <c r="FQ49" i="6"/>
  <c r="M50" i="6"/>
  <c r="O50" i="6"/>
  <c r="Q50" i="6"/>
  <c r="S50" i="6"/>
  <c r="U50" i="6"/>
  <c r="W50" i="6"/>
  <c r="Y50" i="6"/>
  <c r="AA50" i="6"/>
  <c r="AC50" i="6"/>
  <c r="AE50" i="6"/>
  <c r="AG50" i="6"/>
  <c r="AI50" i="6"/>
  <c r="AK50" i="6"/>
  <c r="AM50" i="6"/>
  <c r="AO50" i="6"/>
  <c r="AQ50" i="6"/>
  <c r="AS50" i="6"/>
  <c r="AU50" i="6"/>
  <c r="AW50" i="6"/>
  <c r="AY50" i="6"/>
  <c r="BA50" i="6"/>
  <c r="BC50" i="6"/>
  <c r="BE50" i="6"/>
  <c r="BG50" i="6"/>
  <c r="BI50" i="6"/>
  <c r="BK50" i="6"/>
  <c r="BM50" i="6"/>
  <c r="BO50" i="6"/>
  <c r="BQ50" i="6"/>
  <c r="BS50" i="6"/>
  <c r="BU50" i="6"/>
  <c r="BW50" i="6"/>
  <c r="BY50" i="6"/>
  <c r="CA50" i="6"/>
  <c r="CC50" i="6"/>
  <c r="CE50" i="6"/>
  <c r="CG50" i="6"/>
  <c r="CI50" i="6"/>
  <c r="CK50" i="6"/>
  <c r="CM50" i="6"/>
  <c r="CO50" i="6"/>
  <c r="CQ50" i="6"/>
  <c r="CS50" i="6"/>
  <c r="CU50" i="6"/>
  <c r="CW50" i="6"/>
  <c r="CY50" i="6"/>
  <c r="DA50" i="6"/>
  <c r="DC50" i="6"/>
  <c r="DE50" i="6"/>
  <c r="DG50" i="6"/>
  <c r="DI50" i="6"/>
  <c r="DK50" i="6"/>
  <c r="DM50" i="6"/>
  <c r="DO50" i="6"/>
  <c r="DQ50" i="6"/>
  <c r="DS50" i="6"/>
  <c r="DU50" i="6"/>
  <c r="DW50" i="6"/>
  <c r="DY50" i="6"/>
  <c r="EA50" i="6"/>
  <c r="EC50" i="6"/>
  <c r="EE50" i="6"/>
  <c r="EG50" i="6"/>
  <c r="EI50" i="6"/>
  <c r="EK50" i="6"/>
  <c r="EM50" i="6"/>
  <c r="EO50" i="6"/>
  <c r="EQ50" i="6"/>
  <c r="ES50" i="6"/>
  <c r="EU50" i="6"/>
  <c r="EW50" i="6"/>
  <c r="EY50" i="6"/>
  <c r="FA50" i="6"/>
  <c r="FC50" i="6"/>
  <c r="FE50" i="6"/>
  <c r="FG50" i="6"/>
  <c r="FI50" i="6"/>
  <c r="FK50" i="6"/>
  <c r="FM50" i="6"/>
  <c r="FO50" i="6"/>
  <c r="FQ50" i="6"/>
  <c r="M51" i="6"/>
  <c r="O51" i="6"/>
  <c r="Q51" i="6"/>
  <c r="S51" i="6"/>
  <c r="U51" i="6"/>
  <c r="W51" i="6"/>
  <c r="Y51" i="6"/>
  <c r="AA51" i="6"/>
  <c r="AC51" i="6"/>
  <c r="AE51" i="6"/>
  <c r="AG51" i="6"/>
  <c r="AI51" i="6"/>
  <c r="AK51" i="6"/>
  <c r="AM51" i="6"/>
  <c r="AO51" i="6"/>
  <c r="AQ51" i="6"/>
  <c r="AS51" i="6"/>
  <c r="AU51" i="6"/>
  <c r="AW51" i="6"/>
  <c r="AY51" i="6"/>
  <c r="BA51" i="6"/>
  <c r="BC51" i="6"/>
  <c r="BE51" i="6"/>
  <c r="BG51" i="6"/>
  <c r="BI51" i="6"/>
  <c r="BK51" i="6"/>
  <c r="BM51" i="6"/>
  <c r="BO51" i="6"/>
  <c r="BQ51" i="6"/>
  <c r="BS51" i="6"/>
  <c r="BU51" i="6"/>
  <c r="BW51" i="6"/>
  <c r="BY51" i="6"/>
  <c r="CA51" i="6"/>
  <c r="CC51" i="6"/>
  <c r="CE51" i="6"/>
  <c r="CG51" i="6"/>
  <c r="CI51" i="6"/>
  <c r="CK51" i="6"/>
  <c r="CM51" i="6"/>
  <c r="CO51" i="6"/>
  <c r="CQ51" i="6"/>
  <c r="CS51" i="6"/>
  <c r="CU51" i="6"/>
  <c r="CW51" i="6"/>
  <c r="CY51" i="6"/>
  <c r="DA51" i="6"/>
  <c r="DC51" i="6"/>
  <c r="DE51" i="6"/>
  <c r="DG51" i="6"/>
  <c r="DI51" i="6"/>
  <c r="DK51" i="6"/>
  <c r="DM51" i="6"/>
  <c r="DO51" i="6"/>
  <c r="DQ51" i="6"/>
  <c r="DS51" i="6"/>
  <c r="DU51" i="6"/>
  <c r="DW51" i="6"/>
  <c r="DY51" i="6"/>
  <c r="EA51" i="6"/>
  <c r="EC51" i="6"/>
  <c r="EE51" i="6"/>
  <c r="EG51" i="6"/>
  <c r="EI51" i="6"/>
  <c r="EK51" i="6"/>
  <c r="EM51" i="6"/>
  <c r="EO51" i="6"/>
  <c r="EQ51" i="6"/>
  <c r="ES51" i="6"/>
  <c r="EU51" i="6"/>
  <c r="EW51" i="6"/>
  <c r="EY51" i="6"/>
  <c r="FA51" i="6"/>
  <c r="FC51" i="6"/>
  <c r="FE51" i="6"/>
  <c r="FG51" i="6"/>
  <c r="FI51" i="6"/>
  <c r="FK51" i="6"/>
  <c r="FM51" i="6"/>
  <c r="FO51" i="6"/>
  <c r="FQ51" i="6"/>
  <c r="M52" i="6"/>
  <c r="O52" i="6"/>
  <c r="Q52" i="6"/>
  <c r="S52" i="6"/>
  <c r="U52" i="6"/>
  <c r="W52" i="6"/>
  <c r="Y52" i="6"/>
  <c r="AA52" i="6"/>
  <c r="AC52" i="6"/>
  <c r="AE52" i="6"/>
  <c r="AG52" i="6"/>
  <c r="AI52" i="6"/>
  <c r="AK52" i="6"/>
  <c r="AM52" i="6"/>
  <c r="AO52" i="6"/>
  <c r="AQ52" i="6"/>
  <c r="AS52" i="6"/>
  <c r="AU52" i="6"/>
  <c r="AW52" i="6"/>
  <c r="AY52" i="6"/>
  <c r="BA52" i="6"/>
  <c r="BC52" i="6"/>
  <c r="BE52" i="6"/>
  <c r="BG52" i="6"/>
  <c r="BI52" i="6"/>
  <c r="BK52" i="6"/>
  <c r="BM52" i="6"/>
  <c r="BO52" i="6"/>
  <c r="BQ52" i="6"/>
  <c r="BS52" i="6"/>
  <c r="BU52" i="6"/>
  <c r="BW52" i="6"/>
  <c r="BY52" i="6"/>
  <c r="CA52" i="6"/>
  <c r="CC52" i="6"/>
  <c r="CE52" i="6"/>
  <c r="CG52" i="6"/>
  <c r="CI52" i="6"/>
  <c r="CK52" i="6"/>
  <c r="CM52" i="6"/>
  <c r="CO52" i="6"/>
  <c r="CQ52" i="6"/>
  <c r="CS52" i="6"/>
  <c r="CU52" i="6"/>
  <c r="CW52" i="6"/>
  <c r="CY52" i="6"/>
  <c r="DA52" i="6"/>
  <c r="DC52" i="6"/>
  <c r="DE52" i="6"/>
  <c r="DG52" i="6"/>
  <c r="DI52" i="6"/>
  <c r="DK52" i="6"/>
  <c r="DM52" i="6"/>
  <c r="DO52" i="6"/>
  <c r="DQ52" i="6"/>
  <c r="DS52" i="6"/>
  <c r="DU52" i="6"/>
  <c r="DW52" i="6"/>
  <c r="DY52" i="6"/>
  <c r="EA52" i="6"/>
  <c r="EC52" i="6"/>
  <c r="EE52" i="6"/>
  <c r="EG52" i="6"/>
  <c r="EI52" i="6"/>
  <c r="EK52" i="6"/>
  <c r="EM52" i="6"/>
  <c r="EO52" i="6"/>
  <c r="EQ52" i="6"/>
  <c r="ES52" i="6"/>
  <c r="EU52" i="6"/>
  <c r="EW52" i="6"/>
  <c r="EY52" i="6"/>
  <c r="FA52" i="6"/>
  <c r="FC52" i="6"/>
  <c r="FE52" i="6"/>
  <c r="FG52" i="6"/>
  <c r="FI52" i="6"/>
  <c r="FK52" i="6"/>
  <c r="FM52" i="6"/>
  <c r="FO52" i="6"/>
  <c r="FQ52" i="6"/>
  <c r="M53" i="6"/>
  <c r="O53" i="6"/>
  <c r="Q53" i="6"/>
  <c r="S53" i="6"/>
  <c r="U53" i="6"/>
  <c r="W53" i="6"/>
  <c r="Y53" i="6"/>
  <c r="AA53" i="6"/>
  <c r="AC53" i="6"/>
  <c r="AE53" i="6"/>
  <c r="AG53" i="6"/>
  <c r="AI53" i="6"/>
  <c r="AK53" i="6"/>
  <c r="AM53" i="6"/>
  <c r="AO53" i="6"/>
  <c r="AQ53" i="6"/>
  <c r="AS53" i="6"/>
  <c r="AU53" i="6"/>
  <c r="AW53" i="6"/>
  <c r="AY53" i="6"/>
  <c r="BA53" i="6"/>
  <c r="BC53" i="6"/>
  <c r="BE53" i="6"/>
  <c r="BG53" i="6"/>
  <c r="BI53" i="6"/>
  <c r="BK53" i="6"/>
  <c r="BM53" i="6"/>
  <c r="BO53" i="6"/>
  <c r="BQ53" i="6"/>
  <c r="BS53" i="6"/>
  <c r="BU53" i="6"/>
  <c r="BW53" i="6"/>
  <c r="BY53" i="6"/>
  <c r="CA53" i="6"/>
  <c r="CC53" i="6"/>
  <c r="CE53" i="6"/>
  <c r="CG53" i="6"/>
  <c r="CI53" i="6"/>
  <c r="CK53" i="6"/>
  <c r="CM53" i="6"/>
  <c r="CO53" i="6"/>
  <c r="CQ53" i="6"/>
  <c r="CS53" i="6"/>
  <c r="CU53" i="6"/>
  <c r="CW53" i="6"/>
  <c r="CY53" i="6"/>
  <c r="DA53" i="6"/>
  <c r="DC53" i="6"/>
  <c r="DE53" i="6"/>
  <c r="DG53" i="6"/>
  <c r="DI53" i="6"/>
  <c r="DK53" i="6"/>
  <c r="DM53" i="6"/>
  <c r="DO53" i="6"/>
  <c r="DQ53" i="6"/>
  <c r="DS53" i="6"/>
  <c r="DU53" i="6"/>
  <c r="DW53" i="6"/>
  <c r="DY53" i="6"/>
  <c r="EA53" i="6"/>
  <c r="EC53" i="6"/>
  <c r="EE53" i="6"/>
  <c r="EG53" i="6"/>
  <c r="EI53" i="6"/>
  <c r="EK53" i="6"/>
  <c r="EM53" i="6"/>
  <c r="EO53" i="6"/>
  <c r="EQ53" i="6"/>
  <c r="ES53" i="6"/>
  <c r="EU53" i="6"/>
  <c r="EW53" i="6"/>
  <c r="EY53" i="6"/>
  <c r="FA53" i="6"/>
  <c r="FC53" i="6"/>
  <c r="FE53" i="6"/>
  <c r="FG53" i="6"/>
  <c r="FI53" i="6"/>
  <c r="FK53" i="6"/>
  <c r="FM53" i="6"/>
  <c r="FO53" i="6"/>
  <c r="FQ53" i="6"/>
  <c r="M54" i="6"/>
  <c r="O54" i="6"/>
  <c r="Q54" i="6"/>
  <c r="S54" i="6"/>
  <c r="U54" i="6"/>
  <c r="W54" i="6"/>
  <c r="Y54" i="6"/>
  <c r="AA54" i="6"/>
  <c r="AC54" i="6"/>
  <c r="AE54" i="6"/>
  <c r="AG54" i="6"/>
  <c r="AI54" i="6"/>
  <c r="AK54" i="6"/>
  <c r="AM54" i="6"/>
  <c r="AO54" i="6"/>
  <c r="AQ54" i="6"/>
  <c r="AS54" i="6"/>
  <c r="AU54" i="6"/>
  <c r="AW54" i="6"/>
  <c r="AY54" i="6"/>
  <c r="BA54" i="6"/>
  <c r="BC54" i="6"/>
  <c r="BE54" i="6"/>
  <c r="BG54" i="6"/>
  <c r="BI54" i="6"/>
  <c r="BK54" i="6"/>
  <c r="BM54" i="6"/>
  <c r="BO54" i="6"/>
  <c r="BQ54" i="6"/>
  <c r="BS54" i="6"/>
  <c r="BU54" i="6"/>
  <c r="BW54" i="6"/>
  <c r="BY54" i="6"/>
  <c r="CA54" i="6"/>
  <c r="CC54" i="6"/>
  <c r="CE54" i="6"/>
  <c r="CG54" i="6"/>
  <c r="CI54" i="6"/>
  <c r="CK54" i="6"/>
  <c r="CM54" i="6"/>
  <c r="CO54" i="6"/>
  <c r="CQ54" i="6"/>
  <c r="CS54" i="6"/>
  <c r="CU54" i="6"/>
  <c r="CW54" i="6"/>
  <c r="CY54" i="6"/>
  <c r="DA54" i="6"/>
  <c r="DC54" i="6"/>
  <c r="DE54" i="6"/>
  <c r="DG54" i="6"/>
  <c r="DI54" i="6"/>
  <c r="DK54" i="6"/>
  <c r="DM54" i="6"/>
  <c r="DO54" i="6"/>
  <c r="DQ54" i="6"/>
  <c r="DS54" i="6"/>
  <c r="DU54" i="6"/>
  <c r="DW54" i="6"/>
  <c r="DY54" i="6"/>
  <c r="EA54" i="6"/>
  <c r="EC54" i="6"/>
  <c r="EE54" i="6"/>
  <c r="EG54" i="6"/>
  <c r="EI54" i="6"/>
  <c r="EK54" i="6"/>
  <c r="EM54" i="6"/>
  <c r="EO54" i="6"/>
  <c r="EQ54" i="6"/>
  <c r="ES54" i="6"/>
  <c r="EU54" i="6"/>
  <c r="EW54" i="6"/>
  <c r="EY54" i="6"/>
  <c r="FA54" i="6"/>
  <c r="FC54" i="6"/>
  <c r="FE54" i="6"/>
  <c r="FG54" i="6"/>
  <c r="FI54" i="6"/>
  <c r="FK54" i="6"/>
  <c r="FM54" i="6"/>
  <c r="FO54" i="6"/>
  <c r="FQ54" i="6"/>
  <c r="M55" i="6"/>
  <c r="O55" i="6"/>
  <c r="Q55" i="6"/>
  <c r="S55" i="6"/>
  <c r="U55" i="6"/>
  <c r="W55" i="6"/>
  <c r="Y55" i="6"/>
  <c r="AA55" i="6"/>
  <c r="AC55" i="6"/>
  <c r="AE55" i="6"/>
  <c r="AG55" i="6"/>
  <c r="AI55" i="6"/>
  <c r="AK55" i="6"/>
  <c r="AM55" i="6"/>
  <c r="AO55" i="6"/>
  <c r="AQ55" i="6"/>
  <c r="AS55" i="6"/>
  <c r="AU55" i="6"/>
  <c r="AW55" i="6"/>
  <c r="AY55" i="6"/>
  <c r="BA55" i="6"/>
  <c r="BC55" i="6"/>
  <c r="BE55" i="6"/>
  <c r="BG55" i="6"/>
  <c r="BI55" i="6"/>
  <c r="BK55" i="6"/>
  <c r="BM55" i="6"/>
  <c r="BO55" i="6"/>
  <c r="BQ55" i="6"/>
  <c r="BS55" i="6"/>
  <c r="BU55" i="6"/>
  <c r="BW55" i="6"/>
  <c r="BY55" i="6"/>
  <c r="CA55" i="6"/>
  <c r="CC55" i="6"/>
  <c r="CE55" i="6"/>
  <c r="CG55" i="6"/>
  <c r="CI55" i="6"/>
  <c r="CK55" i="6"/>
  <c r="CM55" i="6"/>
  <c r="CO55" i="6"/>
  <c r="CQ55" i="6"/>
  <c r="CS55" i="6"/>
  <c r="CU55" i="6"/>
  <c r="CW55" i="6"/>
  <c r="CY55" i="6"/>
  <c r="DA55" i="6"/>
  <c r="DC55" i="6"/>
  <c r="DE55" i="6"/>
  <c r="DG55" i="6"/>
  <c r="DI55" i="6"/>
  <c r="DK55" i="6"/>
  <c r="DM55" i="6"/>
  <c r="DO55" i="6"/>
  <c r="DQ55" i="6"/>
  <c r="DS55" i="6"/>
  <c r="DU55" i="6"/>
  <c r="DW55" i="6"/>
  <c r="DY55" i="6"/>
  <c r="EA55" i="6"/>
  <c r="EC55" i="6"/>
  <c r="EE55" i="6"/>
  <c r="EG55" i="6"/>
  <c r="EI55" i="6"/>
  <c r="EK55" i="6"/>
  <c r="EM55" i="6"/>
  <c r="EO55" i="6"/>
  <c r="EQ55" i="6"/>
  <c r="ES55" i="6"/>
  <c r="EU55" i="6"/>
  <c r="EW55" i="6"/>
  <c r="EY55" i="6"/>
  <c r="FA55" i="6"/>
  <c r="FC55" i="6"/>
  <c r="FE55" i="6"/>
  <c r="FG55" i="6"/>
  <c r="FI55" i="6"/>
  <c r="FK55" i="6"/>
  <c r="FM55" i="6"/>
  <c r="FO55" i="6"/>
  <c r="FQ55" i="6"/>
  <c r="M56" i="6"/>
  <c r="O56" i="6"/>
  <c r="Q56" i="6"/>
  <c r="S56" i="6"/>
  <c r="U56" i="6"/>
  <c r="W56" i="6"/>
  <c r="Y56" i="6"/>
  <c r="AA56" i="6"/>
  <c r="AC56" i="6"/>
  <c r="AE56" i="6"/>
  <c r="AG56" i="6"/>
  <c r="AI56" i="6"/>
  <c r="AK56" i="6"/>
  <c r="AM56" i="6"/>
  <c r="AO56" i="6"/>
  <c r="AQ56" i="6"/>
  <c r="AS56" i="6"/>
  <c r="AU56" i="6"/>
  <c r="AW56" i="6"/>
  <c r="AY56" i="6"/>
  <c r="BA56" i="6"/>
  <c r="BC56" i="6"/>
  <c r="BE56" i="6"/>
  <c r="BG56" i="6"/>
  <c r="BI56" i="6"/>
  <c r="BK56" i="6"/>
  <c r="BM56" i="6"/>
  <c r="BO56" i="6"/>
  <c r="BQ56" i="6"/>
  <c r="BS56" i="6"/>
  <c r="BU56" i="6"/>
  <c r="BW56" i="6"/>
  <c r="BY56" i="6"/>
  <c r="CA56" i="6"/>
  <c r="CC56" i="6"/>
  <c r="CE56" i="6"/>
  <c r="CG56" i="6"/>
  <c r="CI56" i="6"/>
  <c r="CK56" i="6"/>
  <c r="CM56" i="6"/>
  <c r="CO56" i="6"/>
  <c r="CQ56" i="6"/>
  <c r="CS56" i="6"/>
  <c r="CU56" i="6"/>
  <c r="CW56" i="6"/>
  <c r="CY56" i="6"/>
  <c r="DA56" i="6"/>
  <c r="DC56" i="6"/>
  <c r="DE56" i="6"/>
  <c r="DG56" i="6"/>
  <c r="DI56" i="6"/>
  <c r="DK56" i="6"/>
  <c r="DM56" i="6"/>
  <c r="DO56" i="6"/>
  <c r="DQ56" i="6"/>
  <c r="DS56" i="6"/>
  <c r="DU56" i="6"/>
  <c r="DW56" i="6"/>
  <c r="DY56" i="6"/>
  <c r="EA56" i="6"/>
  <c r="EC56" i="6"/>
  <c r="EE56" i="6"/>
  <c r="EG56" i="6"/>
  <c r="EI56" i="6"/>
  <c r="EK56" i="6"/>
  <c r="EM56" i="6"/>
  <c r="EO56" i="6"/>
  <c r="EQ56" i="6"/>
  <c r="ES56" i="6"/>
  <c r="EU56" i="6"/>
  <c r="EW56" i="6"/>
  <c r="EY56" i="6"/>
  <c r="FA56" i="6"/>
  <c r="FC56" i="6"/>
  <c r="FE56" i="6"/>
  <c r="FG56" i="6"/>
  <c r="FI56" i="6"/>
  <c r="FK56" i="6"/>
  <c r="FM56" i="6"/>
  <c r="FO56" i="6"/>
  <c r="FQ56" i="6"/>
  <c r="M57" i="6"/>
  <c r="O57" i="6"/>
  <c r="Q57" i="6"/>
  <c r="S57" i="6"/>
  <c r="U57" i="6"/>
  <c r="W57" i="6"/>
  <c r="Y57" i="6"/>
  <c r="AA57" i="6"/>
  <c r="AC57" i="6"/>
  <c r="AE57" i="6"/>
  <c r="AG57" i="6"/>
  <c r="AI57" i="6"/>
  <c r="AK57" i="6"/>
  <c r="AM57" i="6"/>
  <c r="AO57" i="6"/>
  <c r="AQ57" i="6"/>
  <c r="AS57" i="6"/>
  <c r="AU57" i="6"/>
  <c r="AW57" i="6"/>
  <c r="AY57" i="6"/>
  <c r="BA57" i="6"/>
  <c r="BC57" i="6"/>
  <c r="BE57" i="6"/>
  <c r="BG57" i="6"/>
  <c r="BI57" i="6"/>
  <c r="BK57" i="6"/>
  <c r="BM57" i="6"/>
  <c r="BO57" i="6"/>
  <c r="BQ57" i="6"/>
  <c r="BS57" i="6"/>
  <c r="BU57" i="6"/>
  <c r="BW57" i="6"/>
  <c r="BY57" i="6"/>
  <c r="CA57" i="6"/>
  <c r="CC57" i="6"/>
  <c r="CE57" i="6"/>
  <c r="CG57" i="6"/>
  <c r="CI57" i="6"/>
  <c r="CK57" i="6"/>
  <c r="CM57" i="6"/>
  <c r="CO57" i="6"/>
  <c r="CQ57" i="6"/>
  <c r="CS57" i="6"/>
  <c r="CU57" i="6"/>
  <c r="CW57" i="6"/>
  <c r="CY57" i="6"/>
  <c r="DA57" i="6"/>
  <c r="DC57" i="6"/>
  <c r="DE57" i="6"/>
  <c r="DG57" i="6"/>
  <c r="DI57" i="6"/>
  <c r="DK57" i="6"/>
  <c r="DM57" i="6"/>
  <c r="DO57" i="6"/>
  <c r="DQ57" i="6"/>
  <c r="DS57" i="6"/>
  <c r="DU57" i="6"/>
  <c r="DW57" i="6"/>
  <c r="DY57" i="6"/>
  <c r="EA57" i="6"/>
  <c r="EC57" i="6"/>
  <c r="EE57" i="6"/>
  <c r="EG57" i="6"/>
  <c r="EI57" i="6"/>
  <c r="EK57" i="6"/>
  <c r="EM57" i="6"/>
  <c r="EO57" i="6"/>
  <c r="EQ57" i="6"/>
  <c r="ES57" i="6"/>
  <c r="EU57" i="6"/>
  <c r="EW57" i="6"/>
  <c r="EY57" i="6"/>
  <c r="FA57" i="6"/>
  <c r="FC57" i="6"/>
  <c r="FE57" i="6"/>
  <c r="FG57" i="6"/>
  <c r="FI57" i="6"/>
  <c r="FK57" i="6"/>
  <c r="FM57" i="6"/>
  <c r="FO57" i="6"/>
  <c r="FQ57" i="6"/>
  <c r="M58" i="6"/>
  <c r="O58" i="6"/>
  <c r="Q58" i="6"/>
  <c r="S58" i="6"/>
  <c r="U58" i="6"/>
  <c r="W58" i="6"/>
  <c r="Y58" i="6"/>
  <c r="AA58" i="6"/>
  <c r="AC58" i="6"/>
  <c r="AE58" i="6"/>
  <c r="AG58" i="6"/>
  <c r="AI58" i="6"/>
  <c r="AK58" i="6"/>
  <c r="AM58" i="6"/>
  <c r="AO58" i="6"/>
  <c r="AQ58" i="6"/>
  <c r="AS58" i="6"/>
  <c r="AU58" i="6"/>
  <c r="AW58" i="6"/>
  <c r="AY58" i="6"/>
  <c r="BA58" i="6"/>
  <c r="BC58" i="6"/>
  <c r="BE58" i="6"/>
  <c r="BG58" i="6"/>
  <c r="BI58" i="6"/>
  <c r="BK58" i="6"/>
  <c r="BM58" i="6"/>
  <c r="BO58" i="6"/>
  <c r="BQ58" i="6"/>
  <c r="BS58" i="6"/>
  <c r="BU58" i="6"/>
  <c r="BW58" i="6"/>
  <c r="BY58" i="6"/>
  <c r="CA58" i="6"/>
  <c r="CC58" i="6"/>
  <c r="CE58" i="6"/>
  <c r="CG58" i="6"/>
  <c r="CI58" i="6"/>
  <c r="CK58" i="6"/>
  <c r="CM58" i="6"/>
  <c r="CO58" i="6"/>
  <c r="CQ58" i="6"/>
  <c r="CS58" i="6"/>
  <c r="CU58" i="6"/>
  <c r="CW58" i="6"/>
  <c r="CY58" i="6"/>
  <c r="DA58" i="6"/>
  <c r="DC58" i="6"/>
  <c r="DE58" i="6"/>
  <c r="DG58" i="6"/>
  <c r="DI58" i="6"/>
  <c r="DK58" i="6"/>
  <c r="DM58" i="6"/>
  <c r="DO58" i="6"/>
  <c r="DQ58" i="6"/>
  <c r="DS58" i="6"/>
  <c r="DU58" i="6"/>
  <c r="DW58" i="6"/>
  <c r="DY58" i="6"/>
  <c r="EA58" i="6"/>
  <c r="EC58" i="6"/>
  <c r="EE58" i="6"/>
  <c r="EG58" i="6"/>
  <c r="EI58" i="6"/>
  <c r="EK58" i="6"/>
  <c r="EM58" i="6"/>
  <c r="EO58" i="6"/>
  <c r="EQ58" i="6"/>
  <c r="ES58" i="6"/>
  <c r="EU58" i="6"/>
  <c r="EW58" i="6"/>
  <c r="EY58" i="6"/>
  <c r="FA58" i="6"/>
  <c r="FC58" i="6"/>
  <c r="FE58" i="6"/>
  <c r="FG58" i="6"/>
  <c r="FI58" i="6"/>
  <c r="FK58" i="6"/>
  <c r="FM58" i="6"/>
  <c r="FO58" i="6"/>
  <c r="FQ58" i="6"/>
  <c r="M59" i="6"/>
  <c r="O59" i="6"/>
  <c r="Q59" i="6"/>
  <c r="S59" i="6"/>
  <c r="U59" i="6"/>
  <c r="W59" i="6"/>
  <c r="Y59" i="6"/>
  <c r="AA59" i="6"/>
  <c r="AC59" i="6"/>
  <c r="AE59" i="6"/>
  <c r="AG59" i="6"/>
  <c r="AI59" i="6"/>
  <c r="AK59" i="6"/>
  <c r="AM59" i="6"/>
  <c r="AO59" i="6"/>
  <c r="AQ59" i="6"/>
  <c r="AS59" i="6"/>
  <c r="AU59" i="6"/>
  <c r="AW59" i="6"/>
  <c r="AY59" i="6"/>
  <c r="BA59" i="6"/>
  <c r="BC59" i="6"/>
  <c r="BE59" i="6"/>
  <c r="BG59" i="6"/>
  <c r="BI59" i="6"/>
  <c r="BK59" i="6"/>
  <c r="BM59" i="6"/>
  <c r="BO59" i="6"/>
  <c r="BQ59" i="6"/>
  <c r="BS59" i="6"/>
  <c r="BU59" i="6"/>
  <c r="BW59" i="6"/>
  <c r="BY59" i="6"/>
  <c r="CA59" i="6"/>
  <c r="CC59" i="6"/>
  <c r="CE59" i="6"/>
  <c r="CG59" i="6"/>
  <c r="CI59" i="6"/>
  <c r="CK59" i="6"/>
  <c r="CM59" i="6"/>
  <c r="CO59" i="6"/>
  <c r="CQ59" i="6"/>
  <c r="CS59" i="6"/>
  <c r="CU59" i="6"/>
  <c r="CW59" i="6"/>
  <c r="CY59" i="6"/>
  <c r="DA59" i="6"/>
  <c r="DC59" i="6"/>
  <c r="DE59" i="6"/>
  <c r="DG59" i="6"/>
  <c r="DI59" i="6"/>
  <c r="DK59" i="6"/>
  <c r="DM59" i="6"/>
  <c r="DO59" i="6"/>
  <c r="DQ59" i="6"/>
  <c r="DS59" i="6"/>
  <c r="DU59" i="6"/>
  <c r="DW59" i="6"/>
  <c r="DY59" i="6"/>
  <c r="EA59" i="6"/>
  <c r="EC59" i="6"/>
  <c r="EE59" i="6"/>
  <c r="EG59" i="6"/>
  <c r="EI59" i="6"/>
  <c r="EK59" i="6"/>
  <c r="EM59" i="6"/>
  <c r="EO59" i="6"/>
  <c r="EQ59" i="6"/>
  <c r="ES59" i="6"/>
  <c r="EU59" i="6"/>
  <c r="EW59" i="6"/>
  <c r="EY59" i="6"/>
  <c r="FA59" i="6"/>
  <c r="FC59" i="6"/>
  <c r="FE59" i="6"/>
  <c r="FG59" i="6"/>
  <c r="FI59" i="6"/>
  <c r="FK59" i="6"/>
  <c r="FM59" i="6"/>
  <c r="FO59" i="6"/>
  <c r="FQ59" i="6"/>
  <c r="M60" i="6"/>
  <c r="O60" i="6"/>
  <c r="Q60" i="6"/>
  <c r="S60" i="6"/>
  <c r="U60" i="6"/>
  <c r="W60" i="6"/>
  <c r="Y60" i="6"/>
  <c r="AA60" i="6"/>
  <c r="AC60" i="6"/>
  <c r="AE60" i="6"/>
  <c r="AG60" i="6"/>
  <c r="AI60" i="6"/>
  <c r="AK60" i="6"/>
  <c r="AM60" i="6"/>
  <c r="AO60" i="6"/>
  <c r="AQ60" i="6"/>
  <c r="AS60" i="6"/>
  <c r="AU60" i="6"/>
  <c r="AW60" i="6"/>
  <c r="AY60" i="6"/>
  <c r="BA60" i="6"/>
  <c r="BC60" i="6"/>
  <c r="BE60" i="6"/>
  <c r="BG60" i="6"/>
  <c r="BI60" i="6"/>
  <c r="BK60" i="6"/>
  <c r="BM60" i="6"/>
  <c r="BO60" i="6"/>
  <c r="BQ60" i="6"/>
  <c r="BS60" i="6"/>
  <c r="BU60" i="6"/>
  <c r="BW60" i="6"/>
  <c r="BY60" i="6"/>
  <c r="CA60" i="6"/>
  <c r="CC60" i="6"/>
  <c r="CE60" i="6"/>
  <c r="CG60" i="6"/>
  <c r="CI60" i="6"/>
  <c r="CK60" i="6"/>
  <c r="CM60" i="6"/>
  <c r="CO60" i="6"/>
  <c r="CQ60" i="6"/>
  <c r="CS60" i="6"/>
  <c r="CU60" i="6"/>
  <c r="CW60" i="6"/>
  <c r="CY60" i="6"/>
  <c r="DA60" i="6"/>
  <c r="DC60" i="6"/>
  <c r="DE60" i="6"/>
  <c r="DG60" i="6"/>
  <c r="DI60" i="6"/>
  <c r="DK60" i="6"/>
  <c r="DM60" i="6"/>
  <c r="DO60" i="6"/>
  <c r="DQ60" i="6"/>
  <c r="DS60" i="6"/>
  <c r="DU60" i="6"/>
  <c r="DW60" i="6"/>
  <c r="DY60" i="6"/>
  <c r="EA60" i="6"/>
  <c r="EC60" i="6"/>
  <c r="EE60" i="6"/>
  <c r="EG60" i="6"/>
  <c r="EI60" i="6"/>
  <c r="EK60" i="6"/>
  <c r="EM60" i="6"/>
  <c r="EO60" i="6"/>
  <c r="EQ60" i="6"/>
  <c r="ES60" i="6"/>
  <c r="EU60" i="6"/>
  <c r="EW60" i="6"/>
  <c r="EY60" i="6"/>
  <c r="FA60" i="6"/>
  <c r="FC60" i="6"/>
  <c r="FE60" i="6"/>
  <c r="FG60" i="6"/>
  <c r="FI60" i="6"/>
  <c r="FK60" i="6"/>
  <c r="FM60" i="6"/>
  <c r="FO60" i="6"/>
  <c r="FQ60" i="6"/>
  <c r="M61" i="6"/>
  <c r="O61" i="6"/>
  <c r="Q61" i="6"/>
  <c r="S61" i="6"/>
  <c r="U61" i="6"/>
  <c r="W61" i="6"/>
  <c r="Y61" i="6"/>
  <c r="AA61" i="6"/>
  <c r="AC61" i="6"/>
  <c r="AE61" i="6"/>
  <c r="AG61" i="6"/>
  <c r="AI61" i="6"/>
  <c r="AK61" i="6"/>
  <c r="AM61" i="6"/>
  <c r="AO61" i="6"/>
  <c r="AQ61" i="6"/>
  <c r="AS61" i="6"/>
  <c r="AU61" i="6"/>
  <c r="AW61" i="6"/>
  <c r="AY61" i="6"/>
  <c r="BA61" i="6"/>
  <c r="BC61" i="6"/>
  <c r="BE61" i="6"/>
  <c r="BG61" i="6"/>
  <c r="BI61" i="6"/>
  <c r="BK61" i="6"/>
  <c r="BM61" i="6"/>
  <c r="BO61" i="6"/>
  <c r="BQ61" i="6"/>
  <c r="BS61" i="6"/>
  <c r="BU61" i="6"/>
  <c r="BW61" i="6"/>
  <c r="BY61" i="6"/>
  <c r="CA61" i="6"/>
  <c r="CC61" i="6"/>
  <c r="CE61" i="6"/>
  <c r="CG61" i="6"/>
  <c r="CI61" i="6"/>
  <c r="CK61" i="6"/>
  <c r="CM61" i="6"/>
  <c r="CO61" i="6"/>
  <c r="CQ61" i="6"/>
  <c r="CS61" i="6"/>
  <c r="CU61" i="6"/>
  <c r="CW61" i="6"/>
  <c r="CY61" i="6"/>
  <c r="DA61" i="6"/>
  <c r="DC61" i="6"/>
  <c r="DE61" i="6"/>
  <c r="DG61" i="6"/>
  <c r="DI61" i="6"/>
  <c r="DK61" i="6"/>
  <c r="DM61" i="6"/>
  <c r="DO61" i="6"/>
  <c r="DQ61" i="6"/>
  <c r="DS61" i="6"/>
  <c r="DU61" i="6"/>
  <c r="DW61" i="6"/>
  <c r="DY61" i="6"/>
  <c r="EA61" i="6"/>
  <c r="EC61" i="6"/>
  <c r="EE61" i="6"/>
  <c r="EG61" i="6"/>
  <c r="EI61" i="6"/>
  <c r="EK61" i="6"/>
  <c r="EM61" i="6"/>
  <c r="EO61" i="6"/>
  <c r="EQ61" i="6"/>
  <c r="ES61" i="6"/>
  <c r="EU61" i="6"/>
  <c r="EW61" i="6"/>
  <c r="EY61" i="6"/>
  <c r="FA61" i="6"/>
  <c r="FC61" i="6"/>
  <c r="FE61" i="6"/>
  <c r="FG61" i="6"/>
  <c r="FI61" i="6"/>
  <c r="FK61" i="6"/>
  <c r="FM61" i="6"/>
  <c r="FO61" i="6"/>
  <c r="FQ61" i="6"/>
  <c r="M62" i="6"/>
  <c r="O62" i="6"/>
  <c r="Q62" i="6"/>
  <c r="S62" i="6"/>
  <c r="U62" i="6"/>
  <c r="W62" i="6"/>
  <c r="Y62" i="6"/>
  <c r="AA62" i="6"/>
  <c r="AC62" i="6"/>
  <c r="AE62" i="6"/>
  <c r="AG62" i="6"/>
  <c r="AI62" i="6"/>
  <c r="AK62" i="6"/>
  <c r="AM62" i="6"/>
  <c r="AO62" i="6"/>
  <c r="AQ62" i="6"/>
  <c r="AS62" i="6"/>
  <c r="AU62" i="6"/>
  <c r="AW62" i="6"/>
  <c r="AY62" i="6"/>
  <c r="BA62" i="6"/>
  <c r="BC62" i="6"/>
  <c r="BE62" i="6"/>
  <c r="BG62" i="6"/>
  <c r="BI62" i="6"/>
  <c r="BK62" i="6"/>
  <c r="BM62" i="6"/>
  <c r="BO62" i="6"/>
  <c r="BQ62" i="6"/>
  <c r="BS62" i="6"/>
  <c r="BU62" i="6"/>
  <c r="BW62" i="6"/>
  <c r="BY62" i="6"/>
  <c r="CA62" i="6"/>
  <c r="CC62" i="6"/>
  <c r="CE62" i="6"/>
  <c r="CG62" i="6"/>
  <c r="CI62" i="6"/>
  <c r="CK62" i="6"/>
  <c r="CM62" i="6"/>
  <c r="CO62" i="6"/>
  <c r="CQ62" i="6"/>
  <c r="CS62" i="6"/>
  <c r="CU62" i="6"/>
  <c r="CW62" i="6"/>
  <c r="CY62" i="6"/>
  <c r="DA62" i="6"/>
  <c r="DC62" i="6"/>
  <c r="DE62" i="6"/>
  <c r="DG62" i="6"/>
  <c r="DI62" i="6"/>
  <c r="DK62" i="6"/>
  <c r="DM62" i="6"/>
  <c r="DO62" i="6"/>
  <c r="DQ62" i="6"/>
  <c r="DS62" i="6"/>
  <c r="DU62" i="6"/>
  <c r="DW62" i="6"/>
  <c r="DY62" i="6"/>
  <c r="EA62" i="6"/>
  <c r="EC62" i="6"/>
  <c r="EE62" i="6"/>
  <c r="EG62" i="6"/>
  <c r="EI62" i="6"/>
  <c r="EK62" i="6"/>
  <c r="EM62" i="6"/>
  <c r="EO62" i="6"/>
  <c r="EQ62" i="6"/>
  <c r="ES62" i="6"/>
  <c r="EU62" i="6"/>
  <c r="EW62" i="6"/>
  <c r="EY62" i="6"/>
  <c r="FA62" i="6"/>
  <c r="FC62" i="6"/>
  <c r="FE62" i="6"/>
  <c r="FG62" i="6"/>
  <c r="FI62" i="6"/>
  <c r="FK62" i="6"/>
  <c r="FM62" i="6"/>
  <c r="FO62" i="6"/>
  <c r="FQ62" i="6"/>
  <c r="M63" i="6"/>
  <c r="O63" i="6"/>
  <c r="Q63" i="6"/>
  <c r="S63" i="6"/>
  <c r="U63" i="6"/>
  <c r="W63" i="6"/>
  <c r="Y63" i="6"/>
  <c r="AA63" i="6"/>
  <c r="AC63" i="6"/>
  <c r="AE63" i="6"/>
  <c r="AG63" i="6"/>
  <c r="AI63" i="6"/>
  <c r="AK63" i="6"/>
  <c r="AM63" i="6"/>
  <c r="AO63" i="6"/>
  <c r="AQ63" i="6"/>
  <c r="AS63" i="6"/>
  <c r="AU63" i="6"/>
  <c r="AW63" i="6"/>
  <c r="AY63" i="6"/>
  <c r="BA63" i="6"/>
  <c r="BC63" i="6"/>
  <c r="BE63" i="6"/>
  <c r="BG63" i="6"/>
  <c r="BI63" i="6"/>
  <c r="BK63" i="6"/>
  <c r="BM63" i="6"/>
  <c r="BO63" i="6"/>
  <c r="BQ63" i="6"/>
  <c r="BS63" i="6"/>
  <c r="BU63" i="6"/>
  <c r="BW63" i="6"/>
  <c r="BY63" i="6"/>
  <c r="CA63" i="6"/>
  <c r="CC63" i="6"/>
  <c r="CE63" i="6"/>
  <c r="CG63" i="6"/>
  <c r="CI63" i="6"/>
  <c r="CK63" i="6"/>
  <c r="CM63" i="6"/>
  <c r="CO63" i="6"/>
  <c r="CQ63" i="6"/>
  <c r="CS63" i="6"/>
  <c r="CU63" i="6"/>
  <c r="CW63" i="6"/>
  <c r="CY63" i="6"/>
  <c r="DA63" i="6"/>
  <c r="DC63" i="6"/>
  <c r="DE63" i="6"/>
  <c r="DG63" i="6"/>
  <c r="DI63" i="6"/>
  <c r="DK63" i="6"/>
  <c r="DM63" i="6"/>
  <c r="DO63" i="6"/>
  <c r="DQ63" i="6"/>
  <c r="DS63" i="6"/>
  <c r="DU63" i="6"/>
  <c r="DW63" i="6"/>
  <c r="DY63" i="6"/>
  <c r="EA63" i="6"/>
  <c r="EC63" i="6"/>
  <c r="EE63" i="6"/>
  <c r="EG63" i="6"/>
  <c r="EI63" i="6"/>
  <c r="EK63" i="6"/>
  <c r="EM63" i="6"/>
  <c r="EO63" i="6"/>
  <c r="EQ63" i="6"/>
  <c r="ES63" i="6"/>
  <c r="EU63" i="6"/>
  <c r="EW63" i="6"/>
  <c r="EY63" i="6"/>
  <c r="FA63" i="6"/>
  <c r="FC63" i="6"/>
  <c r="FE63" i="6"/>
  <c r="FG63" i="6"/>
  <c r="FI63" i="6"/>
  <c r="FK63" i="6"/>
  <c r="FM63" i="6"/>
  <c r="FO63" i="6"/>
  <c r="FQ63" i="6"/>
  <c r="M64" i="6"/>
  <c r="O64" i="6"/>
  <c r="Q64" i="6"/>
  <c r="S64" i="6"/>
  <c r="U64" i="6"/>
  <c r="W64" i="6"/>
  <c r="Y64" i="6"/>
  <c r="AA64" i="6"/>
  <c r="AC64" i="6"/>
  <c r="AE64" i="6"/>
  <c r="AG64" i="6"/>
  <c r="AI64" i="6"/>
  <c r="AK64" i="6"/>
  <c r="AM64" i="6"/>
  <c r="AO64" i="6"/>
  <c r="AQ64" i="6"/>
  <c r="AS64" i="6"/>
  <c r="AU64" i="6"/>
  <c r="AW64" i="6"/>
  <c r="AY64" i="6"/>
  <c r="BA64" i="6"/>
  <c r="BC64" i="6"/>
  <c r="BE64" i="6"/>
  <c r="BG64" i="6"/>
  <c r="BI64" i="6"/>
  <c r="BK64" i="6"/>
  <c r="BM64" i="6"/>
  <c r="BO64" i="6"/>
  <c r="BQ64" i="6"/>
  <c r="BS64" i="6"/>
  <c r="BU64" i="6"/>
  <c r="BW64" i="6"/>
  <c r="BY64" i="6"/>
  <c r="CA64" i="6"/>
  <c r="CC64" i="6"/>
  <c r="CE64" i="6"/>
  <c r="CG64" i="6"/>
  <c r="CI64" i="6"/>
  <c r="CK64" i="6"/>
  <c r="CM64" i="6"/>
  <c r="CO64" i="6"/>
  <c r="CQ64" i="6"/>
  <c r="CS64" i="6"/>
  <c r="CU64" i="6"/>
  <c r="CW64" i="6"/>
  <c r="CY64" i="6"/>
  <c r="DA64" i="6"/>
  <c r="DC64" i="6"/>
  <c r="DE64" i="6"/>
  <c r="DG64" i="6"/>
  <c r="DI64" i="6"/>
  <c r="DK64" i="6"/>
  <c r="DM64" i="6"/>
  <c r="DO64" i="6"/>
  <c r="DQ64" i="6"/>
  <c r="DS64" i="6"/>
  <c r="DU64" i="6"/>
  <c r="DW64" i="6"/>
  <c r="DY64" i="6"/>
  <c r="EA64" i="6"/>
  <c r="EC64" i="6"/>
  <c r="EE64" i="6"/>
  <c r="EG64" i="6"/>
  <c r="EI64" i="6"/>
  <c r="EK64" i="6"/>
  <c r="EM64" i="6"/>
  <c r="EO64" i="6"/>
  <c r="EQ64" i="6"/>
  <c r="ES64" i="6"/>
  <c r="EU64" i="6"/>
  <c r="EW64" i="6"/>
  <c r="EY64" i="6"/>
  <c r="FA64" i="6"/>
  <c r="FC64" i="6"/>
  <c r="FE64" i="6"/>
  <c r="FG64" i="6"/>
  <c r="FI64" i="6"/>
  <c r="FK64" i="6"/>
  <c r="FM64" i="6"/>
  <c r="FO64" i="6"/>
  <c r="FQ64" i="6"/>
  <c r="M65" i="6"/>
  <c r="O65" i="6"/>
  <c r="Q65" i="6"/>
  <c r="S65" i="6"/>
  <c r="U65" i="6"/>
  <c r="W65" i="6"/>
  <c r="Y65" i="6"/>
  <c r="AA65" i="6"/>
  <c r="AC65" i="6"/>
  <c r="AE65" i="6"/>
  <c r="AG65" i="6"/>
  <c r="AI65" i="6"/>
  <c r="AK65" i="6"/>
  <c r="AM65" i="6"/>
  <c r="AO65" i="6"/>
  <c r="AQ65" i="6"/>
  <c r="AS65" i="6"/>
  <c r="AU65" i="6"/>
  <c r="AW65" i="6"/>
  <c r="AY65" i="6"/>
  <c r="BA65" i="6"/>
  <c r="BC65" i="6"/>
  <c r="BE65" i="6"/>
  <c r="BG65" i="6"/>
  <c r="BI65" i="6"/>
  <c r="BK65" i="6"/>
  <c r="BM65" i="6"/>
  <c r="BO65" i="6"/>
  <c r="BQ65" i="6"/>
  <c r="BS65" i="6"/>
  <c r="BU65" i="6"/>
  <c r="BW65" i="6"/>
  <c r="BY65" i="6"/>
  <c r="CA65" i="6"/>
  <c r="CC65" i="6"/>
  <c r="CE65" i="6"/>
  <c r="CG65" i="6"/>
  <c r="CI65" i="6"/>
  <c r="CK65" i="6"/>
  <c r="CM65" i="6"/>
  <c r="CO65" i="6"/>
  <c r="CQ65" i="6"/>
  <c r="CS65" i="6"/>
  <c r="CU65" i="6"/>
  <c r="CW65" i="6"/>
  <c r="CY65" i="6"/>
  <c r="DA65" i="6"/>
  <c r="DC65" i="6"/>
  <c r="DE65" i="6"/>
  <c r="DG65" i="6"/>
  <c r="DI65" i="6"/>
  <c r="DK65" i="6"/>
  <c r="DM65" i="6"/>
  <c r="DO65" i="6"/>
  <c r="DQ65" i="6"/>
  <c r="DS65" i="6"/>
  <c r="DU65" i="6"/>
  <c r="DW65" i="6"/>
  <c r="DY65" i="6"/>
  <c r="EA65" i="6"/>
  <c r="EC65" i="6"/>
  <c r="EE65" i="6"/>
  <c r="EG65" i="6"/>
  <c r="EI65" i="6"/>
  <c r="EK65" i="6"/>
  <c r="EM65" i="6"/>
  <c r="EO65" i="6"/>
  <c r="EQ65" i="6"/>
  <c r="ES65" i="6"/>
  <c r="EU65" i="6"/>
  <c r="EW65" i="6"/>
  <c r="EY65" i="6"/>
  <c r="FA65" i="6"/>
  <c r="FC65" i="6"/>
  <c r="FE65" i="6"/>
  <c r="FG65" i="6"/>
  <c r="FI65" i="6"/>
  <c r="FK65" i="6"/>
  <c r="FM65" i="6"/>
  <c r="FO65" i="6"/>
  <c r="FQ65" i="6"/>
  <c r="M66" i="6"/>
  <c r="O66" i="6"/>
  <c r="Q66" i="6"/>
  <c r="S66" i="6"/>
  <c r="U66" i="6"/>
  <c r="W66" i="6"/>
  <c r="Y66" i="6"/>
  <c r="AA66" i="6"/>
  <c r="AC66" i="6"/>
  <c r="AE66" i="6"/>
  <c r="AG66" i="6"/>
  <c r="AI66" i="6"/>
  <c r="AK66" i="6"/>
  <c r="AM66" i="6"/>
  <c r="AO66" i="6"/>
  <c r="AQ66" i="6"/>
  <c r="AS66" i="6"/>
  <c r="AU66" i="6"/>
  <c r="AW66" i="6"/>
  <c r="AY66" i="6"/>
  <c r="BA66" i="6"/>
  <c r="BC66" i="6"/>
  <c r="BE66" i="6"/>
  <c r="BG66" i="6"/>
  <c r="BI66" i="6"/>
  <c r="BK66" i="6"/>
  <c r="BM66" i="6"/>
  <c r="BO66" i="6"/>
  <c r="BQ66" i="6"/>
  <c r="BS66" i="6"/>
  <c r="BU66" i="6"/>
  <c r="BW66" i="6"/>
  <c r="BY66" i="6"/>
  <c r="CA66" i="6"/>
  <c r="CC66" i="6"/>
  <c r="CE66" i="6"/>
  <c r="CG66" i="6"/>
  <c r="CI66" i="6"/>
  <c r="CK66" i="6"/>
  <c r="CM66" i="6"/>
  <c r="CO66" i="6"/>
  <c r="CQ66" i="6"/>
  <c r="CS66" i="6"/>
  <c r="CU66" i="6"/>
  <c r="CW66" i="6"/>
  <c r="CY66" i="6"/>
  <c r="DA66" i="6"/>
  <c r="DC66" i="6"/>
  <c r="DE66" i="6"/>
  <c r="DG66" i="6"/>
  <c r="DI66" i="6"/>
  <c r="DK66" i="6"/>
  <c r="DM66" i="6"/>
  <c r="DO66" i="6"/>
  <c r="DQ66" i="6"/>
  <c r="DS66" i="6"/>
  <c r="DU66" i="6"/>
  <c r="DW66" i="6"/>
  <c r="DY66" i="6"/>
  <c r="EA66" i="6"/>
  <c r="EC66" i="6"/>
  <c r="EE66" i="6"/>
  <c r="EG66" i="6"/>
  <c r="EI66" i="6"/>
  <c r="EK66" i="6"/>
  <c r="EM66" i="6"/>
  <c r="EO66" i="6"/>
  <c r="EQ66" i="6"/>
  <c r="ES66" i="6"/>
  <c r="EU66" i="6"/>
  <c r="EW66" i="6"/>
  <c r="EY66" i="6"/>
  <c r="FA66" i="6"/>
  <c r="FC66" i="6"/>
  <c r="FE66" i="6"/>
  <c r="FG66" i="6"/>
  <c r="FI66" i="6"/>
  <c r="FK66" i="6"/>
  <c r="FM66" i="6"/>
  <c r="FO66" i="6"/>
  <c r="FQ66" i="6"/>
  <c r="M67" i="6"/>
  <c r="O67" i="6"/>
  <c r="Q67" i="6"/>
  <c r="S67" i="6"/>
  <c r="U67" i="6"/>
  <c r="W67" i="6"/>
  <c r="Y67" i="6"/>
  <c r="AA67" i="6"/>
  <c r="AC67" i="6"/>
  <c r="AE67" i="6"/>
  <c r="AG67" i="6"/>
  <c r="AI67" i="6"/>
  <c r="AK67" i="6"/>
  <c r="AM67" i="6"/>
  <c r="AO67" i="6"/>
  <c r="AQ67" i="6"/>
  <c r="AS67" i="6"/>
  <c r="AU67" i="6"/>
  <c r="AW67" i="6"/>
  <c r="AY67" i="6"/>
  <c r="BA67" i="6"/>
  <c r="BC67" i="6"/>
  <c r="BE67" i="6"/>
  <c r="BG67" i="6"/>
  <c r="BI67" i="6"/>
  <c r="BK67" i="6"/>
  <c r="BM67" i="6"/>
  <c r="BO67" i="6"/>
  <c r="BQ67" i="6"/>
  <c r="BS67" i="6"/>
  <c r="BU67" i="6"/>
  <c r="BW67" i="6"/>
  <c r="BY67" i="6"/>
  <c r="CA67" i="6"/>
  <c r="CC67" i="6"/>
  <c r="CE67" i="6"/>
  <c r="CG67" i="6"/>
  <c r="CI67" i="6"/>
  <c r="CK67" i="6"/>
  <c r="CM67" i="6"/>
  <c r="CO67" i="6"/>
  <c r="CQ67" i="6"/>
  <c r="CS67" i="6"/>
  <c r="CU67" i="6"/>
  <c r="CW67" i="6"/>
  <c r="CY67" i="6"/>
  <c r="DA67" i="6"/>
  <c r="DC67" i="6"/>
  <c r="DE67" i="6"/>
  <c r="DG67" i="6"/>
  <c r="DI67" i="6"/>
  <c r="DK67" i="6"/>
  <c r="DM67" i="6"/>
  <c r="DO67" i="6"/>
  <c r="DQ67" i="6"/>
  <c r="DS67" i="6"/>
  <c r="DU67" i="6"/>
  <c r="DW67" i="6"/>
  <c r="DY67" i="6"/>
  <c r="EA67" i="6"/>
  <c r="EC67" i="6"/>
  <c r="EE67" i="6"/>
  <c r="EG67" i="6"/>
  <c r="EI67" i="6"/>
  <c r="EK67" i="6"/>
  <c r="EM67" i="6"/>
  <c r="EO67" i="6"/>
  <c r="EQ67" i="6"/>
  <c r="ES67" i="6"/>
  <c r="EU67" i="6"/>
  <c r="EW67" i="6"/>
  <c r="EY67" i="6"/>
  <c r="FA67" i="6"/>
  <c r="FC67" i="6"/>
  <c r="FE67" i="6"/>
  <c r="FG67" i="6"/>
  <c r="FI67" i="6"/>
  <c r="FK67" i="6"/>
  <c r="FM67" i="6"/>
  <c r="FO67" i="6"/>
  <c r="FQ67" i="6"/>
  <c r="M68" i="6"/>
  <c r="O68" i="6"/>
  <c r="Q68" i="6"/>
  <c r="S68" i="6"/>
  <c r="U68" i="6"/>
  <c r="W68" i="6"/>
  <c r="Y68" i="6"/>
  <c r="AA68" i="6"/>
  <c r="AC68" i="6"/>
  <c r="AE68" i="6"/>
  <c r="AG68" i="6"/>
  <c r="AI68" i="6"/>
  <c r="AK68" i="6"/>
  <c r="AM68" i="6"/>
  <c r="AO68" i="6"/>
  <c r="AQ68" i="6"/>
  <c r="AS68" i="6"/>
  <c r="AU68" i="6"/>
  <c r="AW68" i="6"/>
  <c r="AY68" i="6"/>
  <c r="BA68" i="6"/>
  <c r="BC68" i="6"/>
  <c r="BE68" i="6"/>
  <c r="BG68" i="6"/>
  <c r="BI68" i="6"/>
  <c r="BK68" i="6"/>
  <c r="BM68" i="6"/>
  <c r="BO68" i="6"/>
  <c r="BQ68" i="6"/>
  <c r="BS68" i="6"/>
  <c r="BU68" i="6"/>
  <c r="BW68" i="6"/>
  <c r="BY68" i="6"/>
  <c r="CA68" i="6"/>
  <c r="CC68" i="6"/>
  <c r="CE68" i="6"/>
  <c r="CG68" i="6"/>
  <c r="CI68" i="6"/>
  <c r="CK68" i="6"/>
  <c r="CM68" i="6"/>
  <c r="CO68" i="6"/>
  <c r="CQ68" i="6"/>
  <c r="CS68" i="6"/>
  <c r="CU68" i="6"/>
  <c r="CW68" i="6"/>
  <c r="CY68" i="6"/>
  <c r="DA68" i="6"/>
  <c r="DC68" i="6"/>
  <c r="DE68" i="6"/>
  <c r="DG68" i="6"/>
  <c r="DI68" i="6"/>
  <c r="DK68" i="6"/>
  <c r="DM68" i="6"/>
  <c r="DO68" i="6"/>
  <c r="DQ68" i="6"/>
  <c r="DS68" i="6"/>
  <c r="DU68" i="6"/>
  <c r="DW68" i="6"/>
  <c r="DY68" i="6"/>
  <c r="EA68" i="6"/>
  <c r="EC68" i="6"/>
  <c r="EE68" i="6"/>
  <c r="EG68" i="6"/>
  <c r="EI68" i="6"/>
  <c r="EK68" i="6"/>
  <c r="EM68" i="6"/>
  <c r="EO68" i="6"/>
  <c r="EQ68" i="6"/>
  <c r="ES68" i="6"/>
  <c r="EU68" i="6"/>
  <c r="EW68" i="6"/>
  <c r="EY68" i="6"/>
  <c r="FA68" i="6"/>
  <c r="FC68" i="6"/>
  <c r="FE68" i="6"/>
  <c r="FG68" i="6"/>
  <c r="FI68" i="6"/>
  <c r="FK68" i="6"/>
  <c r="FM68" i="6"/>
  <c r="FO68" i="6"/>
  <c r="FQ68" i="6"/>
  <c r="M69" i="6"/>
  <c r="O69" i="6"/>
  <c r="Q69" i="6"/>
  <c r="S69" i="6"/>
  <c r="U69" i="6"/>
  <c r="W69" i="6"/>
  <c r="Y69" i="6"/>
  <c r="AA69" i="6"/>
  <c r="AC69" i="6"/>
  <c r="AE69" i="6"/>
  <c r="AG69" i="6"/>
  <c r="AI69" i="6"/>
  <c r="AK69" i="6"/>
  <c r="AM69" i="6"/>
  <c r="AO69" i="6"/>
  <c r="AQ69" i="6"/>
  <c r="AS69" i="6"/>
  <c r="AU69" i="6"/>
  <c r="AW69" i="6"/>
  <c r="AY69" i="6"/>
  <c r="BA69" i="6"/>
  <c r="BC69" i="6"/>
  <c r="BE69" i="6"/>
  <c r="BG69" i="6"/>
  <c r="BI69" i="6"/>
  <c r="BK69" i="6"/>
  <c r="BM69" i="6"/>
  <c r="BO69" i="6"/>
  <c r="BQ69" i="6"/>
  <c r="BS69" i="6"/>
  <c r="BU69" i="6"/>
  <c r="BW69" i="6"/>
  <c r="BY69" i="6"/>
  <c r="CA69" i="6"/>
  <c r="CC69" i="6"/>
  <c r="CE69" i="6"/>
  <c r="CG69" i="6"/>
  <c r="CI69" i="6"/>
  <c r="CK69" i="6"/>
  <c r="CM69" i="6"/>
  <c r="CO69" i="6"/>
  <c r="CQ69" i="6"/>
  <c r="CS69" i="6"/>
  <c r="CU69" i="6"/>
  <c r="CW69" i="6"/>
  <c r="CY69" i="6"/>
  <c r="DA69" i="6"/>
  <c r="DC69" i="6"/>
  <c r="DE69" i="6"/>
  <c r="DG69" i="6"/>
  <c r="DI69" i="6"/>
  <c r="DK69" i="6"/>
  <c r="DM69" i="6"/>
  <c r="DO69" i="6"/>
  <c r="DQ69" i="6"/>
  <c r="DS69" i="6"/>
  <c r="DU69" i="6"/>
  <c r="DW69" i="6"/>
  <c r="DY69" i="6"/>
  <c r="EA69" i="6"/>
  <c r="EC69" i="6"/>
  <c r="EE69" i="6"/>
  <c r="EG69" i="6"/>
  <c r="EI69" i="6"/>
  <c r="EK69" i="6"/>
  <c r="EM69" i="6"/>
  <c r="EO69" i="6"/>
  <c r="EQ69" i="6"/>
  <c r="ES69" i="6"/>
  <c r="EU69" i="6"/>
  <c r="EW69" i="6"/>
  <c r="EY69" i="6"/>
  <c r="FA69" i="6"/>
  <c r="FC69" i="6"/>
  <c r="FE69" i="6"/>
  <c r="FG69" i="6"/>
  <c r="FI69" i="6"/>
  <c r="FK69" i="6"/>
  <c r="FM69" i="6"/>
  <c r="FO69" i="6"/>
  <c r="FQ69" i="6"/>
  <c r="M70" i="6"/>
  <c r="O70" i="6"/>
  <c r="Q70" i="6"/>
  <c r="S70" i="6"/>
  <c r="U70" i="6"/>
  <c r="W70" i="6"/>
  <c r="Y70" i="6"/>
  <c r="AA70" i="6"/>
  <c r="AC70" i="6"/>
  <c r="AE70" i="6"/>
  <c r="AG70" i="6"/>
  <c r="AI70" i="6"/>
  <c r="AK70" i="6"/>
  <c r="AM70" i="6"/>
  <c r="AO70" i="6"/>
  <c r="AQ70" i="6"/>
  <c r="AS70" i="6"/>
  <c r="AU70" i="6"/>
  <c r="AW70" i="6"/>
  <c r="AY70" i="6"/>
  <c r="BA70" i="6"/>
  <c r="BC70" i="6"/>
  <c r="BE70" i="6"/>
  <c r="BG70" i="6"/>
  <c r="BI70" i="6"/>
  <c r="BK70" i="6"/>
  <c r="BM70" i="6"/>
  <c r="BO70" i="6"/>
  <c r="BQ70" i="6"/>
  <c r="BS70" i="6"/>
  <c r="BU70" i="6"/>
  <c r="BW70" i="6"/>
  <c r="BY70" i="6"/>
  <c r="CA70" i="6"/>
  <c r="CC70" i="6"/>
  <c r="CE70" i="6"/>
  <c r="CG70" i="6"/>
  <c r="CI70" i="6"/>
  <c r="CK70" i="6"/>
  <c r="CM70" i="6"/>
  <c r="CO70" i="6"/>
  <c r="CQ70" i="6"/>
  <c r="CS70" i="6"/>
  <c r="CU70" i="6"/>
  <c r="CW70" i="6"/>
  <c r="CY70" i="6"/>
  <c r="DA70" i="6"/>
  <c r="DC70" i="6"/>
  <c r="DE70" i="6"/>
  <c r="DG70" i="6"/>
  <c r="DI70" i="6"/>
  <c r="DK70" i="6"/>
  <c r="DM70" i="6"/>
  <c r="DO70" i="6"/>
  <c r="DQ70" i="6"/>
  <c r="DS70" i="6"/>
  <c r="DU70" i="6"/>
  <c r="DW70" i="6"/>
  <c r="DY70" i="6"/>
  <c r="EA70" i="6"/>
  <c r="EC70" i="6"/>
  <c r="EE70" i="6"/>
  <c r="EG70" i="6"/>
  <c r="EI70" i="6"/>
  <c r="EK70" i="6"/>
  <c r="EM70" i="6"/>
  <c r="EO70" i="6"/>
  <c r="EQ70" i="6"/>
  <c r="ES70" i="6"/>
  <c r="EU70" i="6"/>
  <c r="EW70" i="6"/>
  <c r="EY70" i="6"/>
  <c r="FA70" i="6"/>
  <c r="FC70" i="6"/>
  <c r="FE70" i="6"/>
  <c r="FG70" i="6"/>
  <c r="FI70" i="6"/>
  <c r="FK70" i="6"/>
  <c r="FM70" i="6"/>
  <c r="FO70" i="6"/>
  <c r="FQ70" i="6"/>
  <c r="M71" i="6"/>
  <c r="O71" i="6"/>
  <c r="Q71" i="6"/>
  <c r="S71" i="6"/>
  <c r="U71" i="6"/>
  <c r="W71" i="6"/>
  <c r="Y71" i="6"/>
  <c r="AA71" i="6"/>
  <c r="AC71" i="6"/>
  <c r="AE71" i="6"/>
  <c r="AG71" i="6"/>
  <c r="AI71" i="6"/>
  <c r="AK71" i="6"/>
  <c r="AM71" i="6"/>
  <c r="AO71" i="6"/>
  <c r="AQ71" i="6"/>
  <c r="AS71" i="6"/>
  <c r="AU71" i="6"/>
  <c r="AW71" i="6"/>
  <c r="AY71" i="6"/>
  <c r="BA71" i="6"/>
  <c r="BC71" i="6"/>
  <c r="BE71" i="6"/>
  <c r="BG71" i="6"/>
  <c r="BI71" i="6"/>
  <c r="BK71" i="6"/>
  <c r="BM71" i="6"/>
  <c r="BO71" i="6"/>
  <c r="BQ71" i="6"/>
  <c r="BS71" i="6"/>
  <c r="BU71" i="6"/>
  <c r="BW71" i="6"/>
  <c r="BY71" i="6"/>
  <c r="CA71" i="6"/>
  <c r="CC71" i="6"/>
  <c r="CE71" i="6"/>
  <c r="CG71" i="6"/>
  <c r="CI71" i="6"/>
  <c r="CK71" i="6"/>
  <c r="CM71" i="6"/>
  <c r="CO71" i="6"/>
  <c r="CQ71" i="6"/>
  <c r="CS71" i="6"/>
  <c r="CU71" i="6"/>
  <c r="CW71" i="6"/>
  <c r="CY71" i="6"/>
  <c r="DA71" i="6"/>
  <c r="DC71" i="6"/>
  <c r="DE71" i="6"/>
  <c r="DG71" i="6"/>
  <c r="DI71" i="6"/>
  <c r="DK71" i="6"/>
  <c r="DM71" i="6"/>
  <c r="DO71" i="6"/>
  <c r="DQ71" i="6"/>
  <c r="DS71" i="6"/>
  <c r="DU71" i="6"/>
  <c r="DW71" i="6"/>
  <c r="DY71" i="6"/>
  <c r="EA71" i="6"/>
  <c r="EC71" i="6"/>
  <c r="EE71" i="6"/>
  <c r="EG71" i="6"/>
  <c r="EI71" i="6"/>
  <c r="EK71" i="6"/>
  <c r="EM71" i="6"/>
  <c r="EO71" i="6"/>
  <c r="EQ71" i="6"/>
  <c r="ES71" i="6"/>
  <c r="EU71" i="6"/>
  <c r="EW71" i="6"/>
  <c r="EY71" i="6"/>
  <c r="FA71" i="6"/>
  <c r="FC71" i="6"/>
  <c r="FE71" i="6"/>
  <c r="FG71" i="6"/>
  <c r="FI71" i="6"/>
  <c r="FK71" i="6"/>
  <c r="FM71" i="6"/>
  <c r="FO71" i="6"/>
  <c r="FQ71" i="6"/>
  <c r="M72" i="6"/>
  <c r="O72" i="6"/>
  <c r="Q72" i="6"/>
  <c r="S72" i="6"/>
  <c r="U72" i="6"/>
  <c r="W72" i="6"/>
  <c r="Y72" i="6"/>
  <c r="AA72" i="6"/>
  <c r="AC72" i="6"/>
  <c r="AE72" i="6"/>
  <c r="AG72" i="6"/>
  <c r="AI72" i="6"/>
  <c r="AK72" i="6"/>
  <c r="AM72" i="6"/>
  <c r="AO72" i="6"/>
  <c r="AQ72" i="6"/>
  <c r="AS72" i="6"/>
  <c r="AU72" i="6"/>
  <c r="AW72" i="6"/>
  <c r="AY72" i="6"/>
  <c r="BA72" i="6"/>
  <c r="BC72" i="6"/>
  <c r="BE72" i="6"/>
  <c r="BG72" i="6"/>
  <c r="BI72" i="6"/>
  <c r="BK72" i="6"/>
  <c r="BM72" i="6"/>
  <c r="BO72" i="6"/>
  <c r="BQ72" i="6"/>
  <c r="BS72" i="6"/>
  <c r="BU72" i="6"/>
  <c r="BW72" i="6"/>
  <c r="BY72" i="6"/>
  <c r="CA72" i="6"/>
  <c r="CC72" i="6"/>
  <c r="CE72" i="6"/>
  <c r="CG72" i="6"/>
  <c r="CI72" i="6"/>
  <c r="CK72" i="6"/>
  <c r="CM72" i="6"/>
  <c r="CO72" i="6"/>
  <c r="CQ72" i="6"/>
  <c r="CS72" i="6"/>
  <c r="CU72" i="6"/>
  <c r="CW72" i="6"/>
  <c r="CY72" i="6"/>
  <c r="DA72" i="6"/>
  <c r="DC72" i="6"/>
  <c r="DE72" i="6"/>
  <c r="DG72" i="6"/>
  <c r="DI72" i="6"/>
  <c r="DK72" i="6"/>
  <c r="DM72" i="6"/>
  <c r="DO72" i="6"/>
  <c r="DQ72" i="6"/>
  <c r="DS72" i="6"/>
  <c r="DU72" i="6"/>
  <c r="DW72" i="6"/>
  <c r="DY72" i="6"/>
  <c r="EA72" i="6"/>
  <c r="EC72" i="6"/>
  <c r="EE72" i="6"/>
  <c r="EG72" i="6"/>
  <c r="EI72" i="6"/>
  <c r="EK72" i="6"/>
  <c r="EM72" i="6"/>
  <c r="EO72" i="6"/>
  <c r="EQ72" i="6"/>
  <c r="ES72" i="6"/>
  <c r="EU72" i="6"/>
  <c r="EW72" i="6"/>
  <c r="EY72" i="6"/>
  <c r="FA72" i="6"/>
  <c r="FC72" i="6"/>
  <c r="FE72" i="6"/>
  <c r="FG72" i="6"/>
  <c r="FI72" i="6"/>
  <c r="FK72" i="6"/>
  <c r="FM72" i="6"/>
  <c r="FO72" i="6"/>
  <c r="FQ72" i="6"/>
  <c r="M73" i="6"/>
  <c r="O73" i="6"/>
  <c r="Q73" i="6"/>
  <c r="S73" i="6"/>
  <c r="U73" i="6"/>
  <c r="W73" i="6"/>
  <c r="Y73" i="6"/>
  <c r="AA73" i="6"/>
  <c r="AC73" i="6"/>
  <c r="AE73" i="6"/>
  <c r="AG73" i="6"/>
  <c r="AI73" i="6"/>
  <c r="AK73" i="6"/>
  <c r="AM73" i="6"/>
  <c r="AO73" i="6"/>
  <c r="AQ73" i="6"/>
  <c r="AS73" i="6"/>
  <c r="AU73" i="6"/>
  <c r="AW73" i="6"/>
  <c r="AY73" i="6"/>
  <c r="BA73" i="6"/>
  <c r="BC73" i="6"/>
  <c r="BE73" i="6"/>
  <c r="BG73" i="6"/>
  <c r="BI73" i="6"/>
  <c r="BK73" i="6"/>
  <c r="BM73" i="6"/>
  <c r="BO73" i="6"/>
  <c r="BQ73" i="6"/>
  <c r="BS73" i="6"/>
  <c r="BU73" i="6"/>
  <c r="BW73" i="6"/>
  <c r="BY73" i="6"/>
  <c r="CA73" i="6"/>
  <c r="CC73" i="6"/>
  <c r="CE73" i="6"/>
  <c r="CG73" i="6"/>
  <c r="CI73" i="6"/>
  <c r="CK73" i="6"/>
  <c r="CM73" i="6"/>
  <c r="CO73" i="6"/>
  <c r="CQ73" i="6"/>
  <c r="CS73" i="6"/>
  <c r="CU73" i="6"/>
  <c r="CW73" i="6"/>
  <c r="CY73" i="6"/>
  <c r="DA73" i="6"/>
  <c r="DC73" i="6"/>
  <c r="DE73" i="6"/>
  <c r="DG73" i="6"/>
  <c r="DI73" i="6"/>
  <c r="DK73" i="6"/>
  <c r="DM73" i="6"/>
  <c r="DO73" i="6"/>
  <c r="DQ73" i="6"/>
  <c r="DS73" i="6"/>
  <c r="DU73" i="6"/>
  <c r="DW73" i="6"/>
  <c r="DY73" i="6"/>
  <c r="EA73" i="6"/>
  <c r="EC73" i="6"/>
  <c r="EE73" i="6"/>
  <c r="EG73" i="6"/>
  <c r="EI73" i="6"/>
  <c r="EK73" i="6"/>
  <c r="EM73" i="6"/>
  <c r="EO73" i="6"/>
  <c r="EQ73" i="6"/>
  <c r="ES73" i="6"/>
  <c r="EU73" i="6"/>
  <c r="EW73" i="6"/>
  <c r="EY73" i="6"/>
  <c r="FA73" i="6"/>
  <c r="FC73" i="6"/>
  <c r="FE73" i="6"/>
  <c r="FG73" i="6"/>
  <c r="FI73" i="6"/>
  <c r="FK73" i="6"/>
  <c r="FM73" i="6"/>
  <c r="FO73" i="6"/>
  <c r="FQ73" i="6"/>
  <c r="M74" i="6"/>
  <c r="O74" i="6"/>
  <c r="Q74" i="6"/>
  <c r="S74" i="6"/>
  <c r="U74" i="6"/>
  <c r="W74" i="6"/>
  <c r="Y74" i="6"/>
  <c r="AA74" i="6"/>
  <c r="AC74" i="6"/>
  <c r="AE74" i="6"/>
  <c r="AG74" i="6"/>
  <c r="AI74" i="6"/>
  <c r="AK74" i="6"/>
  <c r="AM74" i="6"/>
  <c r="AO74" i="6"/>
  <c r="AQ74" i="6"/>
  <c r="AS74" i="6"/>
  <c r="AU74" i="6"/>
  <c r="AW74" i="6"/>
  <c r="AY74" i="6"/>
  <c r="BA74" i="6"/>
  <c r="BC74" i="6"/>
  <c r="BE74" i="6"/>
  <c r="BG74" i="6"/>
  <c r="BI74" i="6"/>
  <c r="BK74" i="6"/>
  <c r="BM74" i="6"/>
  <c r="BO74" i="6"/>
  <c r="BQ74" i="6"/>
  <c r="BS74" i="6"/>
  <c r="BU74" i="6"/>
  <c r="BW74" i="6"/>
  <c r="BY74" i="6"/>
  <c r="CA74" i="6"/>
  <c r="CC74" i="6"/>
  <c r="CE74" i="6"/>
  <c r="CG74" i="6"/>
  <c r="CI74" i="6"/>
  <c r="CK74" i="6"/>
  <c r="CM74" i="6"/>
  <c r="CO74" i="6"/>
  <c r="CQ74" i="6"/>
  <c r="CS74" i="6"/>
  <c r="CU74" i="6"/>
  <c r="CW74" i="6"/>
  <c r="CY74" i="6"/>
  <c r="DA74" i="6"/>
  <c r="DC74" i="6"/>
  <c r="DE74" i="6"/>
  <c r="DG74" i="6"/>
  <c r="DI74" i="6"/>
  <c r="DK74" i="6"/>
  <c r="DM74" i="6"/>
  <c r="DO74" i="6"/>
  <c r="DQ74" i="6"/>
  <c r="DS74" i="6"/>
  <c r="DU74" i="6"/>
  <c r="DW74" i="6"/>
  <c r="DY74" i="6"/>
  <c r="EA74" i="6"/>
  <c r="EC74" i="6"/>
  <c r="EE74" i="6"/>
  <c r="EG74" i="6"/>
  <c r="EI74" i="6"/>
  <c r="EK74" i="6"/>
  <c r="EM74" i="6"/>
  <c r="EO74" i="6"/>
  <c r="EQ74" i="6"/>
  <c r="ES74" i="6"/>
  <c r="EU74" i="6"/>
  <c r="EW74" i="6"/>
  <c r="EY74" i="6"/>
  <c r="FA74" i="6"/>
  <c r="FC74" i="6"/>
  <c r="FE74" i="6"/>
  <c r="FG74" i="6"/>
  <c r="FI74" i="6"/>
  <c r="FK74" i="6"/>
  <c r="FM74" i="6"/>
  <c r="FO74" i="6"/>
  <c r="FQ74" i="6"/>
  <c r="M75" i="6"/>
  <c r="O75" i="6"/>
  <c r="Q75" i="6"/>
  <c r="S75" i="6"/>
  <c r="U75" i="6"/>
  <c r="W75" i="6"/>
  <c r="Y75" i="6"/>
  <c r="AA75" i="6"/>
  <c r="AC75" i="6"/>
  <c r="AE75" i="6"/>
  <c r="AG75" i="6"/>
  <c r="AI75" i="6"/>
  <c r="AK75" i="6"/>
  <c r="AM75" i="6"/>
  <c r="AO75" i="6"/>
  <c r="AQ75" i="6"/>
  <c r="AS75" i="6"/>
  <c r="AU75" i="6"/>
  <c r="AW75" i="6"/>
  <c r="AY75" i="6"/>
  <c r="BA75" i="6"/>
  <c r="BC75" i="6"/>
  <c r="BE75" i="6"/>
  <c r="BG75" i="6"/>
  <c r="BI75" i="6"/>
  <c r="BK75" i="6"/>
  <c r="BM75" i="6"/>
  <c r="BO75" i="6"/>
  <c r="BQ75" i="6"/>
  <c r="BS75" i="6"/>
  <c r="BU75" i="6"/>
  <c r="BW75" i="6"/>
  <c r="BY75" i="6"/>
  <c r="CA75" i="6"/>
  <c r="CC75" i="6"/>
  <c r="CE75" i="6"/>
  <c r="CG75" i="6"/>
  <c r="CI75" i="6"/>
  <c r="CK75" i="6"/>
  <c r="CM75" i="6"/>
  <c r="CO75" i="6"/>
  <c r="CQ75" i="6"/>
  <c r="CS75" i="6"/>
  <c r="CU75" i="6"/>
  <c r="CW75" i="6"/>
  <c r="CY75" i="6"/>
  <c r="DA75" i="6"/>
  <c r="DC75" i="6"/>
  <c r="DE75" i="6"/>
  <c r="DG75" i="6"/>
  <c r="DI75" i="6"/>
  <c r="DK75" i="6"/>
  <c r="DM75" i="6"/>
  <c r="DO75" i="6"/>
  <c r="DQ75" i="6"/>
  <c r="DS75" i="6"/>
  <c r="DU75" i="6"/>
  <c r="DW75" i="6"/>
  <c r="DY75" i="6"/>
  <c r="EA75" i="6"/>
  <c r="EC75" i="6"/>
  <c r="EE75" i="6"/>
  <c r="EG75" i="6"/>
  <c r="EI75" i="6"/>
  <c r="EK75" i="6"/>
  <c r="EM75" i="6"/>
  <c r="EO75" i="6"/>
  <c r="EQ75" i="6"/>
  <c r="ES75" i="6"/>
  <c r="EU75" i="6"/>
  <c r="EW75" i="6"/>
  <c r="EY75" i="6"/>
  <c r="FA75" i="6"/>
  <c r="FC75" i="6"/>
  <c r="FE75" i="6"/>
  <c r="FG75" i="6"/>
  <c r="FI75" i="6"/>
  <c r="FK75" i="6"/>
  <c r="FM75" i="6"/>
  <c r="FO75" i="6"/>
  <c r="FQ75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15" i="6"/>
  <c r="K14" i="6"/>
  <c r="K13" i="6"/>
  <c r="K12" i="6"/>
  <c r="K11" i="6"/>
  <c r="K10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0" i="6"/>
  <c r="FQ15" i="6"/>
  <c r="FQ14" i="6"/>
  <c r="FQ13" i="6"/>
  <c r="FQ12" i="6"/>
  <c r="FQ11" i="6"/>
  <c r="FQ10" i="6"/>
  <c r="FO15" i="6"/>
  <c r="FO14" i="6"/>
  <c r="FO13" i="6"/>
  <c r="FO12" i="6"/>
  <c r="FO11" i="6"/>
  <c r="FO10" i="6"/>
  <c r="FM15" i="6"/>
  <c r="FM14" i="6"/>
  <c r="FM13" i="6"/>
  <c r="FM12" i="6"/>
  <c r="FM11" i="6"/>
  <c r="FM10" i="6"/>
  <c r="FK15" i="6"/>
  <c r="FK14" i="6"/>
  <c r="FK13" i="6"/>
  <c r="FK12" i="6"/>
  <c r="FK11" i="6"/>
  <c r="FK10" i="6"/>
  <c r="FI15" i="6"/>
  <c r="FI14" i="6"/>
  <c r="FI13" i="6"/>
  <c r="FI12" i="6"/>
  <c r="FI11" i="6"/>
  <c r="FI10" i="6"/>
  <c r="FG15" i="6"/>
  <c r="FG14" i="6"/>
  <c r="FG13" i="6"/>
  <c r="FG12" i="6"/>
  <c r="FG11" i="6"/>
  <c r="FG10" i="6"/>
  <c r="FE15" i="6"/>
  <c r="FE14" i="6"/>
  <c r="FE13" i="6"/>
  <c r="FE12" i="6"/>
  <c r="FE11" i="6"/>
  <c r="FE10" i="6"/>
  <c r="FC15" i="6"/>
  <c r="FC14" i="6"/>
  <c r="FC13" i="6"/>
  <c r="FC12" i="6"/>
  <c r="FC11" i="6"/>
  <c r="FC10" i="6"/>
  <c r="FA15" i="6"/>
  <c r="FA14" i="6"/>
  <c r="FA13" i="6"/>
  <c r="FA12" i="6"/>
  <c r="FA11" i="6"/>
  <c r="FA10" i="6"/>
  <c r="EY15" i="6"/>
  <c r="EY14" i="6"/>
  <c r="EY13" i="6"/>
  <c r="EY12" i="6"/>
  <c r="EY11" i="6"/>
  <c r="EY10" i="6"/>
  <c r="EW15" i="6"/>
  <c r="EW14" i="6"/>
  <c r="EW13" i="6"/>
  <c r="EW12" i="6"/>
  <c r="EW11" i="6"/>
  <c r="EW10" i="6"/>
  <c r="EU15" i="6"/>
  <c r="EU14" i="6"/>
  <c r="EU13" i="6"/>
  <c r="EU12" i="6"/>
  <c r="EU11" i="6"/>
  <c r="EU10" i="6"/>
  <c r="ES15" i="6"/>
  <c r="ES14" i="6"/>
  <c r="ES13" i="6"/>
  <c r="ES12" i="6"/>
  <c r="ES11" i="6"/>
  <c r="ES10" i="6"/>
  <c r="EQ15" i="6"/>
  <c r="EQ14" i="6"/>
  <c r="EQ13" i="6"/>
  <c r="EQ12" i="6"/>
  <c r="EQ11" i="6"/>
  <c r="EQ10" i="6"/>
  <c r="EO15" i="6"/>
  <c r="EO14" i="6"/>
  <c r="EO13" i="6"/>
  <c r="EO12" i="6"/>
  <c r="EO11" i="6"/>
  <c r="EO10" i="6"/>
  <c r="EM15" i="6"/>
  <c r="EM14" i="6"/>
  <c r="EM13" i="6"/>
  <c r="EM12" i="6"/>
  <c r="EM11" i="6"/>
  <c r="EM10" i="6"/>
  <c r="EK15" i="6"/>
  <c r="EK14" i="6"/>
  <c r="EK13" i="6"/>
  <c r="EK12" i="6"/>
  <c r="EK11" i="6"/>
  <c r="EK10" i="6"/>
  <c r="EI15" i="6"/>
  <c r="EI14" i="6"/>
  <c r="EI13" i="6"/>
  <c r="EI12" i="6"/>
  <c r="EI11" i="6"/>
  <c r="EI10" i="6"/>
  <c r="EG15" i="6"/>
  <c r="EG14" i="6"/>
  <c r="EG13" i="6"/>
  <c r="EG12" i="6"/>
  <c r="EG11" i="6"/>
  <c r="EG10" i="6"/>
  <c r="EE15" i="6"/>
  <c r="EE14" i="6"/>
  <c r="EE13" i="6"/>
  <c r="EE12" i="6"/>
  <c r="EE11" i="6"/>
  <c r="EE10" i="6"/>
  <c r="EC15" i="6"/>
  <c r="EC14" i="6"/>
  <c r="EC13" i="6"/>
  <c r="EC12" i="6"/>
  <c r="EC11" i="6"/>
  <c r="EC10" i="6"/>
  <c r="EA15" i="6"/>
  <c r="EA14" i="6"/>
  <c r="EA13" i="6"/>
  <c r="EA12" i="6"/>
  <c r="EA11" i="6"/>
  <c r="EA10" i="6"/>
  <c r="DY15" i="6"/>
  <c r="DY14" i="6"/>
  <c r="DY13" i="6"/>
  <c r="DY12" i="6"/>
  <c r="DY11" i="6"/>
  <c r="DY10" i="6"/>
  <c r="DW15" i="6"/>
  <c r="DW14" i="6"/>
  <c r="DW13" i="6"/>
  <c r="DW12" i="6"/>
  <c r="DW11" i="6"/>
  <c r="DW10" i="6"/>
  <c r="DU15" i="6"/>
  <c r="DU14" i="6"/>
  <c r="DU13" i="6"/>
  <c r="DU12" i="6"/>
  <c r="DU11" i="6"/>
  <c r="DU10" i="6"/>
  <c r="DS15" i="6"/>
  <c r="DS14" i="6"/>
  <c r="DS13" i="6"/>
  <c r="DS12" i="6"/>
  <c r="DS11" i="6"/>
  <c r="DS10" i="6"/>
  <c r="DQ15" i="6"/>
  <c r="DQ14" i="6"/>
  <c r="DQ13" i="6"/>
  <c r="DQ12" i="6"/>
  <c r="DQ11" i="6"/>
  <c r="DQ10" i="6"/>
  <c r="DO15" i="6"/>
  <c r="DO14" i="6"/>
  <c r="DO13" i="6"/>
  <c r="DO12" i="6"/>
  <c r="DO11" i="6"/>
  <c r="DO10" i="6"/>
  <c r="DM15" i="6"/>
  <c r="DM14" i="6"/>
  <c r="DM13" i="6"/>
  <c r="DM12" i="6"/>
  <c r="DM11" i="6"/>
  <c r="DM10" i="6"/>
  <c r="DK15" i="6"/>
  <c r="DK14" i="6"/>
  <c r="DK13" i="6"/>
  <c r="DK12" i="6"/>
  <c r="DK11" i="6"/>
  <c r="DK10" i="6"/>
  <c r="DI15" i="6"/>
  <c r="DI14" i="6"/>
  <c r="DI13" i="6"/>
  <c r="DI12" i="6"/>
  <c r="DI11" i="6"/>
  <c r="DI10" i="6"/>
  <c r="DG15" i="6"/>
  <c r="DG14" i="6"/>
  <c r="DG13" i="6"/>
  <c r="DG12" i="6"/>
  <c r="DG11" i="6"/>
  <c r="DG10" i="6"/>
  <c r="DE15" i="6"/>
  <c r="DE14" i="6"/>
  <c r="DE13" i="6"/>
  <c r="DE12" i="6"/>
  <c r="DE11" i="6"/>
  <c r="DE10" i="6"/>
  <c r="DC15" i="6"/>
  <c r="DC14" i="6"/>
  <c r="DC13" i="6"/>
  <c r="DC12" i="6"/>
  <c r="DC11" i="6"/>
  <c r="DC10" i="6"/>
  <c r="DA15" i="6"/>
  <c r="DA14" i="6"/>
  <c r="DA13" i="6"/>
  <c r="DA12" i="6"/>
  <c r="DA11" i="6"/>
  <c r="DA10" i="6"/>
  <c r="CY15" i="6"/>
  <c r="CY14" i="6"/>
  <c r="CY13" i="6"/>
  <c r="CY12" i="6"/>
  <c r="CY11" i="6"/>
  <c r="CY10" i="6"/>
  <c r="CW15" i="6"/>
  <c r="CW14" i="6"/>
  <c r="CW13" i="6"/>
  <c r="CW12" i="6"/>
  <c r="CW11" i="6"/>
  <c r="CW10" i="6"/>
  <c r="CU15" i="6"/>
  <c r="CU14" i="6"/>
  <c r="CU13" i="6"/>
  <c r="CU12" i="6"/>
  <c r="CU11" i="6"/>
  <c r="CU10" i="6"/>
  <c r="CS15" i="6"/>
  <c r="CS14" i="6"/>
  <c r="CS13" i="6"/>
  <c r="CS12" i="6"/>
  <c r="CS11" i="6"/>
  <c r="CS10" i="6"/>
  <c r="CQ15" i="6"/>
  <c r="CQ14" i="6"/>
  <c r="CQ13" i="6"/>
  <c r="CQ12" i="6"/>
  <c r="CQ11" i="6"/>
  <c r="CQ10" i="6"/>
  <c r="CO15" i="6"/>
  <c r="CO14" i="6"/>
  <c r="CO13" i="6"/>
  <c r="CO12" i="6"/>
  <c r="CO11" i="6"/>
  <c r="CO10" i="6"/>
  <c r="CM15" i="6"/>
  <c r="CM14" i="6"/>
  <c r="CM13" i="6"/>
  <c r="CM12" i="6"/>
  <c r="CM11" i="6"/>
  <c r="CM10" i="6"/>
  <c r="CK15" i="6"/>
  <c r="CK14" i="6"/>
  <c r="CK13" i="6"/>
  <c r="CK12" i="6"/>
  <c r="CK11" i="6"/>
  <c r="CK10" i="6"/>
  <c r="CI15" i="6"/>
  <c r="CI14" i="6"/>
  <c r="CI13" i="6"/>
  <c r="CI12" i="6"/>
  <c r="CI11" i="6"/>
  <c r="CI10" i="6"/>
  <c r="CG15" i="6"/>
  <c r="CG14" i="6"/>
  <c r="CG13" i="6"/>
  <c r="CG12" i="6"/>
  <c r="CG11" i="6"/>
  <c r="CG10" i="6"/>
  <c r="CE15" i="6"/>
  <c r="CE14" i="6"/>
  <c r="CE13" i="6"/>
  <c r="CE12" i="6"/>
  <c r="CE11" i="6"/>
  <c r="CE10" i="6"/>
  <c r="CC15" i="6"/>
  <c r="CC14" i="6"/>
  <c r="CC13" i="6"/>
  <c r="CC12" i="6"/>
  <c r="CC11" i="6"/>
  <c r="CC10" i="6"/>
  <c r="CA15" i="6"/>
  <c r="CA14" i="6"/>
  <c r="CA13" i="6"/>
  <c r="CA12" i="6"/>
  <c r="CA11" i="6"/>
  <c r="CA10" i="6"/>
  <c r="BY15" i="6"/>
  <c r="BY14" i="6"/>
  <c r="BY13" i="6"/>
  <c r="BY12" i="6"/>
  <c r="BY11" i="6"/>
  <c r="BY10" i="6"/>
  <c r="BW15" i="6"/>
  <c r="BW14" i="6"/>
  <c r="BW13" i="6"/>
  <c r="BW12" i="6"/>
  <c r="BW11" i="6"/>
  <c r="BW10" i="6"/>
  <c r="BU15" i="6"/>
  <c r="BU14" i="6"/>
  <c r="BU13" i="6"/>
  <c r="BU12" i="6"/>
  <c r="BU11" i="6"/>
  <c r="BU10" i="6"/>
  <c r="BS15" i="6"/>
  <c r="BS14" i="6"/>
  <c r="BS13" i="6"/>
  <c r="BS12" i="6"/>
  <c r="BS11" i="6"/>
  <c r="BS10" i="6"/>
  <c r="BQ15" i="6"/>
  <c r="BQ14" i="6"/>
  <c r="BQ13" i="6"/>
  <c r="BQ12" i="6"/>
  <c r="BQ11" i="6"/>
  <c r="BQ10" i="6"/>
  <c r="BO15" i="6"/>
  <c r="BO14" i="6"/>
  <c r="BO13" i="6"/>
  <c r="BO12" i="6"/>
  <c r="BO11" i="6"/>
  <c r="BO10" i="6"/>
  <c r="BM15" i="6"/>
  <c r="BM14" i="6"/>
  <c r="BM13" i="6"/>
  <c r="BM12" i="6"/>
  <c r="BM11" i="6"/>
  <c r="BM10" i="6"/>
  <c r="BK15" i="6"/>
  <c r="BK14" i="6"/>
  <c r="BK13" i="6"/>
  <c r="BK12" i="6"/>
  <c r="BK11" i="6"/>
  <c r="BK10" i="6"/>
  <c r="BI15" i="6"/>
  <c r="BI14" i="6"/>
  <c r="BI13" i="6"/>
  <c r="BI12" i="6"/>
  <c r="BI11" i="6"/>
  <c r="BI10" i="6"/>
  <c r="BG15" i="6"/>
  <c r="BG14" i="6"/>
  <c r="BG13" i="6"/>
  <c r="BG12" i="6"/>
  <c r="BG11" i="6"/>
  <c r="BG10" i="6"/>
  <c r="BE15" i="6"/>
  <c r="BE14" i="6"/>
  <c r="BE13" i="6"/>
  <c r="BE12" i="6"/>
  <c r="BE11" i="6"/>
  <c r="BE10" i="6"/>
  <c r="BC15" i="6"/>
  <c r="BC14" i="6"/>
  <c r="BC13" i="6"/>
  <c r="BC12" i="6"/>
  <c r="BC11" i="6"/>
  <c r="BC10" i="6"/>
  <c r="BA15" i="6"/>
  <c r="BA14" i="6"/>
  <c r="BA13" i="6"/>
  <c r="BA12" i="6"/>
  <c r="BA11" i="6"/>
  <c r="BA10" i="6"/>
  <c r="AY15" i="6"/>
  <c r="AY14" i="6"/>
  <c r="AY13" i="6"/>
  <c r="AY12" i="6"/>
  <c r="AY11" i="6"/>
  <c r="AY10" i="6"/>
  <c r="AW15" i="6"/>
  <c r="AW14" i="6"/>
  <c r="AW13" i="6"/>
  <c r="AW12" i="6"/>
  <c r="AW11" i="6"/>
  <c r="AW10" i="6"/>
  <c r="AU15" i="6"/>
  <c r="AU14" i="6"/>
  <c r="AU13" i="6"/>
  <c r="AU12" i="6"/>
  <c r="AU11" i="6"/>
  <c r="AU10" i="6"/>
  <c r="AS15" i="6"/>
  <c r="AS14" i="6"/>
  <c r="AS13" i="6"/>
  <c r="AS12" i="6"/>
  <c r="AS11" i="6"/>
  <c r="AS10" i="6"/>
  <c r="AQ15" i="6"/>
  <c r="AQ14" i="6"/>
  <c r="AQ13" i="6"/>
  <c r="AQ12" i="6"/>
  <c r="AQ11" i="6"/>
  <c r="AQ10" i="6"/>
  <c r="AO15" i="6"/>
  <c r="AO14" i="6"/>
  <c r="AO13" i="6"/>
  <c r="AO12" i="6"/>
  <c r="AO11" i="6"/>
  <c r="AO10" i="6"/>
  <c r="AM15" i="6"/>
  <c r="AM14" i="6"/>
  <c r="AM13" i="6"/>
  <c r="AM12" i="6"/>
  <c r="AM11" i="6"/>
  <c r="AM10" i="6"/>
  <c r="AK15" i="6"/>
  <c r="AK14" i="6"/>
  <c r="AK13" i="6"/>
  <c r="AK12" i="6"/>
  <c r="AK11" i="6"/>
  <c r="AK10" i="6"/>
  <c r="AI15" i="6"/>
  <c r="AI14" i="6"/>
  <c r="AI13" i="6"/>
  <c r="AI12" i="6"/>
  <c r="AI11" i="6"/>
  <c r="AI10" i="6"/>
  <c r="AG15" i="6"/>
  <c r="AG14" i="6"/>
  <c r="AG13" i="6"/>
  <c r="AG12" i="6"/>
  <c r="AG11" i="6"/>
  <c r="AG10" i="6"/>
  <c r="AE15" i="6"/>
  <c r="AE14" i="6"/>
  <c r="AE13" i="6"/>
  <c r="AE12" i="6"/>
  <c r="AE11" i="6"/>
  <c r="AE10" i="6"/>
  <c r="AC15" i="6"/>
  <c r="AC14" i="6"/>
  <c r="AC13" i="6"/>
  <c r="AC12" i="6"/>
  <c r="AC11" i="6"/>
  <c r="AC10" i="6"/>
  <c r="AA15" i="6"/>
  <c r="AA14" i="6"/>
  <c r="AA13" i="6"/>
  <c r="AA12" i="6"/>
  <c r="AA11" i="6"/>
  <c r="AA10" i="6"/>
  <c r="Y15" i="6"/>
  <c r="Y14" i="6"/>
  <c r="Y13" i="6"/>
  <c r="Y12" i="6"/>
  <c r="Y11" i="6"/>
  <c r="Y10" i="6"/>
  <c r="W15" i="6"/>
  <c r="W14" i="6"/>
  <c r="W13" i="6"/>
  <c r="W12" i="6"/>
  <c r="W11" i="6"/>
  <c r="W10" i="6"/>
  <c r="U15" i="6"/>
  <c r="U14" i="6"/>
  <c r="U13" i="6"/>
  <c r="U12" i="6"/>
  <c r="U11" i="6"/>
  <c r="U10" i="6"/>
  <c r="S15" i="6"/>
  <c r="S14" i="6"/>
  <c r="S13" i="6"/>
  <c r="S12" i="6"/>
  <c r="S11" i="6"/>
  <c r="S10" i="6"/>
  <c r="Q15" i="6"/>
  <c r="Q14" i="6"/>
  <c r="Q13" i="6"/>
  <c r="Q12" i="6"/>
  <c r="Q11" i="6"/>
  <c r="Q10" i="6"/>
  <c r="O15" i="6"/>
  <c r="O14" i="6"/>
  <c r="O13" i="6"/>
  <c r="O12" i="6"/>
  <c r="O11" i="6"/>
  <c r="O10" i="6"/>
  <c r="M15" i="6"/>
  <c r="M14" i="6"/>
  <c r="M13" i="6"/>
  <c r="M12" i="6"/>
  <c r="M11" i="6"/>
  <c r="M10" i="6"/>
  <c r="I11" i="6"/>
  <c r="I12" i="6"/>
  <c r="I13" i="6"/>
  <c r="I14" i="6"/>
  <c r="I15" i="6"/>
  <c r="FQ9" i="6"/>
  <c r="FQ8" i="6"/>
  <c r="FQ7" i="6"/>
  <c r="FQ6" i="6"/>
  <c r="FQ5" i="6"/>
  <c r="FQ4" i="6"/>
  <c r="FQ76" i="6" s="1"/>
  <c r="FQ78" i="6" s="1"/>
  <c r="FQ79" i="6" s="1"/>
  <c r="FO9" i="6"/>
  <c r="FO8" i="6"/>
  <c r="FO7" i="6"/>
  <c r="FO6" i="6"/>
  <c r="FO5" i="6"/>
  <c r="FO4" i="6"/>
  <c r="FO76" i="6" s="1"/>
  <c r="FO78" i="6" s="1"/>
  <c r="FO79" i="6" s="1"/>
  <c r="FM9" i="6"/>
  <c r="FM8" i="6"/>
  <c r="FM7" i="6"/>
  <c r="FM6" i="6"/>
  <c r="FM5" i="6"/>
  <c r="FM4" i="6"/>
  <c r="FM76" i="6" s="1"/>
  <c r="FM78" i="6" s="1"/>
  <c r="FM79" i="6" s="1"/>
  <c r="FK9" i="6"/>
  <c r="FK8" i="6"/>
  <c r="FK7" i="6"/>
  <c r="FK6" i="6"/>
  <c r="FK5" i="6"/>
  <c r="FK4" i="6"/>
  <c r="FK76" i="6" s="1"/>
  <c r="FK78" i="6" s="1"/>
  <c r="FK79" i="6" s="1"/>
  <c r="FI9" i="6"/>
  <c r="FI8" i="6"/>
  <c r="FI7" i="6"/>
  <c r="FI6" i="6"/>
  <c r="FI5" i="6"/>
  <c r="FI4" i="6"/>
  <c r="FI76" i="6" s="1"/>
  <c r="FI78" i="6" s="1"/>
  <c r="FI79" i="6" s="1"/>
  <c r="FG9" i="6"/>
  <c r="FG8" i="6"/>
  <c r="FG7" i="6"/>
  <c r="FG6" i="6"/>
  <c r="FG5" i="6"/>
  <c r="FG4" i="6"/>
  <c r="FG76" i="6" s="1"/>
  <c r="FG78" i="6" s="1"/>
  <c r="FG79" i="6" s="1"/>
  <c r="FE9" i="6"/>
  <c r="FE8" i="6"/>
  <c r="FE7" i="6"/>
  <c r="FE6" i="6"/>
  <c r="FE5" i="6"/>
  <c r="FE4" i="6"/>
  <c r="FE76" i="6" s="1"/>
  <c r="FE78" i="6" s="1"/>
  <c r="FE79" i="6" s="1"/>
  <c r="FC9" i="6"/>
  <c r="FC8" i="6"/>
  <c r="FC7" i="6"/>
  <c r="FC6" i="6"/>
  <c r="FC5" i="6"/>
  <c r="FC4" i="6"/>
  <c r="FC76" i="6" s="1"/>
  <c r="FC78" i="6" s="1"/>
  <c r="FC79" i="6" s="1"/>
  <c r="FA9" i="6"/>
  <c r="FA8" i="6"/>
  <c r="FA7" i="6"/>
  <c r="FA6" i="6"/>
  <c r="FA5" i="6"/>
  <c r="FA4" i="6"/>
  <c r="FA76" i="6" s="1"/>
  <c r="FA78" i="6" s="1"/>
  <c r="FA79" i="6" s="1"/>
  <c r="EY9" i="6"/>
  <c r="EY8" i="6"/>
  <c r="EY7" i="6"/>
  <c r="EY6" i="6"/>
  <c r="EY5" i="6"/>
  <c r="EY4" i="6"/>
  <c r="EY76" i="6" s="1"/>
  <c r="EY78" i="6" s="1"/>
  <c r="EY79" i="6" s="1"/>
  <c r="EW9" i="6"/>
  <c r="EW8" i="6"/>
  <c r="EW7" i="6"/>
  <c r="EW6" i="6"/>
  <c r="EW5" i="6"/>
  <c r="EW4" i="6"/>
  <c r="EW76" i="6" s="1"/>
  <c r="EW78" i="6" s="1"/>
  <c r="EW79" i="6" s="1"/>
  <c r="EU9" i="6"/>
  <c r="EU8" i="6"/>
  <c r="EU7" i="6"/>
  <c r="EU6" i="6"/>
  <c r="EU5" i="6"/>
  <c r="EU4" i="6"/>
  <c r="EU76" i="6" s="1"/>
  <c r="EU78" i="6" s="1"/>
  <c r="EU79" i="6" s="1"/>
  <c r="ES9" i="6"/>
  <c r="ES8" i="6"/>
  <c r="ES7" i="6"/>
  <c r="ES6" i="6"/>
  <c r="ES5" i="6"/>
  <c r="ES4" i="6"/>
  <c r="ES76" i="6" s="1"/>
  <c r="ES78" i="6" s="1"/>
  <c r="ES79" i="6" s="1"/>
  <c r="EQ9" i="6"/>
  <c r="EQ8" i="6"/>
  <c r="EQ7" i="6"/>
  <c r="EQ6" i="6"/>
  <c r="EQ5" i="6"/>
  <c r="EQ4" i="6"/>
  <c r="EQ76" i="6" s="1"/>
  <c r="EQ78" i="6" s="1"/>
  <c r="EQ79" i="6" s="1"/>
  <c r="EO9" i="6"/>
  <c r="EO8" i="6"/>
  <c r="EO7" i="6"/>
  <c r="EO6" i="6"/>
  <c r="EO5" i="6"/>
  <c r="EO4" i="6"/>
  <c r="EO76" i="6" s="1"/>
  <c r="EO78" i="6" s="1"/>
  <c r="EO79" i="6" s="1"/>
  <c r="EM9" i="6"/>
  <c r="EM8" i="6"/>
  <c r="EM7" i="6"/>
  <c r="EM6" i="6"/>
  <c r="EM5" i="6"/>
  <c r="EM4" i="6"/>
  <c r="EM76" i="6" s="1"/>
  <c r="EM78" i="6" s="1"/>
  <c r="EM79" i="6" s="1"/>
  <c r="EK9" i="6"/>
  <c r="EK8" i="6"/>
  <c r="EK7" i="6"/>
  <c r="EK6" i="6"/>
  <c r="EK5" i="6"/>
  <c r="EK4" i="6"/>
  <c r="EK76" i="6" s="1"/>
  <c r="EK78" i="6" s="1"/>
  <c r="EK79" i="6" s="1"/>
  <c r="EI9" i="6"/>
  <c r="EI8" i="6"/>
  <c r="EI7" i="6"/>
  <c r="EI6" i="6"/>
  <c r="EI5" i="6"/>
  <c r="EI4" i="6"/>
  <c r="EI76" i="6" s="1"/>
  <c r="EI78" i="6" s="1"/>
  <c r="EI79" i="6" s="1"/>
  <c r="EG9" i="6"/>
  <c r="EG8" i="6"/>
  <c r="EG7" i="6"/>
  <c r="EG6" i="6"/>
  <c r="EG5" i="6"/>
  <c r="EG4" i="6"/>
  <c r="EG76" i="6" s="1"/>
  <c r="EG78" i="6" s="1"/>
  <c r="EG79" i="6" s="1"/>
  <c r="EE9" i="6"/>
  <c r="EE8" i="6"/>
  <c r="EE7" i="6"/>
  <c r="EE6" i="6"/>
  <c r="EE5" i="6"/>
  <c r="EE4" i="6"/>
  <c r="EE76" i="6" s="1"/>
  <c r="EE78" i="6" s="1"/>
  <c r="EE79" i="6" s="1"/>
  <c r="EC9" i="6"/>
  <c r="EC8" i="6"/>
  <c r="EC7" i="6"/>
  <c r="EC6" i="6"/>
  <c r="EC5" i="6"/>
  <c r="EC4" i="6"/>
  <c r="EC76" i="6" s="1"/>
  <c r="EC78" i="6" s="1"/>
  <c r="EC79" i="6" s="1"/>
  <c r="EA9" i="6"/>
  <c r="EA8" i="6"/>
  <c r="EA7" i="6"/>
  <c r="EA6" i="6"/>
  <c r="EA5" i="6"/>
  <c r="EA4" i="6"/>
  <c r="EA76" i="6" s="1"/>
  <c r="EA78" i="6" s="1"/>
  <c r="EA79" i="6" s="1"/>
  <c r="DY9" i="6"/>
  <c r="DY8" i="6"/>
  <c r="DY7" i="6"/>
  <c r="DY6" i="6"/>
  <c r="DY5" i="6"/>
  <c r="DY4" i="6"/>
  <c r="DY76" i="6" s="1"/>
  <c r="DY78" i="6" s="1"/>
  <c r="DY79" i="6" s="1"/>
  <c r="DW9" i="6"/>
  <c r="DW8" i="6"/>
  <c r="DW7" i="6"/>
  <c r="DW6" i="6"/>
  <c r="DW5" i="6"/>
  <c r="DW4" i="6"/>
  <c r="DW76" i="6" s="1"/>
  <c r="DW78" i="6" s="1"/>
  <c r="DW79" i="6" s="1"/>
  <c r="DU9" i="6"/>
  <c r="DU8" i="6"/>
  <c r="DU7" i="6"/>
  <c r="DU6" i="6"/>
  <c r="DU5" i="6"/>
  <c r="DU4" i="6"/>
  <c r="DU76" i="6" s="1"/>
  <c r="DU78" i="6" s="1"/>
  <c r="DU79" i="6" s="1"/>
  <c r="DS9" i="6"/>
  <c r="DS8" i="6"/>
  <c r="DS7" i="6"/>
  <c r="DS6" i="6"/>
  <c r="DS5" i="6"/>
  <c r="DS4" i="6"/>
  <c r="DS76" i="6" s="1"/>
  <c r="DS78" i="6" s="1"/>
  <c r="DS79" i="6" s="1"/>
  <c r="DQ9" i="6"/>
  <c r="DQ8" i="6"/>
  <c r="DQ7" i="6"/>
  <c r="DQ6" i="6"/>
  <c r="DQ5" i="6"/>
  <c r="DQ4" i="6"/>
  <c r="DQ76" i="6" s="1"/>
  <c r="DQ78" i="6" s="1"/>
  <c r="DQ79" i="6" s="1"/>
  <c r="DO9" i="6"/>
  <c r="DO8" i="6"/>
  <c r="DO7" i="6"/>
  <c r="DO6" i="6"/>
  <c r="DO5" i="6"/>
  <c r="DO4" i="6"/>
  <c r="DO76" i="6" s="1"/>
  <c r="DO78" i="6" s="1"/>
  <c r="DO79" i="6" s="1"/>
  <c r="DM9" i="6"/>
  <c r="DM8" i="6"/>
  <c r="DM7" i="6"/>
  <c r="DM6" i="6"/>
  <c r="DM5" i="6"/>
  <c r="DM4" i="6"/>
  <c r="DM76" i="6" s="1"/>
  <c r="DM78" i="6" s="1"/>
  <c r="DM79" i="6" s="1"/>
  <c r="DK9" i="6"/>
  <c r="DK8" i="6"/>
  <c r="DK7" i="6"/>
  <c r="DK6" i="6"/>
  <c r="DK5" i="6"/>
  <c r="DK4" i="6"/>
  <c r="DK76" i="6" s="1"/>
  <c r="DK78" i="6" s="1"/>
  <c r="DK79" i="6" s="1"/>
  <c r="DI9" i="6"/>
  <c r="DI8" i="6"/>
  <c r="DI7" i="6"/>
  <c r="DI6" i="6"/>
  <c r="DI5" i="6"/>
  <c r="DI4" i="6"/>
  <c r="DI76" i="6" s="1"/>
  <c r="DI78" i="6" s="1"/>
  <c r="DI79" i="6" s="1"/>
  <c r="DG9" i="6"/>
  <c r="DG8" i="6"/>
  <c r="DG7" i="6"/>
  <c r="DG6" i="6"/>
  <c r="DG5" i="6"/>
  <c r="DG4" i="6"/>
  <c r="DG76" i="6" s="1"/>
  <c r="DG78" i="6" s="1"/>
  <c r="DG79" i="6" s="1"/>
  <c r="DE9" i="6"/>
  <c r="DE8" i="6"/>
  <c r="DE7" i="6"/>
  <c r="DE6" i="6"/>
  <c r="DE5" i="6"/>
  <c r="DE4" i="6"/>
  <c r="DE76" i="6" s="1"/>
  <c r="DE78" i="6" s="1"/>
  <c r="DE79" i="6" s="1"/>
  <c r="DC9" i="6"/>
  <c r="DC8" i="6"/>
  <c r="DC7" i="6"/>
  <c r="DC6" i="6"/>
  <c r="DC5" i="6"/>
  <c r="DC4" i="6"/>
  <c r="DC76" i="6" s="1"/>
  <c r="DC78" i="6" s="1"/>
  <c r="DC79" i="6" s="1"/>
  <c r="DA9" i="6"/>
  <c r="DA8" i="6"/>
  <c r="DA7" i="6"/>
  <c r="DA6" i="6"/>
  <c r="DA5" i="6"/>
  <c r="DA4" i="6"/>
  <c r="DA76" i="6" s="1"/>
  <c r="DA78" i="6" s="1"/>
  <c r="DA79" i="6" s="1"/>
  <c r="CY9" i="6"/>
  <c r="CY8" i="6"/>
  <c r="CY7" i="6"/>
  <c r="CY6" i="6"/>
  <c r="CY5" i="6"/>
  <c r="CY4" i="6"/>
  <c r="CY76" i="6" s="1"/>
  <c r="CY78" i="6" s="1"/>
  <c r="CY79" i="6" s="1"/>
  <c r="CW9" i="6"/>
  <c r="CW8" i="6"/>
  <c r="CW7" i="6"/>
  <c r="CW6" i="6"/>
  <c r="CW5" i="6"/>
  <c r="CW4" i="6"/>
  <c r="CW76" i="6" s="1"/>
  <c r="CW78" i="6" s="1"/>
  <c r="CW79" i="6" s="1"/>
  <c r="CU9" i="6"/>
  <c r="CU8" i="6"/>
  <c r="CU7" i="6"/>
  <c r="CU6" i="6"/>
  <c r="CU5" i="6"/>
  <c r="CU4" i="6"/>
  <c r="CU76" i="6" s="1"/>
  <c r="CU78" i="6" s="1"/>
  <c r="CU79" i="6" s="1"/>
  <c r="CS9" i="6"/>
  <c r="CS8" i="6"/>
  <c r="CS7" i="6"/>
  <c r="CS6" i="6"/>
  <c r="CS5" i="6"/>
  <c r="CS4" i="6"/>
  <c r="CS76" i="6" s="1"/>
  <c r="CS78" i="6" s="1"/>
  <c r="CS79" i="6" s="1"/>
  <c r="CQ9" i="6"/>
  <c r="CQ8" i="6"/>
  <c r="CQ7" i="6"/>
  <c r="CQ6" i="6"/>
  <c r="CQ5" i="6"/>
  <c r="CQ4" i="6"/>
  <c r="CQ76" i="6" s="1"/>
  <c r="CQ78" i="6" s="1"/>
  <c r="CQ79" i="6" s="1"/>
  <c r="CO9" i="6"/>
  <c r="CO8" i="6"/>
  <c r="CO7" i="6"/>
  <c r="CO6" i="6"/>
  <c r="CO5" i="6"/>
  <c r="CO4" i="6"/>
  <c r="CO76" i="6" s="1"/>
  <c r="CO78" i="6" s="1"/>
  <c r="CO79" i="6" s="1"/>
  <c r="CM9" i="6"/>
  <c r="CM8" i="6"/>
  <c r="CM7" i="6"/>
  <c r="CM6" i="6"/>
  <c r="CM5" i="6"/>
  <c r="CM4" i="6"/>
  <c r="CM76" i="6" s="1"/>
  <c r="CM78" i="6" s="1"/>
  <c r="CM79" i="6" s="1"/>
  <c r="CK9" i="6"/>
  <c r="CK8" i="6"/>
  <c r="CK7" i="6"/>
  <c r="CK6" i="6"/>
  <c r="CK5" i="6"/>
  <c r="CK4" i="6"/>
  <c r="CK76" i="6" s="1"/>
  <c r="CK78" i="6" s="1"/>
  <c r="CK79" i="6" s="1"/>
  <c r="CI9" i="6"/>
  <c r="CI8" i="6"/>
  <c r="CI7" i="6"/>
  <c r="CI6" i="6"/>
  <c r="CI5" i="6"/>
  <c r="CI4" i="6"/>
  <c r="CI76" i="6" s="1"/>
  <c r="CI78" i="6" s="1"/>
  <c r="CI79" i="6" s="1"/>
  <c r="CG9" i="6"/>
  <c r="CG8" i="6"/>
  <c r="CG7" i="6"/>
  <c r="CG6" i="6"/>
  <c r="CG5" i="6"/>
  <c r="CG4" i="6"/>
  <c r="CG76" i="6" s="1"/>
  <c r="CG78" i="6" s="1"/>
  <c r="CG79" i="6" s="1"/>
  <c r="CE9" i="6"/>
  <c r="CE8" i="6"/>
  <c r="CE7" i="6"/>
  <c r="CE6" i="6"/>
  <c r="CE5" i="6"/>
  <c r="CE4" i="6"/>
  <c r="CE76" i="6" s="1"/>
  <c r="CE78" i="6" s="1"/>
  <c r="CE79" i="6" s="1"/>
  <c r="CC9" i="6"/>
  <c r="CC8" i="6"/>
  <c r="CC7" i="6"/>
  <c r="CC6" i="6"/>
  <c r="CC5" i="6"/>
  <c r="CC4" i="6"/>
  <c r="CC76" i="6" s="1"/>
  <c r="CC78" i="6" s="1"/>
  <c r="CC79" i="6" s="1"/>
  <c r="CA9" i="6"/>
  <c r="CA8" i="6"/>
  <c r="CA7" i="6"/>
  <c r="CA6" i="6"/>
  <c r="CA5" i="6"/>
  <c r="CA4" i="6"/>
  <c r="CA76" i="6" s="1"/>
  <c r="CA78" i="6" s="1"/>
  <c r="CA79" i="6" s="1"/>
  <c r="BY9" i="6"/>
  <c r="BY8" i="6"/>
  <c r="BY7" i="6"/>
  <c r="BY6" i="6"/>
  <c r="BY5" i="6"/>
  <c r="BY4" i="6"/>
  <c r="BY76" i="6" s="1"/>
  <c r="BY78" i="6" s="1"/>
  <c r="BY79" i="6" s="1"/>
  <c r="BW9" i="6"/>
  <c r="BW8" i="6"/>
  <c r="BW7" i="6"/>
  <c r="BW6" i="6"/>
  <c r="BW5" i="6"/>
  <c r="BW4" i="6"/>
  <c r="BW76" i="6" s="1"/>
  <c r="BW78" i="6" s="1"/>
  <c r="BW79" i="6" s="1"/>
  <c r="BU9" i="6"/>
  <c r="BU8" i="6"/>
  <c r="BU7" i="6"/>
  <c r="BU6" i="6"/>
  <c r="BU5" i="6"/>
  <c r="BU4" i="6"/>
  <c r="BU76" i="6" s="1"/>
  <c r="BU78" i="6" s="1"/>
  <c r="BU79" i="6" s="1"/>
  <c r="BS9" i="6"/>
  <c r="BS8" i="6"/>
  <c r="BS7" i="6"/>
  <c r="BS6" i="6"/>
  <c r="BS5" i="6"/>
  <c r="BS4" i="6"/>
  <c r="BS76" i="6" s="1"/>
  <c r="BS78" i="6" s="1"/>
  <c r="BS79" i="6" s="1"/>
  <c r="BQ9" i="6"/>
  <c r="BQ8" i="6"/>
  <c r="BQ7" i="6"/>
  <c r="BQ6" i="6"/>
  <c r="BQ5" i="6"/>
  <c r="BQ4" i="6"/>
  <c r="BQ76" i="6" s="1"/>
  <c r="BQ78" i="6" s="1"/>
  <c r="BQ79" i="6" s="1"/>
  <c r="BO9" i="6"/>
  <c r="BO8" i="6"/>
  <c r="BO7" i="6"/>
  <c r="BO6" i="6"/>
  <c r="BO5" i="6"/>
  <c r="BO4" i="6"/>
  <c r="BO76" i="6" s="1"/>
  <c r="BO78" i="6" s="1"/>
  <c r="BO79" i="6" s="1"/>
  <c r="BM9" i="6"/>
  <c r="BM8" i="6"/>
  <c r="BM7" i="6"/>
  <c r="BM6" i="6"/>
  <c r="BM5" i="6"/>
  <c r="BM4" i="6"/>
  <c r="BM76" i="6" s="1"/>
  <c r="BM78" i="6" s="1"/>
  <c r="BM79" i="6" s="1"/>
  <c r="BK9" i="6"/>
  <c r="BK8" i="6"/>
  <c r="BK7" i="6"/>
  <c r="BK6" i="6"/>
  <c r="BK5" i="6"/>
  <c r="BK4" i="6"/>
  <c r="BK76" i="6" s="1"/>
  <c r="BK78" i="6" s="1"/>
  <c r="BK79" i="6" s="1"/>
  <c r="BI9" i="6"/>
  <c r="BI8" i="6"/>
  <c r="BI7" i="6"/>
  <c r="BI6" i="6"/>
  <c r="BI5" i="6"/>
  <c r="BI4" i="6"/>
  <c r="BI76" i="6" s="1"/>
  <c r="BI78" i="6" s="1"/>
  <c r="BI79" i="6" s="1"/>
  <c r="BG9" i="6"/>
  <c r="BG8" i="6"/>
  <c r="BG7" i="6"/>
  <c r="BG6" i="6"/>
  <c r="BG5" i="6"/>
  <c r="BG4" i="6"/>
  <c r="BG76" i="6" s="1"/>
  <c r="BG78" i="6" s="1"/>
  <c r="BG79" i="6" s="1"/>
  <c r="BE9" i="6"/>
  <c r="BE8" i="6"/>
  <c r="BE7" i="6"/>
  <c r="BE6" i="6"/>
  <c r="BE5" i="6"/>
  <c r="BE4" i="6"/>
  <c r="BE76" i="6" s="1"/>
  <c r="BE78" i="6" s="1"/>
  <c r="BE79" i="6" s="1"/>
  <c r="BC9" i="6"/>
  <c r="BC8" i="6"/>
  <c r="BC7" i="6"/>
  <c r="BC6" i="6"/>
  <c r="BC5" i="6"/>
  <c r="BC4" i="6"/>
  <c r="BC76" i="6" s="1"/>
  <c r="BC78" i="6" s="1"/>
  <c r="BC79" i="6" s="1"/>
  <c r="BA9" i="6"/>
  <c r="BA8" i="6"/>
  <c r="BA7" i="6"/>
  <c r="BA6" i="6"/>
  <c r="BA5" i="6"/>
  <c r="BA4" i="6"/>
  <c r="BA76" i="6" s="1"/>
  <c r="BA78" i="6" s="1"/>
  <c r="BA79" i="6" s="1"/>
  <c r="AY9" i="6"/>
  <c r="AY8" i="6"/>
  <c r="AY7" i="6"/>
  <c r="AY6" i="6"/>
  <c r="AY5" i="6"/>
  <c r="AY4" i="6"/>
  <c r="AY76" i="6" s="1"/>
  <c r="AY78" i="6" s="1"/>
  <c r="AY79" i="6" s="1"/>
  <c r="AW9" i="6"/>
  <c r="AW8" i="6"/>
  <c r="AW7" i="6"/>
  <c r="AW6" i="6"/>
  <c r="AW5" i="6"/>
  <c r="AW4" i="6"/>
  <c r="AW76" i="6" s="1"/>
  <c r="AW78" i="6" s="1"/>
  <c r="AW79" i="6" s="1"/>
  <c r="AU9" i="6"/>
  <c r="AU8" i="6"/>
  <c r="AU7" i="6"/>
  <c r="AU6" i="6"/>
  <c r="AU5" i="6"/>
  <c r="AU4" i="6"/>
  <c r="AU76" i="6" s="1"/>
  <c r="AU78" i="6" s="1"/>
  <c r="AU79" i="6" s="1"/>
  <c r="AS9" i="6"/>
  <c r="AS8" i="6"/>
  <c r="AS7" i="6"/>
  <c r="AS6" i="6"/>
  <c r="AS5" i="6"/>
  <c r="AS4" i="6"/>
  <c r="AS76" i="6" s="1"/>
  <c r="AS78" i="6" s="1"/>
  <c r="AS79" i="6" s="1"/>
  <c r="AQ9" i="6"/>
  <c r="AQ8" i="6"/>
  <c r="AQ7" i="6"/>
  <c r="AQ6" i="6"/>
  <c r="AQ5" i="6"/>
  <c r="AQ4" i="6"/>
  <c r="AQ76" i="6" s="1"/>
  <c r="AQ78" i="6" s="1"/>
  <c r="AQ79" i="6" s="1"/>
  <c r="AO9" i="6"/>
  <c r="AO8" i="6"/>
  <c r="AO7" i="6"/>
  <c r="AO6" i="6"/>
  <c r="AO5" i="6"/>
  <c r="AO4" i="6"/>
  <c r="AO76" i="6" s="1"/>
  <c r="AO78" i="6" s="1"/>
  <c r="AO79" i="6" s="1"/>
  <c r="AM9" i="6"/>
  <c r="AM8" i="6"/>
  <c r="AM7" i="6"/>
  <c r="AM6" i="6"/>
  <c r="AM5" i="6"/>
  <c r="AM4" i="6"/>
  <c r="AM76" i="6" s="1"/>
  <c r="AM78" i="6" s="1"/>
  <c r="AM79" i="6" s="1"/>
  <c r="AK9" i="6"/>
  <c r="AK8" i="6"/>
  <c r="AK7" i="6"/>
  <c r="AK6" i="6"/>
  <c r="AK5" i="6"/>
  <c r="AK4" i="6"/>
  <c r="AK76" i="6" s="1"/>
  <c r="AK78" i="6" s="1"/>
  <c r="AK79" i="6" s="1"/>
  <c r="AI9" i="6"/>
  <c r="AI8" i="6"/>
  <c r="AI7" i="6"/>
  <c r="AI6" i="6"/>
  <c r="AI5" i="6"/>
  <c r="AI4" i="6"/>
  <c r="AI76" i="6" s="1"/>
  <c r="AI78" i="6" s="1"/>
  <c r="AI79" i="6" s="1"/>
  <c r="AG9" i="6"/>
  <c r="AG8" i="6"/>
  <c r="AG7" i="6"/>
  <c r="AG6" i="6"/>
  <c r="AG5" i="6"/>
  <c r="AG4" i="6"/>
  <c r="AG76" i="6" s="1"/>
  <c r="AG78" i="6" s="1"/>
  <c r="AG79" i="6" s="1"/>
  <c r="AE9" i="6"/>
  <c r="AE8" i="6"/>
  <c r="AE7" i="6"/>
  <c r="AE6" i="6"/>
  <c r="AE5" i="6"/>
  <c r="AE4" i="6"/>
  <c r="AE76" i="6" s="1"/>
  <c r="AE78" i="6" s="1"/>
  <c r="AE79" i="6" s="1"/>
  <c r="AC9" i="6"/>
  <c r="AC8" i="6"/>
  <c r="AC7" i="6"/>
  <c r="AC6" i="6"/>
  <c r="AC5" i="6"/>
  <c r="AC4" i="6"/>
  <c r="AC76" i="6" s="1"/>
  <c r="AC78" i="6" s="1"/>
  <c r="AC79" i="6" s="1"/>
  <c r="AA9" i="6"/>
  <c r="AA8" i="6"/>
  <c r="AA7" i="6"/>
  <c r="AA6" i="6"/>
  <c r="AA5" i="6"/>
  <c r="AA4" i="6"/>
  <c r="AA76" i="6" s="1"/>
  <c r="AA78" i="6" s="1"/>
  <c r="AA79" i="6" s="1"/>
  <c r="Y9" i="6"/>
  <c r="Y8" i="6"/>
  <c r="Y7" i="6"/>
  <c r="Y6" i="6"/>
  <c r="Y5" i="6"/>
  <c r="Y4" i="6"/>
  <c r="Y76" i="6" s="1"/>
  <c r="Y78" i="6" s="1"/>
  <c r="Y79" i="6" s="1"/>
  <c r="W9" i="6"/>
  <c r="W8" i="6"/>
  <c r="W7" i="6"/>
  <c r="W6" i="6"/>
  <c r="W5" i="6"/>
  <c r="W4" i="6"/>
  <c r="W76" i="6" s="1"/>
  <c r="W78" i="6" s="1"/>
  <c r="W79" i="6" s="1"/>
  <c r="U9" i="6"/>
  <c r="U8" i="6"/>
  <c r="U7" i="6"/>
  <c r="U6" i="6"/>
  <c r="U5" i="6"/>
  <c r="U4" i="6"/>
  <c r="U76" i="6" s="1"/>
  <c r="U78" i="6" s="1"/>
  <c r="U79" i="6" s="1"/>
  <c r="S9" i="6"/>
  <c r="S8" i="6"/>
  <c r="S7" i="6"/>
  <c r="S6" i="6"/>
  <c r="S5" i="6"/>
  <c r="S4" i="6"/>
  <c r="S76" i="6" s="1"/>
  <c r="S78" i="6" s="1"/>
  <c r="S79" i="6" s="1"/>
  <c r="Q9" i="6"/>
  <c r="Q8" i="6"/>
  <c r="Q7" i="6"/>
  <c r="Q6" i="6"/>
  <c r="Q5" i="6"/>
  <c r="Q4" i="6"/>
  <c r="Q76" i="6" s="1"/>
  <c r="Q78" i="6" s="1"/>
  <c r="Q79" i="6" s="1"/>
  <c r="O9" i="6"/>
  <c r="O8" i="6"/>
  <c r="O7" i="6"/>
  <c r="O6" i="6"/>
  <c r="O5" i="6"/>
  <c r="O4" i="6"/>
  <c r="O76" i="6" s="1"/>
  <c r="O78" i="6" s="1"/>
  <c r="O79" i="6" s="1"/>
  <c r="M9" i="6"/>
  <c r="M8" i="6"/>
  <c r="M7" i="6"/>
  <c r="M6" i="6"/>
  <c r="M5" i="6"/>
  <c r="M4" i="6"/>
  <c r="M76" i="6" s="1"/>
  <c r="M78" i="6" s="1"/>
  <c r="M79" i="6" s="1"/>
  <c r="K9" i="6"/>
  <c r="K8" i="6"/>
  <c r="K7" i="6"/>
  <c r="K6" i="6"/>
  <c r="K5" i="6"/>
  <c r="K4" i="6"/>
  <c r="K76" i="6" s="1"/>
  <c r="K78" i="6" s="1"/>
  <c r="K79" i="6" s="1"/>
  <c r="I5" i="6"/>
  <c r="I6" i="6"/>
  <c r="I7" i="6"/>
  <c r="I8" i="6"/>
  <c r="I9" i="6"/>
  <c r="I4" i="6"/>
  <c r="A3" i="8" l="1"/>
  <c r="A7" i="8"/>
  <c r="A11" i="8"/>
  <c r="A15" i="8"/>
  <c r="A19" i="8"/>
  <c r="A23" i="8"/>
  <c r="A27" i="8"/>
  <c r="A31" i="8"/>
  <c r="A35" i="8"/>
  <c r="A39" i="8"/>
  <c r="A43" i="8"/>
  <c r="A47" i="8"/>
  <c r="A51" i="8"/>
  <c r="A55" i="8"/>
  <c r="A57" i="8"/>
  <c r="A61" i="8"/>
  <c r="A65" i="8"/>
  <c r="A69" i="8"/>
  <c r="A73" i="8"/>
  <c r="A77" i="8"/>
  <c r="A81" i="8"/>
  <c r="A85" i="8"/>
  <c r="A89" i="8"/>
  <c r="A93" i="8"/>
  <c r="A97" i="8"/>
  <c r="A101" i="8"/>
  <c r="A105" i="8"/>
  <c r="A109" i="8"/>
  <c r="A113" i="8"/>
  <c r="A117" i="8"/>
  <c r="A121" i="8"/>
  <c r="A125" i="8"/>
  <c r="A129" i="8"/>
  <c r="A133" i="8"/>
  <c r="A137" i="8"/>
  <c r="A141" i="8"/>
  <c r="A145" i="8"/>
  <c r="A149" i="8"/>
  <c r="A153" i="8"/>
  <c r="A157" i="8"/>
  <c r="A161" i="8"/>
  <c r="A165" i="8"/>
  <c r="A169" i="8"/>
  <c r="A173" i="8"/>
  <c r="A177" i="8"/>
  <c r="A181" i="8"/>
  <c r="A185" i="8"/>
  <c r="A189" i="8"/>
  <c r="A193" i="8"/>
  <c r="A197" i="8"/>
  <c r="A201" i="8"/>
  <c r="A205" i="8"/>
  <c r="A209" i="8"/>
  <c r="A213" i="8"/>
  <c r="A217" i="8"/>
  <c r="A221" i="8"/>
  <c r="A225" i="8"/>
  <c r="A229" i="8"/>
  <c r="A233" i="8"/>
  <c r="A237" i="8"/>
  <c r="A241" i="8"/>
  <c r="A245" i="8"/>
  <c r="A249" i="8"/>
  <c r="A253" i="8"/>
  <c r="A257" i="8"/>
  <c r="A261" i="8"/>
  <c r="A265" i="8"/>
  <c r="A269" i="8"/>
  <c r="A273" i="8"/>
  <c r="A4" i="8"/>
  <c r="A8" i="8"/>
  <c r="A12" i="8"/>
  <c r="A16" i="8"/>
  <c r="A20" i="8"/>
  <c r="A24" i="8"/>
  <c r="A28" i="8"/>
  <c r="A32" i="8"/>
  <c r="A36" i="8"/>
  <c r="A40" i="8"/>
  <c r="A44" i="8"/>
  <c r="A48" i="8"/>
  <c r="A52" i="8"/>
  <c r="A58" i="8"/>
  <c r="A62" i="8"/>
  <c r="A66" i="8"/>
  <c r="A70" i="8"/>
  <c r="A74" i="8"/>
  <c r="A78" i="8"/>
  <c r="A82" i="8"/>
  <c r="A86" i="8"/>
  <c r="A90" i="8"/>
  <c r="A94" i="8"/>
  <c r="A98" i="8"/>
  <c r="A102" i="8"/>
  <c r="A106" i="8"/>
  <c r="A110" i="8"/>
  <c r="A114" i="8"/>
  <c r="A118" i="8"/>
  <c r="A122" i="8"/>
  <c r="A126" i="8"/>
  <c r="A130" i="8"/>
  <c r="A134" i="8"/>
  <c r="A138" i="8"/>
  <c r="A142" i="8"/>
  <c r="A146" i="8"/>
  <c r="A150" i="8"/>
  <c r="A154" i="8"/>
  <c r="A158" i="8"/>
  <c r="A162" i="8"/>
  <c r="A166" i="8"/>
  <c r="A170" i="8"/>
  <c r="A174" i="8"/>
  <c r="A178" i="8"/>
  <c r="A182" i="8"/>
  <c r="A186" i="8"/>
  <c r="A190" i="8"/>
  <c r="A194" i="8"/>
  <c r="A198" i="8"/>
  <c r="A202" i="8"/>
  <c r="A206" i="8"/>
  <c r="A210" i="8"/>
  <c r="A214" i="8"/>
  <c r="A218" i="8"/>
  <c r="A222" i="8"/>
  <c r="A226" i="8"/>
  <c r="A230" i="8"/>
  <c r="A234" i="8"/>
  <c r="A238" i="8"/>
  <c r="A242" i="8"/>
  <c r="A246" i="8"/>
  <c r="A250" i="8"/>
  <c r="A254" i="8"/>
  <c r="A258" i="8"/>
  <c r="A262" i="8"/>
  <c r="A266" i="8"/>
  <c r="A5" i="8"/>
  <c r="A9" i="8"/>
  <c r="A13" i="8"/>
  <c r="A17" i="8"/>
  <c r="A21" i="8"/>
  <c r="A25" i="8"/>
  <c r="A29" i="8"/>
  <c r="A33" i="8"/>
  <c r="A37" i="8"/>
  <c r="A41" i="8"/>
  <c r="A45" i="8"/>
  <c r="A49" i="8"/>
  <c r="A53" i="8"/>
  <c r="A59" i="8"/>
  <c r="A63" i="8"/>
  <c r="A67" i="8"/>
  <c r="A71" i="8"/>
  <c r="A75" i="8"/>
  <c r="A79" i="8"/>
  <c r="A83" i="8"/>
  <c r="A87" i="8"/>
  <c r="A91" i="8"/>
  <c r="A95" i="8"/>
  <c r="A99" i="8"/>
  <c r="A103" i="8"/>
  <c r="A107" i="8"/>
  <c r="A111" i="8"/>
  <c r="A115" i="8"/>
  <c r="A119" i="8"/>
  <c r="A123" i="8"/>
  <c r="A127" i="8"/>
  <c r="A131" i="8"/>
  <c r="A135" i="8"/>
  <c r="A139" i="8"/>
  <c r="A143" i="8"/>
  <c r="A147" i="8"/>
  <c r="A151" i="8"/>
  <c r="A155" i="8"/>
  <c r="A159" i="8"/>
  <c r="A163" i="8"/>
  <c r="A167" i="8"/>
  <c r="A171" i="8"/>
  <c r="A175" i="8"/>
  <c r="A179" i="8"/>
  <c r="A183" i="8"/>
  <c r="A187" i="8"/>
  <c r="A191" i="8"/>
  <c r="A195" i="8"/>
  <c r="A199" i="8"/>
  <c r="A203" i="8"/>
  <c r="A207" i="8"/>
  <c r="A211" i="8"/>
  <c r="A215" i="8"/>
  <c r="A219" i="8"/>
  <c r="A223" i="8"/>
  <c r="A227" i="8"/>
  <c r="A231" i="8"/>
  <c r="A235" i="8"/>
  <c r="A239" i="8"/>
  <c r="A243" i="8"/>
  <c r="A247" i="8"/>
  <c r="A251" i="8"/>
  <c r="A255" i="8"/>
  <c r="A259" i="8"/>
  <c r="A263" i="8"/>
  <c r="A267" i="8"/>
  <c r="A271" i="8"/>
  <c r="A275" i="8"/>
  <c r="A279" i="8"/>
  <c r="A283" i="8"/>
  <c r="A287" i="8"/>
  <c r="A6" i="8"/>
  <c r="A22" i="8"/>
  <c r="A38" i="8"/>
  <c r="A54" i="8"/>
  <c r="A64" i="8"/>
  <c r="A80" i="8"/>
  <c r="A96" i="8"/>
  <c r="A112" i="8"/>
  <c r="A128" i="8"/>
  <c r="A144" i="8"/>
  <c r="A160" i="8"/>
  <c r="A176" i="8"/>
  <c r="A192" i="8"/>
  <c r="A208" i="8"/>
  <c r="A224" i="8"/>
  <c r="A240" i="8"/>
  <c r="A256" i="8"/>
  <c r="A270" i="8"/>
  <c r="A277" i="8"/>
  <c r="A282" i="8"/>
  <c r="A288" i="8"/>
  <c r="A292" i="8"/>
  <c r="A296" i="8"/>
  <c r="A300" i="8"/>
  <c r="A304" i="8"/>
  <c r="A308" i="8"/>
  <c r="A312" i="8"/>
  <c r="A316" i="8"/>
  <c r="A320" i="8"/>
  <c r="A324" i="8"/>
  <c r="A328" i="8"/>
  <c r="A332" i="8"/>
  <c r="A336" i="8"/>
  <c r="A340" i="8"/>
  <c r="A344" i="8"/>
  <c r="A348" i="8"/>
  <c r="A352" i="8"/>
  <c r="A356" i="8"/>
  <c r="A360" i="8"/>
  <c r="A364" i="8"/>
  <c r="A368" i="8"/>
  <c r="A372" i="8"/>
  <c r="A376" i="8"/>
  <c r="A380" i="8"/>
  <c r="A384" i="8"/>
  <c r="A388" i="8"/>
  <c r="A392" i="8"/>
  <c r="A396" i="8"/>
  <c r="A400" i="8"/>
  <c r="A404" i="8"/>
  <c r="A408" i="8"/>
  <c r="A412" i="8"/>
  <c r="A416" i="8"/>
  <c r="A420" i="8"/>
  <c r="A424" i="8"/>
  <c r="A428" i="8"/>
  <c r="A432" i="8"/>
  <c r="A436" i="8"/>
  <c r="A440" i="8"/>
  <c r="A444" i="8"/>
  <c r="A448" i="8"/>
  <c r="A452" i="8"/>
  <c r="A456" i="8"/>
  <c r="A460" i="8"/>
  <c r="A464" i="8"/>
  <c r="A468" i="8"/>
  <c r="A472" i="8"/>
  <c r="A476" i="8"/>
  <c r="A480" i="8"/>
  <c r="A484" i="8"/>
  <c r="A488" i="8"/>
  <c r="A492" i="8"/>
  <c r="A496" i="8"/>
  <c r="A500" i="8"/>
  <c r="A504" i="8"/>
  <c r="A508" i="8"/>
  <c r="A512" i="8"/>
  <c r="A516" i="8"/>
  <c r="A520" i="8"/>
  <c r="A524" i="8"/>
  <c r="A528" i="8"/>
  <c r="A532" i="8"/>
  <c r="A10" i="8"/>
  <c r="A26" i="8"/>
  <c r="A42" i="8"/>
  <c r="A68" i="8"/>
  <c r="A84" i="8"/>
  <c r="A100" i="8"/>
  <c r="A116" i="8"/>
  <c r="A132" i="8"/>
  <c r="A148" i="8"/>
  <c r="A164" i="8"/>
  <c r="A180" i="8"/>
  <c r="A196" i="8"/>
  <c r="A212" i="8"/>
  <c r="A228" i="8"/>
  <c r="A244" i="8"/>
  <c r="A260" i="8"/>
  <c r="A272" i="8"/>
  <c r="A278" i="8"/>
  <c r="A284" i="8"/>
  <c r="A289" i="8"/>
  <c r="A293" i="8"/>
  <c r="A297" i="8"/>
  <c r="A301" i="8"/>
  <c r="A305" i="8"/>
  <c r="A309" i="8"/>
  <c r="A313" i="8"/>
  <c r="A317" i="8"/>
  <c r="A321" i="8"/>
  <c r="A325" i="8"/>
  <c r="A329" i="8"/>
  <c r="A333" i="8"/>
  <c r="A337" i="8"/>
  <c r="A341" i="8"/>
  <c r="A345" i="8"/>
  <c r="A349" i="8"/>
  <c r="A353" i="8"/>
  <c r="A357" i="8"/>
  <c r="A361" i="8"/>
  <c r="A365" i="8"/>
  <c r="A369" i="8"/>
  <c r="A373" i="8"/>
  <c r="A377" i="8"/>
  <c r="A381" i="8"/>
  <c r="A385" i="8"/>
  <c r="A389" i="8"/>
  <c r="A393" i="8"/>
  <c r="A397" i="8"/>
  <c r="A401" i="8"/>
  <c r="A405" i="8"/>
  <c r="A409" i="8"/>
  <c r="A413" i="8"/>
  <c r="A417" i="8"/>
  <c r="A421" i="8"/>
  <c r="A425" i="8"/>
  <c r="A429" i="8"/>
  <c r="A433" i="8"/>
  <c r="A437" i="8"/>
  <c r="A441" i="8"/>
  <c r="A445" i="8"/>
  <c r="A449" i="8"/>
  <c r="A453" i="8"/>
  <c r="A457" i="8"/>
  <c r="A461" i="8"/>
  <c r="A465" i="8"/>
  <c r="A469" i="8"/>
  <c r="A473" i="8"/>
  <c r="A477" i="8"/>
  <c r="A481" i="8"/>
  <c r="A485" i="8"/>
  <c r="A489" i="8"/>
  <c r="A493" i="8"/>
  <c r="A497" i="8"/>
  <c r="A501" i="8"/>
  <c r="A505" i="8"/>
  <c r="A509" i="8"/>
  <c r="A513" i="8"/>
  <c r="A517" i="8"/>
  <c r="A521" i="8"/>
  <c r="A525" i="8"/>
  <c r="A529" i="8"/>
  <c r="A533" i="8"/>
  <c r="A537" i="8"/>
  <c r="A541" i="8"/>
  <c r="A545" i="8"/>
  <c r="A14" i="8"/>
  <c r="A30" i="8"/>
  <c r="A46" i="8"/>
  <c r="A56" i="8"/>
  <c r="A72" i="8"/>
  <c r="A88" i="8"/>
  <c r="A104" i="8"/>
  <c r="A120" i="8"/>
  <c r="A136" i="8"/>
  <c r="A152" i="8"/>
  <c r="A168" i="8"/>
  <c r="A184" i="8"/>
  <c r="A200" i="8"/>
  <c r="A216" i="8"/>
  <c r="A232" i="8"/>
  <c r="A248" i="8"/>
  <c r="A264" i="8"/>
  <c r="A274" i="8"/>
  <c r="A280" i="8"/>
  <c r="A285" i="8"/>
  <c r="A290" i="8"/>
  <c r="A294" i="8"/>
  <c r="A298" i="8"/>
  <c r="A302" i="8"/>
  <c r="A306" i="8"/>
  <c r="A310" i="8"/>
  <c r="A314" i="8"/>
  <c r="A318" i="8"/>
  <c r="A322" i="8"/>
  <c r="A326" i="8"/>
  <c r="A330" i="8"/>
  <c r="A334" i="8"/>
  <c r="A338" i="8"/>
  <c r="A342" i="8"/>
  <c r="A346" i="8"/>
  <c r="A350" i="8"/>
  <c r="A354" i="8"/>
  <c r="A358" i="8"/>
  <c r="A362" i="8"/>
  <c r="A366" i="8"/>
  <c r="A370" i="8"/>
  <c r="A374" i="8"/>
  <c r="A378" i="8"/>
  <c r="A382" i="8"/>
  <c r="A386" i="8"/>
  <c r="A390" i="8"/>
  <c r="A394" i="8"/>
  <c r="A398" i="8"/>
  <c r="A402" i="8"/>
  <c r="A406" i="8"/>
  <c r="A410" i="8"/>
  <c r="A414" i="8"/>
  <c r="A418" i="8"/>
  <c r="A422" i="8"/>
  <c r="A426" i="8"/>
  <c r="A430" i="8"/>
  <c r="A434" i="8"/>
  <c r="A438" i="8"/>
  <c r="A442" i="8"/>
  <c r="A446" i="8"/>
  <c r="A450" i="8"/>
  <c r="A454" i="8"/>
  <c r="A458" i="8"/>
  <c r="A462" i="8"/>
  <c r="A466" i="8"/>
  <c r="A470" i="8"/>
  <c r="A474" i="8"/>
  <c r="A478" i="8"/>
  <c r="A482" i="8"/>
  <c r="A486" i="8"/>
  <c r="A490" i="8"/>
  <c r="A494" i="8"/>
  <c r="A498" i="8"/>
  <c r="A502" i="8"/>
  <c r="A506" i="8"/>
  <c r="A510" i="8"/>
  <c r="A514" i="8"/>
  <c r="A518" i="8"/>
  <c r="A522" i="8"/>
  <c r="A526" i="8"/>
  <c r="A530" i="8"/>
  <c r="A534" i="8"/>
  <c r="A538" i="8"/>
  <c r="A542" i="8"/>
  <c r="A546" i="8"/>
  <c r="A550" i="8"/>
  <c r="A554" i="8"/>
  <c r="A558" i="8"/>
  <c r="A562" i="8"/>
  <c r="A566" i="8"/>
  <c r="A18" i="8"/>
  <c r="A92" i="8"/>
  <c r="A156" i="8"/>
  <c r="A220" i="8"/>
  <c r="A276" i="8"/>
  <c r="A295" i="8"/>
  <c r="A311" i="8"/>
  <c r="A327" i="8"/>
  <c r="A343" i="8"/>
  <c r="A359" i="8"/>
  <c r="A375" i="8"/>
  <c r="A391" i="8"/>
  <c r="A407" i="8"/>
  <c r="A423" i="8"/>
  <c r="A439" i="8"/>
  <c r="A455" i="8"/>
  <c r="A471" i="8"/>
  <c r="A487" i="8"/>
  <c r="A503" i="8"/>
  <c r="A519" i="8"/>
  <c r="A535" i="8"/>
  <c r="A543" i="8"/>
  <c r="A549" i="8"/>
  <c r="A555" i="8"/>
  <c r="A560" i="8"/>
  <c r="A565" i="8"/>
  <c r="A570" i="8"/>
  <c r="A574" i="8"/>
  <c r="A578" i="8"/>
  <c r="A582" i="8"/>
  <c r="A586" i="8"/>
  <c r="A590" i="8"/>
  <c r="A594" i="8"/>
  <c r="A598" i="8"/>
  <c r="A602" i="8"/>
  <c r="A606" i="8"/>
  <c r="A610" i="8"/>
  <c r="A614" i="8"/>
  <c r="A618" i="8"/>
  <c r="A622" i="8"/>
  <c r="A626" i="8"/>
  <c r="A630" i="8"/>
  <c r="A634" i="8"/>
  <c r="A638" i="8"/>
  <c r="A642" i="8"/>
  <c r="A646" i="8"/>
  <c r="A650" i="8"/>
  <c r="A654" i="8"/>
  <c r="A658" i="8"/>
  <c r="A662" i="8"/>
  <c r="A666" i="8"/>
  <c r="A670" i="8"/>
  <c r="A674" i="8"/>
  <c r="A678" i="8"/>
  <c r="A682" i="8"/>
  <c r="A686" i="8"/>
  <c r="A690" i="8"/>
  <c r="A694" i="8"/>
  <c r="A698" i="8"/>
  <c r="A702" i="8"/>
  <c r="A706" i="8"/>
  <c r="A710" i="8"/>
  <c r="A714" i="8"/>
  <c r="A718" i="8"/>
  <c r="A722" i="8"/>
  <c r="A726" i="8"/>
  <c r="A730" i="8"/>
  <c r="A734" i="8"/>
  <c r="A738" i="8"/>
  <c r="A742" i="8"/>
  <c r="A746" i="8"/>
  <c r="A750" i="8"/>
  <c r="A754" i="8"/>
  <c r="A758" i="8"/>
  <c r="A762" i="8"/>
  <c r="A766" i="8"/>
  <c r="A770" i="8"/>
  <c r="A774" i="8"/>
  <c r="A778" i="8"/>
  <c r="A782" i="8"/>
  <c r="A786" i="8"/>
  <c r="A790" i="8"/>
  <c r="A794" i="8"/>
  <c r="A798" i="8"/>
  <c r="A802" i="8"/>
  <c r="A806" i="8"/>
  <c r="A810" i="8"/>
  <c r="A814" i="8"/>
  <c r="A818" i="8"/>
  <c r="A822" i="8"/>
  <c r="A826" i="8"/>
  <c r="A830" i="8"/>
  <c r="A834" i="8"/>
  <c r="A838" i="8"/>
  <c r="A842" i="8"/>
  <c r="A846" i="8"/>
  <c r="A850" i="8"/>
  <c r="A854" i="8"/>
  <c r="A858" i="8"/>
  <c r="A862" i="8"/>
  <c r="A866" i="8"/>
  <c r="A870" i="8"/>
  <c r="A874" i="8"/>
  <c r="A878" i="8"/>
  <c r="A882" i="8"/>
  <c r="A886" i="8"/>
  <c r="A890" i="8"/>
  <c r="A894" i="8"/>
  <c r="A898" i="8"/>
  <c r="A902" i="8"/>
  <c r="A906" i="8"/>
  <c r="A910" i="8"/>
  <c r="A914" i="8"/>
  <c r="A918" i="8"/>
  <c r="A922" i="8"/>
  <c r="A926" i="8"/>
  <c r="A930" i="8"/>
  <c r="A934" i="8"/>
  <c r="A938" i="8"/>
  <c r="A942" i="8"/>
  <c r="A946" i="8"/>
  <c r="A950" i="8"/>
  <c r="A954" i="8"/>
  <c r="A958" i="8"/>
  <c r="A962" i="8"/>
  <c r="A966" i="8"/>
  <c r="A970" i="8"/>
  <c r="A974" i="8"/>
  <c r="A978" i="8"/>
  <c r="A982" i="8"/>
  <c r="A986" i="8"/>
  <c r="A990" i="8"/>
  <c r="A994" i="8"/>
  <c r="A998" i="8"/>
  <c r="A1002" i="8"/>
  <c r="A1006" i="8"/>
  <c r="A1010" i="8"/>
  <c r="A1014" i="8"/>
  <c r="A1018" i="8"/>
  <c r="A1022" i="8"/>
  <c r="A1026" i="8"/>
  <c r="A1030" i="8"/>
  <c r="A1034" i="8"/>
  <c r="A1038" i="8"/>
  <c r="A1042" i="8"/>
  <c r="A1046" i="8"/>
  <c r="A1050" i="8"/>
  <c r="A1054" i="8"/>
  <c r="A1058" i="8"/>
  <c r="A1062" i="8"/>
  <c r="A1066" i="8"/>
  <c r="A1070" i="8"/>
  <c r="A1074" i="8"/>
  <c r="A1078" i="8"/>
  <c r="A1082" i="8"/>
  <c r="A1086" i="8"/>
  <c r="A1090" i="8"/>
  <c r="A1094" i="8"/>
  <c r="A1098" i="8"/>
  <c r="A34" i="8"/>
  <c r="A108" i="8"/>
  <c r="A172" i="8"/>
  <c r="A236" i="8"/>
  <c r="A281" i="8"/>
  <c r="A299" i="8"/>
  <c r="A315" i="8"/>
  <c r="A331" i="8"/>
  <c r="A347" i="8"/>
  <c r="A363" i="8"/>
  <c r="A379" i="8"/>
  <c r="A395" i="8"/>
  <c r="A411" i="8"/>
  <c r="A427" i="8"/>
  <c r="A443" i="8"/>
  <c r="A459" i="8"/>
  <c r="A475" i="8"/>
  <c r="A491" i="8"/>
  <c r="A507" i="8"/>
  <c r="A523" i="8"/>
  <c r="A536" i="8"/>
  <c r="A544" i="8"/>
  <c r="A551" i="8"/>
  <c r="A556" i="8"/>
  <c r="A561" i="8"/>
  <c r="A567" i="8"/>
  <c r="A571" i="8"/>
  <c r="A575" i="8"/>
  <c r="A579" i="8"/>
  <c r="A583" i="8"/>
  <c r="A587" i="8"/>
  <c r="A591" i="8"/>
  <c r="A595" i="8"/>
  <c r="A599" i="8"/>
  <c r="A603" i="8"/>
  <c r="A607" i="8"/>
  <c r="A611" i="8"/>
  <c r="A615" i="8"/>
  <c r="A619" i="8"/>
  <c r="A623" i="8"/>
  <c r="A627" i="8"/>
  <c r="A631" i="8"/>
  <c r="A635" i="8"/>
  <c r="A639" i="8"/>
  <c r="A643" i="8"/>
  <c r="A647" i="8"/>
  <c r="A651" i="8"/>
  <c r="A655" i="8"/>
  <c r="A659" i="8"/>
  <c r="A663" i="8"/>
  <c r="A667" i="8"/>
  <c r="A671" i="8"/>
  <c r="A675" i="8"/>
  <c r="A679" i="8"/>
  <c r="A683" i="8"/>
  <c r="A687" i="8"/>
  <c r="A691" i="8"/>
  <c r="A695" i="8"/>
  <c r="A699" i="8"/>
  <c r="A703" i="8"/>
  <c r="A707" i="8"/>
  <c r="A711" i="8"/>
  <c r="A715" i="8"/>
  <c r="A719" i="8"/>
  <c r="A723" i="8"/>
  <c r="A727" i="8"/>
  <c r="A731" i="8"/>
  <c r="A735" i="8"/>
  <c r="A739" i="8"/>
  <c r="A743" i="8"/>
  <c r="A747" i="8"/>
  <c r="A751" i="8"/>
  <c r="A755" i="8"/>
  <c r="A759" i="8"/>
  <c r="A763" i="8"/>
  <c r="A767" i="8"/>
  <c r="A771" i="8"/>
  <c r="A775" i="8"/>
  <c r="A779" i="8"/>
  <c r="A783" i="8"/>
  <c r="A787" i="8"/>
  <c r="A791" i="8"/>
  <c r="A795" i="8"/>
  <c r="A799" i="8"/>
  <c r="A803" i="8"/>
  <c r="A807" i="8"/>
  <c r="A811" i="8"/>
  <c r="A815" i="8"/>
  <c r="A819" i="8"/>
  <c r="A823" i="8"/>
  <c r="A827" i="8"/>
  <c r="A831" i="8"/>
  <c r="A835" i="8"/>
  <c r="A839" i="8"/>
  <c r="A843" i="8"/>
  <c r="A847" i="8"/>
  <c r="A851" i="8"/>
  <c r="A855" i="8"/>
  <c r="A859" i="8"/>
  <c r="A863" i="8"/>
  <c r="A867" i="8"/>
  <c r="A871" i="8"/>
  <c r="A875" i="8"/>
  <c r="A879" i="8"/>
  <c r="A883" i="8"/>
  <c r="A887" i="8"/>
  <c r="A891" i="8"/>
  <c r="A895" i="8"/>
  <c r="A899" i="8"/>
  <c r="A903" i="8"/>
  <c r="A907" i="8"/>
  <c r="A911" i="8"/>
  <c r="A915" i="8"/>
  <c r="A919" i="8"/>
  <c r="A923" i="8"/>
  <c r="A927" i="8"/>
  <c r="A931" i="8"/>
  <c r="A935" i="8"/>
  <c r="A939" i="8"/>
  <c r="A943" i="8"/>
  <c r="A947" i="8"/>
  <c r="A951" i="8"/>
  <c r="A955" i="8"/>
  <c r="A959" i="8"/>
  <c r="A963" i="8"/>
  <c r="A967" i="8"/>
  <c r="A971" i="8"/>
  <c r="A975" i="8"/>
  <c r="A979" i="8"/>
  <c r="A983" i="8"/>
  <c r="A987" i="8"/>
  <c r="A991" i="8"/>
  <c r="A995" i="8"/>
  <c r="A999" i="8"/>
  <c r="A1003" i="8"/>
  <c r="A1007" i="8"/>
  <c r="A1011" i="8"/>
  <c r="A1015" i="8"/>
  <c r="A1019" i="8"/>
  <c r="A1023" i="8"/>
  <c r="A1027" i="8"/>
  <c r="A1031" i="8"/>
  <c r="A1035" i="8"/>
  <c r="A1039" i="8"/>
  <c r="A1043" i="8"/>
  <c r="A1047" i="8"/>
  <c r="A1051" i="8"/>
  <c r="A1055" i="8"/>
  <c r="A1059" i="8"/>
  <c r="A1063" i="8"/>
  <c r="A1067" i="8"/>
  <c r="A1071" i="8"/>
  <c r="A1075" i="8"/>
  <c r="A1079" i="8"/>
  <c r="A1083" i="8"/>
  <c r="A1087" i="8"/>
  <c r="A1091" i="8"/>
  <c r="A1095" i="8"/>
  <c r="A1099" i="8"/>
  <c r="A1103" i="8"/>
  <c r="A1107" i="8"/>
  <c r="A1111" i="8"/>
  <c r="A1115" i="8"/>
  <c r="A1119" i="8"/>
  <c r="A1123" i="8"/>
  <c r="A1127" i="8"/>
  <c r="A1131" i="8"/>
  <c r="A50" i="8"/>
  <c r="A60" i="8"/>
  <c r="A124" i="8"/>
  <c r="A188" i="8"/>
  <c r="A252" i="8"/>
  <c r="A286" i="8"/>
  <c r="A303" i="8"/>
  <c r="A319" i="8"/>
  <c r="A335" i="8"/>
  <c r="A351" i="8"/>
  <c r="A367" i="8"/>
  <c r="A383" i="8"/>
  <c r="A399" i="8"/>
  <c r="A415" i="8"/>
  <c r="A431" i="8"/>
  <c r="A447" i="8"/>
  <c r="A463" i="8"/>
  <c r="A479" i="8"/>
  <c r="A495" i="8"/>
  <c r="A511" i="8"/>
  <c r="A527" i="8"/>
  <c r="A539" i="8"/>
  <c r="A547" i="8"/>
  <c r="A552" i="8"/>
  <c r="A557" i="8"/>
  <c r="A563" i="8"/>
  <c r="A568" i="8"/>
  <c r="A572" i="8"/>
  <c r="A576" i="8"/>
  <c r="A580" i="8"/>
  <c r="A584" i="8"/>
  <c r="A588" i="8"/>
  <c r="A592" i="8"/>
  <c r="A596" i="8"/>
  <c r="A600" i="8"/>
  <c r="A604" i="8"/>
  <c r="A608" i="8"/>
  <c r="A612" i="8"/>
  <c r="A616" i="8"/>
  <c r="A620" i="8"/>
  <c r="A624" i="8"/>
  <c r="A628" i="8"/>
  <c r="A632" i="8"/>
  <c r="A636" i="8"/>
  <c r="A640" i="8"/>
  <c r="A644" i="8"/>
  <c r="A648" i="8"/>
  <c r="A652" i="8"/>
  <c r="A656" i="8"/>
  <c r="A660" i="8"/>
  <c r="A664" i="8"/>
  <c r="A668" i="8"/>
  <c r="A672" i="8"/>
  <c r="A676" i="8"/>
  <c r="A680" i="8"/>
  <c r="A684" i="8"/>
  <c r="A688" i="8"/>
  <c r="A692" i="8"/>
  <c r="A696" i="8"/>
  <c r="A700" i="8"/>
  <c r="A704" i="8"/>
  <c r="A708" i="8"/>
  <c r="A712" i="8"/>
  <c r="A716" i="8"/>
  <c r="A720" i="8"/>
  <c r="A724" i="8"/>
  <c r="A728" i="8"/>
  <c r="A732" i="8"/>
  <c r="A736" i="8"/>
  <c r="A740" i="8"/>
  <c r="A744" i="8"/>
  <c r="A748" i="8"/>
  <c r="A752" i="8"/>
  <c r="A756" i="8"/>
  <c r="A760" i="8"/>
  <c r="A764" i="8"/>
  <c r="A768" i="8"/>
  <c r="A772" i="8"/>
  <c r="A776" i="8"/>
  <c r="A780" i="8"/>
  <c r="A784" i="8"/>
  <c r="A788" i="8"/>
  <c r="A792" i="8"/>
  <c r="A796" i="8"/>
  <c r="A800" i="8"/>
  <c r="A804" i="8"/>
  <c r="A808" i="8"/>
  <c r="A812" i="8"/>
  <c r="A816" i="8"/>
  <c r="A820" i="8"/>
  <c r="A824" i="8"/>
  <c r="A828" i="8"/>
  <c r="A832" i="8"/>
  <c r="A836" i="8"/>
  <c r="A840" i="8"/>
  <c r="A844" i="8"/>
  <c r="A848" i="8"/>
  <c r="A852" i="8"/>
  <c r="A856" i="8"/>
  <c r="A860" i="8"/>
  <c r="A864" i="8"/>
  <c r="A868" i="8"/>
  <c r="A872" i="8"/>
  <c r="A876" i="8"/>
  <c r="A880" i="8"/>
  <c r="A884" i="8"/>
  <c r="A888" i="8"/>
  <c r="A892" i="8"/>
  <c r="A896" i="8"/>
  <c r="A900" i="8"/>
  <c r="A904" i="8"/>
  <c r="A908" i="8"/>
  <c r="A912" i="8"/>
  <c r="A916" i="8"/>
  <c r="A920" i="8"/>
  <c r="A924" i="8"/>
  <c r="A928" i="8"/>
  <c r="A932" i="8"/>
  <c r="A936" i="8"/>
  <c r="A940" i="8"/>
  <c r="A944" i="8"/>
  <c r="A948" i="8"/>
  <c r="A952" i="8"/>
  <c r="A956" i="8"/>
  <c r="A960" i="8"/>
  <c r="A964" i="8"/>
  <c r="A968" i="8"/>
  <c r="A972" i="8"/>
  <c r="A976" i="8"/>
  <c r="A980" i="8"/>
  <c r="A984" i="8"/>
  <c r="A988" i="8"/>
  <c r="A992" i="8"/>
  <c r="A996" i="8"/>
  <c r="A1000" i="8"/>
  <c r="A1004" i="8"/>
  <c r="A1008" i="8"/>
  <c r="A1012" i="8"/>
  <c r="A1016" i="8"/>
  <c r="A1020" i="8"/>
  <c r="A1024" i="8"/>
  <c r="A1028" i="8"/>
  <c r="A1032" i="8"/>
  <c r="A1036" i="8"/>
  <c r="A1040" i="8"/>
  <c r="A1044" i="8"/>
  <c r="A1048" i="8"/>
  <c r="A1052" i="8"/>
  <c r="A1056" i="8"/>
  <c r="A1060" i="8"/>
  <c r="A1064" i="8"/>
  <c r="A1068" i="8"/>
  <c r="A1072" i="8"/>
  <c r="A1076" i="8"/>
  <c r="A1080" i="8"/>
  <c r="A1084" i="8"/>
  <c r="A1088" i="8"/>
  <c r="A1092" i="8"/>
  <c r="A1096" i="8"/>
  <c r="A1100" i="8"/>
  <c r="A1104" i="8"/>
  <c r="A1108" i="8"/>
  <c r="A1112" i="8"/>
  <c r="A1116" i="8"/>
  <c r="A1120" i="8"/>
  <c r="A1124" i="8"/>
  <c r="A1128" i="8"/>
  <c r="A1132" i="8"/>
  <c r="A1136" i="8"/>
  <c r="A1140" i="8"/>
  <c r="A268" i="8"/>
  <c r="A339" i="8"/>
  <c r="A403" i="8"/>
  <c r="A467" i="8"/>
  <c r="A531" i="8"/>
  <c r="A559" i="8"/>
  <c r="A577" i="8"/>
  <c r="A593" i="8"/>
  <c r="A609" i="8"/>
  <c r="A625" i="8"/>
  <c r="A641" i="8"/>
  <c r="A657" i="8"/>
  <c r="A673" i="8"/>
  <c r="A689" i="8"/>
  <c r="A705" i="8"/>
  <c r="A721" i="8"/>
  <c r="A737" i="8"/>
  <c r="A753" i="8"/>
  <c r="A769" i="8"/>
  <c r="A785" i="8"/>
  <c r="A801" i="8"/>
  <c r="A817" i="8"/>
  <c r="A833" i="8"/>
  <c r="A849" i="8"/>
  <c r="A865" i="8"/>
  <c r="A881" i="8"/>
  <c r="A897" i="8"/>
  <c r="A913" i="8"/>
  <c r="A929" i="8"/>
  <c r="A945" i="8"/>
  <c r="A961" i="8"/>
  <c r="A977" i="8"/>
  <c r="A993" i="8"/>
  <c r="A1009" i="8"/>
  <c r="A1025" i="8"/>
  <c r="A1041" i="8"/>
  <c r="A1057" i="8"/>
  <c r="A1073" i="8"/>
  <c r="A1089" i="8"/>
  <c r="A1102" i="8"/>
  <c r="A1110" i="8"/>
  <c r="A1118" i="8"/>
  <c r="A1126" i="8"/>
  <c r="A1134" i="8"/>
  <c r="A1139" i="8"/>
  <c r="A1144" i="8"/>
  <c r="A1148" i="8"/>
  <c r="A1152" i="8"/>
  <c r="A1156" i="8"/>
  <c r="A1160" i="8"/>
  <c r="A1164" i="8"/>
  <c r="A1168" i="8"/>
  <c r="A1172" i="8"/>
  <c r="A1176" i="8"/>
  <c r="A1180" i="8"/>
  <c r="A1184" i="8"/>
  <c r="A1188" i="8"/>
  <c r="A1192" i="8"/>
  <c r="A1196" i="8"/>
  <c r="A1200" i="8"/>
  <c r="A1204" i="8"/>
  <c r="A1208" i="8"/>
  <c r="A1212" i="8"/>
  <c r="A1216" i="8"/>
  <c r="A1220" i="8"/>
  <c r="A1224" i="8"/>
  <c r="A1228" i="8"/>
  <c r="A1232" i="8"/>
  <c r="A1236" i="8"/>
  <c r="A1240" i="8"/>
  <c r="A1244" i="8"/>
  <c r="A1248" i="8"/>
  <c r="A1252" i="8"/>
  <c r="A1256" i="8"/>
  <c r="A1260" i="8"/>
  <c r="A1264" i="8"/>
  <c r="A1268" i="8"/>
  <c r="A1272" i="8"/>
  <c r="A1276" i="8"/>
  <c r="A1280" i="8"/>
  <c r="A1284" i="8"/>
  <c r="A1288" i="8"/>
  <c r="A1292" i="8"/>
  <c r="A1296" i="8"/>
  <c r="A1300" i="8"/>
  <c r="A1304" i="8"/>
  <c r="A1308" i="8"/>
  <c r="A1312" i="8"/>
  <c r="A1316" i="8"/>
  <c r="A1320" i="8"/>
  <c r="A1324" i="8"/>
  <c r="A1328" i="8"/>
  <c r="A1332" i="8"/>
  <c r="A1336" i="8"/>
  <c r="A1340" i="8"/>
  <c r="A1344" i="8"/>
  <c r="A1348" i="8"/>
  <c r="A1352" i="8"/>
  <c r="A1356" i="8"/>
  <c r="A1360" i="8"/>
  <c r="A1364" i="8"/>
  <c r="A1368" i="8"/>
  <c r="A1372" i="8"/>
  <c r="A1376" i="8"/>
  <c r="A1380" i="8"/>
  <c r="A1384" i="8"/>
  <c r="A1388" i="8"/>
  <c r="A1392" i="8"/>
  <c r="A1396" i="8"/>
  <c r="A1400" i="8"/>
  <c r="A1404" i="8"/>
  <c r="A1408" i="8"/>
  <c r="A1412" i="8"/>
  <c r="A1416" i="8"/>
  <c r="A1420" i="8"/>
  <c r="A1424" i="8"/>
  <c r="A1428" i="8"/>
  <c r="A1432" i="8"/>
  <c r="A1436" i="8"/>
  <c r="A1440" i="8"/>
  <c r="A1444" i="8"/>
  <c r="A1448" i="8"/>
  <c r="A1452" i="8"/>
  <c r="A1456" i="8"/>
  <c r="A1460" i="8"/>
  <c r="A1464" i="8"/>
  <c r="A1468" i="8"/>
  <c r="A1472" i="8"/>
  <c r="A1476" i="8"/>
  <c r="A1480" i="8"/>
  <c r="A1484" i="8"/>
  <c r="A1488" i="8"/>
  <c r="A1492" i="8"/>
  <c r="A1496" i="8"/>
  <c r="A1500" i="8"/>
  <c r="A1504" i="8"/>
  <c r="A1508" i="8"/>
  <c r="A1512" i="8"/>
  <c r="A1516" i="8"/>
  <c r="A1520" i="8"/>
  <c r="A1524" i="8"/>
  <c r="A1528" i="8"/>
  <c r="A1532" i="8"/>
  <c r="A1536" i="8"/>
  <c r="A1540" i="8"/>
  <c r="A1544" i="8"/>
  <c r="A1548" i="8"/>
  <c r="A1552" i="8"/>
  <c r="A1556" i="8"/>
  <c r="A1560" i="8"/>
  <c r="A1564" i="8"/>
  <c r="A1568" i="8"/>
  <c r="A1572" i="8"/>
  <c r="A1576" i="8"/>
  <c r="A1580" i="8"/>
  <c r="A1584" i="8"/>
  <c r="A1588" i="8"/>
  <c r="A1592" i="8"/>
  <c r="A1596" i="8"/>
  <c r="A1600" i="8"/>
  <c r="A1604" i="8"/>
  <c r="A1608" i="8"/>
  <c r="A1612" i="8"/>
  <c r="A1616" i="8"/>
  <c r="A1620" i="8"/>
  <c r="A1624" i="8"/>
  <c r="A1628" i="8"/>
  <c r="A1632" i="8"/>
  <c r="A1636" i="8"/>
  <c r="A76" i="8"/>
  <c r="A291" i="8"/>
  <c r="A355" i="8"/>
  <c r="A419" i="8"/>
  <c r="A483" i="8"/>
  <c r="A540" i="8"/>
  <c r="A564" i="8"/>
  <c r="A581" i="8"/>
  <c r="A597" i="8"/>
  <c r="A613" i="8"/>
  <c r="A629" i="8"/>
  <c r="A645" i="8"/>
  <c r="A661" i="8"/>
  <c r="A677" i="8"/>
  <c r="A693" i="8"/>
  <c r="A709" i="8"/>
  <c r="A725" i="8"/>
  <c r="A741" i="8"/>
  <c r="A757" i="8"/>
  <c r="A773" i="8"/>
  <c r="A789" i="8"/>
  <c r="A805" i="8"/>
  <c r="A821" i="8"/>
  <c r="A837" i="8"/>
  <c r="A853" i="8"/>
  <c r="A869" i="8"/>
  <c r="A885" i="8"/>
  <c r="A901" i="8"/>
  <c r="A917" i="8"/>
  <c r="A933" i="8"/>
  <c r="A949" i="8"/>
  <c r="A965" i="8"/>
  <c r="A981" i="8"/>
  <c r="A997" i="8"/>
  <c r="A1013" i="8"/>
  <c r="A1029" i="8"/>
  <c r="A1045" i="8"/>
  <c r="A1061" i="8"/>
  <c r="A1077" i="8"/>
  <c r="A1093" i="8"/>
  <c r="A1105" i="8"/>
  <c r="A1113" i="8"/>
  <c r="A1121" i="8"/>
  <c r="A1129" i="8"/>
  <c r="A1135" i="8"/>
  <c r="A1141" i="8"/>
  <c r="A1145" i="8"/>
  <c r="A1149" i="8"/>
  <c r="A1153" i="8"/>
  <c r="A1157" i="8"/>
  <c r="A1161" i="8"/>
  <c r="A1165" i="8"/>
  <c r="A1169" i="8"/>
  <c r="A1173" i="8"/>
  <c r="A1177" i="8"/>
  <c r="A1181" i="8"/>
  <c r="A1185" i="8"/>
  <c r="A1189" i="8"/>
  <c r="A1193" i="8"/>
  <c r="A1197" i="8"/>
  <c r="A1201" i="8"/>
  <c r="A1205" i="8"/>
  <c r="A1209" i="8"/>
  <c r="A1213" i="8"/>
  <c r="A1217" i="8"/>
  <c r="A1221" i="8"/>
  <c r="A1225" i="8"/>
  <c r="A1229" i="8"/>
  <c r="A1233" i="8"/>
  <c r="A1237" i="8"/>
  <c r="A1241" i="8"/>
  <c r="A1245" i="8"/>
  <c r="A1249" i="8"/>
  <c r="A1253" i="8"/>
  <c r="A1257" i="8"/>
  <c r="A1261" i="8"/>
  <c r="A1265" i="8"/>
  <c r="A1269" i="8"/>
  <c r="A1273" i="8"/>
  <c r="A1277" i="8"/>
  <c r="A1281" i="8"/>
  <c r="A1285" i="8"/>
  <c r="A1289" i="8"/>
  <c r="A1293" i="8"/>
  <c r="A1297" i="8"/>
  <c r="A1301" i="8"/>
  <c r="A1305" i="8"/>
  <c r="A1309" i="8"/>
  <c r="A1313" i="8"/>
  <c r="A1317" i="8"/>
  <c r="A1321" i="8"/>
  <c r="A1325" i="8"/>
  <c r="A1329" i="8"/>
  <c r="A1333" i="8"/>
  <c r="A1337" i="8"/>
  <c r="A1341" i="8"/>
  <c r="A1345" i="8"/>
  <c r="A1349" i="8"/>
  <c r="A1353" i="8"/>
  <c r="A1357" i="8"/>
  <c r="A1361" i="8"/>
  <c r="A1365" i="8"/>
  <c r="A1369" i="8"/>
  <c r="A1373" i="8"/>
  <c r="A1377" i="8"/>
  <c r="A1381" i="8"/>
  <c r="A1385" i="8"/>
  <c r="A1389" i="8"/>
  <c r="A1393" i="8"/>
  <c r="A1397" i="8"/>
  <c r="A1401" i="8"/>
  <c r="A1405" i="8"/>
  <c r="A1409" i="8"/>
  <c r="A1413" i="8"/>
  <c r="A1417" i="8"/>
  <c r="A1421" i="8"/>
  <c r="A1425" i="8"/>
  <c r="A1429" i="8"/>
  <c r="A1433" i="8"/>
  <c r="A1437" i="8"/>
  <c r="A1441" i="8"/>
  <c r="A1445" i="8"/>
  <c r="A1449" i="8"/>
  <c r="A1453" i="8"/>
  <c r="A1457" i="8"/>
  <c r="A1461" i="8"/>
  <c r="A1465" i="8"/>
  <c r="A1469" i="8"/>
  <c r="A1473" i="8"/>
  <c r="A1477" i="8"/>
  <c r="A1481" i="8"/>
  <c r="A1485" i="8"/>
  <c r="A1489" i="8"/>
  <c r="A1493" i="8"/>
  <c r="A1497" i="8"/>
  <c r="A1501" i="8"/>
  <c r="A1505" i="8"/>
  <c r="A1509" i="8"/>
  <c r="A1513" i="8"/>
  <c r="A1517" i="8"/>
  <c r="A1521" i="8"/>
  <c r="A1525" i="8"/>
  <c r="A1529" i="8"/>
  <c r="A1533" i="8"/>
  <c r="A1537" i="8"/>
  <c r="A1541" i="8"/>
  <c r="A1545" i="8"/>
  <c r="A1549" i="8"/>
  <c r="A1553" i="8"/>
  <c r="A1557" i="8"/>
  <c r="A1561" i="8"/>
  <c r="A1565" i="8"/>
  <c r="A1569" i="8"/>
  <c r="A1573" i="8"/>
  <c r="A1577" i="8"/>
  <c r="A1581" i="8"/>
  <c r="A1585" i="8"/>
  <c r="A1589" i="8"/>
  <c r="A1593" i="8"/>
  <c r="A1597" i="8"/>
  <c r="A1601" i="8"/>
  <c r="A1605" i="8"/>
  <c r="A1609" i="8"/>
  <c r="A1613" i="8"/>
  <c r="A1617" i="8"/>
  <c r="A1621" i="8"/>
  <c r="A1625" i="8"/>
  <c r="A1629" i="8"/>
  <c r="A140" i="8"/>
  <c r="A307" i="8"/>
  <c r="A371" i="8"/>
  <c r="A435" i="8"/>
  <c r="A499" i="8"/>
  <c r="A548" i="8"/>
  <c r="A569" i="8"/>
  <c r="A585" i="8"/>
  <c r="A601" i="8"/>
  <c r="A617" i="8"/>
  <c r="A633" i="8"/>
  <c r="A649" i="8"/>
  <c r="A665" i="8"/>
  <c r="A681" i="8"/>
  <c r="A697" i="8"/>
  <c r="A713" i="8"/>
  <c r="A729" i="8"/>
  <c r="A745" i="8"/>
  <c r="A761" i="8"/>
  <c r="A777" i="8"/>
  <c r="A793" i="8"/>
  <c r="A809" i="8"/>
  <c r="A825" i="8"/>
  <c r="A841" i="8"/>
  <c r="A857" i="8"/>
  <c r="A873" i="8"/>
  <c r="A889" i="8"/>
  <c r="A905" i="8"/>
  <c r="A921" i="8"/>
  <c r="A937" i="8"/>
  <c r="A953" i="8"/>
  <c r="A969" i="8"/>
  <c r="A985" i="8"/>
  <c r="A1001" i="8"/>
  <c r="A1017" i="8"/>
  <c r="A1033" i="8"/>
  <c r="A1049" i="8"/>
  <c r="A1065" i="8"/>
  <c r="A1081" i="8"/>
  <c r="A1097" i="8"/>
  <c r="A1106" i="8"/>
  <c r="A1114" i="8"/>
  <c r="A1122" i="8"/>
  <c r="A1130" i="8"/>
  <c r="A1137" i="8"/>
  <c r="A1142" i="8"/>
  <c r="A1146" i="8"/>
  <c r="A1150" i="8"/>
  <c r="A1154" i="8"/>
  <c r="A1158" i="8"/>
  <c r="A1162" i="8"/>
  <c r="A1166" i="8"/>
  <c r="A1170" i="8"/>
  <c r="A1174" i="8"/>
  <c r="A1178" i="8"/>
  <c r="A1182" i="8"/>
  <c r="A1186" i="8"/>
  <c r="A1190" i="8"/>
  <c r="A1194" i="8"/>
  <c r="A1198" i="8"/>
  <c r="A1202" i="8"/>
  <c r="A1206" i="8"/>
  <c r="A1210" i="8"/>
  <c r="A1214" i="8"/>
  <c r="A1218" i="8"/>
  <c r="A1222" i="8"/>
  <c r="A1226" i="8"/>
  <c r="A1230" i="8"/>
  <c r="A1234" i="8"/>
  <c r="A1238" i="8"/>
  <c r="A1242" i="8"/>
  <c r="A1246" i="8"/>
  <c r="A1250" i="8"/>
  <c r="A1254" i="8"/>
  <c r="A1258" i="8"/>
  <c r="A1262" i="8"/>
  <c r="A1266" i="8"/>
  <c r="A1270" i="8"/>
  <c r="A1274" i="8"/>
  <c r="A1278" i="8"/>
  <c r="A1282" i="8"/>
  <c r="A1286" i="8"/>
  <c r="A1290" i="8"/>
  <c r="A1294" i="8"/>
  <c r="A1298" i="8"/>
  <c r="A1302" i="8"/>
  <c r="A1306" i="8"/>
  <c r="A1310" i="8"/>
  <c r="A1314" i="8"/>
  <c r="A1318" i="8"/>
  <c r="A1322" i="8"/>
  <c r="A1326" i="8"/>
  <c r="A1330" i="8"/>
  <c r="A1334" i="8"/>
  <c r="A1338" i="8"/>
  <c r="A1342" i="8"/>
  <c r="A1346" i="8"/>
  <c r="A1350" i="8"/>
  <c r="A1354" i="8"/>
  <c r="A1358" i="8"/>
  <c r="A1362" i="8"/>
  <c r="A1366" i="8"/>
  <c r="A1370" i="8"/>
  <c r="A1374" i="8"/>
  <c r="A1378" i="8"/>
  <c r="A1382" i="8"/>
  <c r="A1386" i="8"/>
  <c r="A1390" i="8"/>
  <c r="A1394" i="8"/>
  <c r="A1398" i="8"/>
  <c r="A1402" i="8"/>
  <c r="A1406" i="8"/>
  <c r="A1410" i="8"/>
  <c r="A1414" i="8"/>
  <c r="A1418" i="8"/>
  <c r="A1422" i="8"/>
  <c r="A1426" i="8"/>
  <c r="A1430" i="8"/>
  <c r="A1434" i="8"/>
  <c r="A1438" i="8"/>
  <c r="A1442" i="8"/>
  <c r="A1446" i="8"/>
  <c r="A1450" i="8"/>
  <c r="A1454" i="8"/>
  <c r="A1458" i="8"/>
  <c r="A1462" i="8"/>
  <c r="A1466" i="8"/>
  <c r="A1470" i="8"/>
  <c r="A1474" i="8"/>
  <c r="A1478" i="8"/>
  <c r="A1482" i="8"/>
  <c r="A1486" i="8"/>
  <c r="A1490" i="8"/>
  <c r="A1494" i="8"/>
  <c r="A1498" i="8"/>
  <c r="A1502" i="8"/>
  <c r="A1506" i="8"/>
  <c r="A1510" i="8"/>
  <c r="A1514" i="8"/>
  <c r="A1518" i="8"/>
  <c r="A1522" i="8"/>
  <c r="A1526" i="8"/>
  <c r="A1530" i="8"/>
  <c r="A1534" i="8"/>
  <c r="A1538" i="8"/>
  <c r="A1542" i="8"/>
  <c r="A1546" i="8"/>
  <c r="A1550" i="8"/>
  <c r="A1554" i="8"/>
  <c r="A1558" i="8"/>
  <c r="A1562" i="8"/>
  <c r="A1566" i="8"/>
  <c r="A1570" i="8"/>
  <c r="A1574" i="8"/>
  <c r="A1578" i="8"/>
  <c r="A1582" i="8"/>
  <c r="A1586" i="8"/>
  <c r="A1590" i="8"/>
  <c r="A1594" i="8"/>
  <c r="A1598" i="8"/>
  <c r="A1602" i="8"/>
  <c r="A1606" i="8"/>
  <c r="A1610" i="8"/>
  <c r="A1614" i="8"/>
  <c r="A1618" i="8"/>
  <c r="A1622" i="8"/>
  <c r="A1626" i="8"/>
  <c r="A1630" i="8"/>
  <c r="A1634" i="8"/>
  <c r="A1638" i="8"/>
  <c r="A1642" i="8"/>
  <c r="A1646" i="8"/>
  <c r="A1650" i="8"/>
  <c r="A1654" i="8"/>
  <c r="A1658" i="8"/>
  <c r="A1662" i="8"/>
  <c r="A1666" i="8"/>
  <c r="A1670" i="8"/>
  <c r="A1674" i="8"/>
  <c r="A1678" i="8"/>
  <c r="A1682" i="8"/>
  <c r="A204" i="8"/>
  <c r="A515" i="8"/>
  <c r="A605" i="8"/>
  <c r="A669" i="8"/>
  <c r="A733" i="8"/>
  <c r="A797" i="8"/>
  <c r="A861" i="8"/>
  <c r="A925" i="8"/>
  <c r="A989" i="8"/>
  <c r="A1053" i="8"/>
  <c r="A1109" i="8"/>
  <c r="A1138" i="8"/>
  <c r="A1155" i="8"/>
  <c r="A1171" i="8"/>
  <c r="A1187" i="8"/>
  <c r="A1203" i="8"/>
  <c r="A1219" i="8"/>
  <c r="A1235" i="8"/>
  <c r="A1251" i="8"/>
  <c r="A1267" i="8"/>
  <c r="A1283" i="8"/>
  <c r="A1299" i="8"/>
  <c r="A1315" i="8"/>
  <c r="A1331" i="8"/>
  <c r="A1347" i="8"/>
  <c r="A1363" i="8"/>
  <c r="A1379" i="8"/>
  <c r="A1395" i="8"/>
  <c r="A1411" i="8"/>
  <c r="A1427" i="8"/>
  <c r="A1443" i="8"/>
  <c r="A1459" i="8"/>
  <c r="A1475" i="8"/>
  <c r="A1491" i="8"/>
  <c r="A1507" i="8"/>
  <c r="A1523" i="8"/>
  <c r="A1539" i="8"/>
  <c r="A1555" i="8"/>
  <c r="A1571" i="8"/>
  <c r="A1587" i="8"/>
  <c r="A1603" i="8"/>
  <c r="A1619" i="8"/>
  <c r="A1633" i="8"/>
  <c r="A1640" i="8"/>
  <c r="A1645" i="8"/>
  <c r="A1651" i="8"/>
  <c r="A1656" i="8"/>
  <c r="A1661" i="8"/>
  <c r="A1667" i="8"/>
  <c r="A1672" i="8"/>
  <c r="A1677" i="8"/>
  <c r="A1683" i="8"/>
  <c r="A1687" i="8"/>
  <c r="A1691" i="8"/>
  <c r="A1695" i="8"/>
  <c r="A1699" i="8"/>
  <c r="A1703" i="8"/>
  <c r="A1707" i="8"/>
  <c r="A1711" i="8"/>
  <c r="A1715" i="8"/>
  <c r="A1719" i="8"/>
  <c r="A1723" i="8"/>
  <c r="A1727" i="8"/>
  <c r="A1731" i="8"/>
  <c r="A1735" i="8"/>
  <c r="A1739" i="8"/>
  <c r="A1743" i="8"/>
  <c r="A1747" i="8"/>
  <c r="A1751" i="8"/>
  <c r="A1755" i="8"/>
  <c r="A1759" i="8"/>
  <c r="A1763" i="8"/>
  <c r="A1767" i="8"/>
  <c r="A1771" i="8"/>
  <c r="A1775" i="8"/>
  <c r="A1779" i="8"/>
  <c r="A1783" i="8"/>
  <c r="A1787" i="8"/>
  <c r="A1791" i="8"/>
  <c r="A1795" i="8"/>
  <c r="A1799" i="8"/>
  <c r="A1803" i="8"/>
  <c r="A1807" i="8"/>
  <c r="A1811" i="8"/>
  <c r="A1815" i="8"/>
  <c r="A1819" i="8"/>
  <c r="A1823" i="8"/>
  <c r="A1827" i="8"/>
  <c r="A1831" i="8"/>
  <c r="A1835" i="8"/>
  <c r="A1839" i="8"/>
  <c r="A1843" i="8"/>
  <c r="A1847" i="8"/>
  <c r="A1851" i="8"/>
  <c r="A1855" i="8"/>
  <c r="A1859" i="8"/>
  <c r="A1863" i="8"/>
  <c r="A1867" i="8"/>
  <c r="A1871" i="8"/>
  <c r="A1875" i="8"/>
  <c r="A1879" i="8"/>
  <c r="A1883" i="8"/>
  <c r="A1887" i="8"/>
  <c r="A1891" i="8"/>
  <c r="A1895" i="8"/>
  <c r="A1899" i="8"/>
  <c r="A1903" i="8"/>
  <c r="A1907" i="8"/>
  <c r="A1911" i="8"/>
  <c r="A1915" i="8"/>
  <c r="A1919" i="8"/>
  <c r="A1923" i="8"/>
  <c r="A1927" i="8"/>
  <c r="A1931" i="8"/>
  <c r="A1935" i="8"/>
  <c r="A1939" i="8"/>
  <c r="A1943" i="8"/>
  <c r="A1947" i="8"/>
  <c r="A1951" i="8"/>
  <c r="A1955" i="8"/>
  <c r="A1959" i="8"/>
  <c r="A1963" i="8"/>
  <c r="A1967" i="8"/>
  <c r="A1971" i="8"/>
  <c r="A1975" i="8"/>
  <c r="A1979" i="8"/>
  <c r="A1983" i="8"/>
  <c r="A1987" i="8"/>
  <c r="A1991" i="8"/>
  <c r="A1995" i="8"/>
  <c r="A1999" i="8"/>
  <c r="A2003" i="8"/>
  <c r="A2007" i="8"/>
  <c r="A2011" i="8"/>
  <c r="A2015" i="8"/>
  <c r="A2019" i="8"/>
  <c r="A2023" i="8"/>
  <c r="A2027" i="8"/>
  <c r="A2031" i="8"/>
  <c r="A2035" i="8"/>
  <c r="A2039" i="8"/>
  <c r="A2043" i="8"/>
  <c r="A2047" i="8"/>
  <c r="A2051" i="8"/>
  <c r="A2055" i="8"/>
  <c r="A2059" i="8"/>
  <c r="A2063" i="8"/>
  <c r="A2067" i="8"/>
  <c r="A2071" i="8"/>
  <c r="A2075" i="8"/>
  <c r="A2079" i="8"/>
  <c r="A2083" i="8"/>
  <c r="A2087" i="8"/>
  <c r="A2091" i="8"/>
  <c r="A2095" i="8"/>
  <c r="A2099" i="8"/>
  <c r="A2103" i="8"/>
  <c r="A2107" i="8"/>
  <c r="A2111" i="8"/>
  <c r="A2115" i="8"/>
  <c r="A2119" i="8"/>
  <c r="A2123" i="8"/>
  <c r="A2127" i="8"/>
  <c r="A2131" i="8"/>
  <c r="A2135" i="8"/>
  <c r="A2139" i="8"/>
  <c r="A2143" i="8"/>
  <c r="A2147" i="8"/>
  <c r="A2151" i="8"/>
  <c r="A2155" i="8"/>
  <c r="A2159" i="8"/>
  <c r="A2163" i="8"/>
  <c r="A2167" i="8"/>
  <c r="A2171" i="8"/>
  <c r="A2175" i="8"/>
  <c r="A2179" i="8"/>
  <c r="A2183" i="8"/>
  <c r="A2187" i="8"/>
  <c r="A2191" i="8"/>
  <c r="A2195" i="8"/>
  <c r="A2199" i="8"/>
  <c r="A2203" i="8"/>
  <c r="A2207" i="8"/>
  <c r="A2211" i="8"/>
  <c r="A2215" i="8"/>
  <c r="A2219" i="8"/>
  <c r="A2223" i="8"/>
  <c r="A2227" i="8"/>
  <c r="A2231" i="8"/>
  <c r="A2235" i="8"/>
  <c r="A2239" i="8"/>
  <c r="A2243" i="8"/>
  <c r="A2247" i="8"/>
  <c r="A2251" i="8"/>
  <c r="A2255" i="8"/>
  <c r="A2259" i="8"/>
  <c r="A2263" i="8"/>
  <c r="A2267" i="8"/>
  <c r="A2271" i="8"/>
  <c r="A2275" i="8"/>
  <c r="A2279" i="8"/>
  <c r="A2283" i="8"/>
  <c r="A2287" i="8"/>
  <c r="A2291" i="8"/>
  <c r="A2295" i="8"/>
  <c r="A2299" i="8"/>
  <c r="A2303" i="8"/>
  <c r="A2307" i="8"/>
  <c r="A2311" i="8"/>
  <c r="A2315" i="8"/>
  <c r="A2319" i="8"/>
  <c r="A2323" i="8"/>
  <c r="A2327" i="8"/>
  <c r="A2331" i="8"/>
  <c r="A2335" i="8"/>
  <c r="A2339" i="8"/>
  <c r="A2343" i="8"/>
  <c r="A2347" i="8"/>
  <c r="A2351" i="8"/>
  <c r="A2355" i="8"/>
  <c r="A2359" i="8"/>
  <c r="A2363" i="8"/>
  <c r="A2367" i="8"/>
  <c r="A2371" i="8"/>
  <c r="A2375" i="8"/>
  <c r="A2379" i="8"/>
  <c r="A2383" i="8"/>
  <c r="A2387" i="8"/>
  <c r="A2391" i="8"/>
  <c r="A2395" i="8"/>
  <c r="A2399" i="8"/>
  <c r="A2403" i="8"/>
  <c r="A2407" i="8"/>
  <c r="A2411" i="8"/>
  <c r="A2415" i="8"/>
  <c r="A2419" i="8"/>
  <c r="A2423" i="8"/>
  <c r="A2427" i="8"/>
  <c r="A2431" i="8"/>
  <c r="A2435" i="8"/>
  <c r="A2439" i="8"/>
  <c r="A2443" i="8"/>
  <c r="A2447" i="8"/>
  <c r="A2451" i="8"/>
  <c r="A2455" i="8"/>
  <c r="A2459" i="8"/>
  <c r="A2463" i="8"/>
  <c r="A2467" i="8"/>
  <c r="A2471" i="8"/>
  <c r="A2475" i="8"/>
  <c r="A2479" i="8"/>
  <c r="A2483" i="8"/>
  <c r="A2487" i="8"/>
  <c r="A2491" i="8"/>
  <c r="A2495" i="8"/>
  <c r="A2499" i="8"/>
  <c r="A2503" i="8"/>
  <c r="A2507" i="8"/>
  <c r="A2511" i="8"/>
  <c r="A2515" i="8"/>
  <c r="A2519" i="8"/>
  <c r="A2523" i="8"/>
  <c r="A2527" i="8"/>
  <c r="A2531" i="8"/>
  <c r="A2535" i="8"/>
  <c r="A2539" i="8"/>
  <c r="A2543" i="8"/>
  <c r="A2547" i="8"/>
  <c r="A2551" i="8"/>
  <c r="A2555" i="8"/>
  <c r="A2559" i="8"/>
  <c r="A2563" i="8"/>
  <c r="A2567" i="8"/>
  <c r="A2571" i="8"/>
  <c r="A2575" i="8"/>
  <c r="A2579" i="8"/>
  <c r="A2583" i="8"/>
  <c r="A2587" i="8"/>
  <c r="A2591" i="8"/>
  <c r="A2595" i="8"/>
  <c r="A2599" i="8"/>
  <c r="A2603" i="8"/>
  <c r="A2607" i="8"/>
  <c r="A2611" i="8"/>
  <c r="A2615" i="8"/>
  <c r="A2619" i="8"/>
  <c r="A2623" i="8"/>
  <c r="A2627" i="8"/>
  <c r="A2631" i="8"/>
  <c r="A2635" i="8"/>
  <c r="A2639" i="8"/>
  <c r="A2643" i="8"/>
  <c r="A2647" i="8"/>
  <c r="A2651" i="8"/>
  <c r="A2655" i="8"/>
  <c r="A2659" i="8"/>
  <c r="A2663" i="8"/>
  <c r="A2667" i="8"/>
  <c r="A2671" i="8"/>
  <c r="A2675" i="8"/>
  <c r="A2679" i="8"/>
  <c r="A2683" i="8"/>
  <c r="A2687" i="8"/>
  <c r="A2691" i="8"/>
  <c r="A2695" i="8"/>
  <c r="A2699" i="8"/>
  <c r="A2703" i="8"/>
  <c r="A2707" i="8"/>
  <c r="A2711" i="8"/>
  <c r="A2715" i="8"/>
  <c r="A2719" i="8"/>
  <c r="A2723" i="8"/>
  <c r="A2727" i="8"/>
  <c r="A2731" i="8"/>
  <c r="A2735" i="8"/>
  <c r="A2739" i="8"/>
  <c r="A2743" i="8"/>
  <c r="A2747" i="8"/>
  <c r="A2751" i="8"/>
  <c r="A2755" i="8"/>
  <c r="A2759" i="8"/>
  <c r="A2763" i="8"/>
  <c r="A2767" i="8"/>
  <c r="A2771" i="8"/>
  <c r="A2775" i="8"/>
  <c r="A2779" i="8"/>
  <c r="A2783" i="8"/>
  <c r="A2787" i="8"/>
  <c r="A2791" i="8"/>
  <c r="A2795" i="8"/>
  <c r="A2799" i="8"/>
  <c r="A2803" i="8"/>
  <c r="A2807" i="8"/>
  <c r="A2811" i="8"/>
  <c r="A2815" i="8"/>
  <c r="A2819" i="8"/>
  <c r="A2823" i="8"/>
  <c r="A2827" i="8"/>
  <c r="A2831" i="8"/>
  <c r="A2835" i="8"/>
  <c r="A2839" i="8"/>
  <c r="A323" i="8"/>
  <c r="A553" i="8"/>
  <c r="A621" i="8"/>
  <c r="A685" i="8"/>
  <c r="A749" i="8"/>
  <c r="A813" i="8"/>
  <c r="A877" i="8"/>
  <c r="A941" i="8"/>
  <c r="A1005" i="8"/>
  <c r="A1069" i="8"/>
  <c r="A1117" i="8"/>
  <c r="A1143" i="8"/>
  <c r="A1159" i="8"/>
  <c r="A1175" i="8"/>
  <c r="A1191" i="8"/>
  <c r="A1207" i="8"/>
  <c r="A1223" i="8"/>
  <c r="A1239" i="8"/>
  <c r="A1255" i="8"/>
  <c r="A1271" i="8"/>
  <c r="A1287" i="8"/>
  <c r="A1303" i="8"/>
  <c r="A1319" i="8"/>
  <c r="A1335" i="8"/>
  <c r="A1351" i="8"/>
  <c r="A1367" i="8"/>
  <c r="A1383" i="8"/>
  <c r="A1399" i="8"/>
  <c r="A1415" i="8"/>
  <c r="A1431" i="8"/>
  <c r="A1447" i="8"/>
  <c r="A1463" i="8"/>
  <c r="A1479" i="8"/>
  <c r="A1495" i="8"/>
  <c r="A1511" i="8"/>
  <c r="A1527" i="8"/>
  <c r="A1543" i="8"/>
  <c r="A1559" i="8"/>
  <c r="A1575" i="8"/>
  <c r="A1591" i="8"/>
  <c r="A1607" i="8"/>
  <c r="A1623" i="8"/>
  <c r="A1635" i="8"/>
  <c r="A1641" i="8"/>
  <c r="A1647" i="8"/>
  <c r="A1652" i="8"/>
  <c r="A1657" i="8"/>
  <c r="A1663" i="8"/>
  <c r="A1668" i="8"/>
  <c r="A1673" i="8"/>
  <c r="A1679" i="8"/>
  <c r="A1684" i="8"/>
  <c r="A1688" i="8"/>
  <c r="A1692" i="8"/>
  <c r="A1696" i="8"/>
  <c r="A1700" i="8"/>
  <c r="A1704" i="8"/>
  <c r="A1708" i="8"/>
  <c r="A1712" i="8"/>
  <c r="A1716" i="8"/>
  <c r="A1720" i="8"/>
  <c r="A1724" i="8"/>
  <c r="A1728" i="8"/>
  <c r="A1732" i="8"/>
  <c r="A1736" i="8"/>
  <c r="A1740" i="8"/>
  <c r="A1744" i="8"/>
  <c r="A1748" i="8"/>
  <c r="A1752" i="8"/>
  <c r="A1756" i="8"/>
  <c r="A1760" i="8"/>
  <c r="A1764" i="8"/>
  <c r="A1768" i="8"/>
  <c r="A1772" i="8"/>
  <c r="A1776" i="8"/>
  <c r="A1780" i="8"/>
  <c r="A1784" i="8"/>
  <c r="A1788" i="8"/>
  <c r="A1792" i="8"/>
  <c r="A1796" i="8"/>
  <c r="A1800" i="8"/>
  <c r="A1804" i="8"/>
  <c r="A1808" i="8"/>
  <c r="A1812" i="8"/>
  <c r="A1816" i="8"/>
  <c r="A1820" i="8"/>
  <c r="A1824" i="8"/>
  <c r="A1828" i="8"/>
  <c r="A1832" i="8"/>
  <c r="A1836" i="8"/>
  <c r="A1840" i="8"/>
  <c r="A1844" i="8"/>
  <c r="A1848" i="8"/>
  <c r="A1852" i="8"/>
  <c r="A1856" i="8"/>
  <c r="A1860" i="8"/>
  <c r="A1864" i="8"/>
  <c r="A1868" i="8"/>
  <c r="A1872" i="8"/>
  <c r="A1876" i="8"/>
  <c r="A1880" i="8"/>
  <c r="A1884" i="8"/>
  <c r="A1888" i="8"/>
  <c r="A1892" i="8"/>
  <c r="A1896" i="8"/>
  <c r="A1900" i="8"/>
  <c r="A1904" i="8"/>
  <c r="A1908" i="8"/>
  <c r="A1912" i="8"/>
  <c r="A1916" i="8"/>
  <c r="A1920" i="8"/>
  <c r="A387" i="8"/>
  <c r="A573" i="8"/>
  <c r="A637" i="8"/>
  <c r="A701" i="8"/>
  <c r="A765" i="8"/>
  <c r="A829" i="8"/>
  <c r="A893" i="8"/>
  <c r="A957" i="8"/>
  <c r="A1021" i="8"/>
  <c r="A1085" i="8"/>
  <c r="A1125" i="8"/>
  <c r="A1147" i="8"/>
  <c r="A1163" i="8"/>
  <c r="A1179" i="8"/>
  <c r="A1195" i="8"/>
  <c r="A1211" i="8"/>
  <c r="A1227" i="8"/>
  <c r="A1243" i="8"/>
  <c r="A1259" i="8"/>
  <c r="A1275" i="8"/>
  <c r="A1291" i="8"/>
  <c r="A1307" i="8"/>
  <c r="A1323" i="8"/>
  <c r="A1339" i="8"/>
  <c r="A1355" i="8"/>
  <c r="A1371" i="8"/>
  <c r="A1387" i="8"/>
  <c r="A1403" i="8"/>
  <c r="A1419" i="8"/>
  <c r="A1435" i="8"/>
  <c r="A1451" i="8"/>
  <c r="A1467" i="8"/>
  <c r="A1483" i="8"/>
  <c r="A1499" i="8"/>
  <c r="A1515" i="8"/>
  <c r="A1531" i="8"/>
  <c r="A1547" i="8"/>
  <c r="A1563" i="8"/>
  <c r="A1579" i="8"/>
  <c r="A1595" i="8"/>
  <c r="A1611" i="8"/>
  <c r="A1627" i="8"/>
  <c r="A1637" i="8"/>
  <c r="A1643" i="8"/>
  <c r="A1648" i="8"/>
  <c r="A1653" i="8"/>
  <c r="A1659" i="8"/>
  <c r="A1664" i="8"/>
  <c r="A1669" i="8"/>
  <c r="A1675" i="8"/>
  <c r="A1680" i="8"/>
  <c r="A1685" i="8"/>
  <c r="A1689" i="8"/>
  <c r="A1693" i="8"/>
  <c r="A1697" i="8"/>
  <c r="A1701" i="8"/>
  <c r="A1705" i="8"/>
  <c r="A1709" i="8"/>
  <c r="A1713" i="8"/>
  <c r="A1717" i="8"/>
  <c r="A1721" i="8"/>
  <c r="A1725" i="8"/>
  <c r="A1729" i="8"/>
  <c r="A1733" i="8"/>
  <c r="A1737" i="8"/>
  <c r="A1741" i="8"/>
  <c r="A1745" i="8"/>
  <c r="A1749" i="8"/>
  <c r="A1753" i="8"/>
  <c r="A1757" i="8"/>
  <c r="A1761" i="8"/>
  <c r="A1765" i="8"/>
  <c r="A1769" i="8"/>
  <c r="A1773" i="8"/>
  <c r="A1777" i="8"/>
  <c r="A1781" i="8"/>
  <c r="A1785" i="8"/>
  <c r="A1789" i="8"/>
  <c r="A1793" i="8"/>
  <c r="A1797" i="8"/>
  <c r="A1801" i="8"/>
  <c r="A1805" i="8"/>
  <c r="A1809" i="8"/>
  <c r="A1813" i="8"/>
  <c r="A1817" i="8"/>
  <c r="A1821" i="8"/>
  <c r="A1825" i="8"/>
  <c r="A1829" i="8"/>
  <c r="A1833" i="8"/>
  <c r="A1837" i="8"/>
  <c r="A1841" i="8"/>
  <c r="A1845" i="8"/>
  <c r="A1849" i="8"/>
  <c r="A1853" i="8"/>
  <c r="A1857" i="8"/>
  <c r="A1861" i="8"/>
  <c r="A1865" i="8"/>
  <c r="A1869" i="8"/>
  <c r="A1873" i="8"/>
  <c r="A1877" i="8"/>
  <c r="A1881" i="8"/>
  <c r="A1885" i="8"/>
  <c r="A1889" i="8"/>
  <c r="A1893" i="8"/>
  <c r="A1897" i="8"/>
  <c r="A1901" i="8"/>
  <c r="A1905" i="8"/>
  <c r="A1909" i="8"/>
  <c r="A1913" i="8"/>
  <c r="A1917" i="8"/>
  <c r="A1921" i="8"/>
  <c r="A1925" i="8"/>
  <c r="A1929" i="8"/>
  <c r="A1933" i="8"/>
  <c r="A1937" i="8"/>
  <c r="A1941" i="8"/>
  <c r="A1945" i="8"/>
  <c r="A1949" i="8"/>
  <c r="A1953" i="8"/>
  <c r="A1957" i="8"/>
  <c r="A1961" i="8"/>
  <c r="A1965" i="8"/>
  <c r="A1969" i="8"/>
  <c r="A1973" i="8"/>
  <c r="A1977" i="8"/>
  <c r="A1981" i="8"/>
  <c r="A1985" i="8"/>
  <c r="A1989" i="8"/>
  <c r="A1993" i="8"/>
  <c r="A1997" i="8"/>
  <c r="A2001" i="8"/>
  <c r="A2005" i="8"/>
  <c r="A2009" i="8"/>
  <c r="A2013" i="8"/>
  <c r="A2017" i="8"/>
  <c r="A2021" i="8"/>
  <c r="A2025" i="8"/>
  <c r="A2029" i="8"/>
  <c r="A2033" i="8"/>
  <c r="A2037" i="8"/>
  <c r="A2041" i="8"/>
  <c r="A2045" i="8"/>
  <c r="A2049" i="8"/>
  <c r="A2053" i="8"/>
  <c r="A2057" i="8"/>
  <c r="A2061" i="8"/>
  <c r="A2065" i="8"/>
  <c r="A2069" i="8"/>
  <c r="A2073" i="8"/>
  <c r="A2077" i="8"/>
  <c r="A2081" i="8"/>
  <c r="A2085" i="8"/>
  <c r="A2089" i="8"/>
  <c r="A2093" i="8"/>
  <c r="A2097" i="8"/>
  <c r="A2101" i="8"/>
  <c r="A2105" i="8"/>
  <c r="A2109" i="8"/>
  <c r="A2113" i="8"/>
  <c r="A2117" i="8"/>
  <c r="A2121" i="8"/>
  <c r="A2125" i="8"/>
  <c r="A2129" i="8"/>
  <c r="A2133" i="8"/>
  <c r="A2137" i="8"/>
  <c r="A2141" i="8"/>
  <c r="A2145" i="8"/>
  <c r="A2149" i="8"/>
  <c r="A2153" i="8"/>
  <c r="A2157" i="8"/>
  <c r="A2161" i="8"/>
  <c r="A2165" i="8"/>
  <c r="A2169" i="8"/>
  <c r="A2173" i="8"/>
  <c r="A2177" i="8"/>
  <c r="A2181" i="8"/>
  <c r="A2185" i="8"/>
  <c r="A2189" i="8"/>
  <c r="A2193" i="8"/>
  <c r="A2197" i="8"/>
  <c r="A2201" i="8"/>
  <c r="A2205" i="8"/>
  <c r="A2209" i="8"/>
  <c r="A2213" i="8"/>
  <c r="A2217" i="8"/>
  <c r="A2221" i="8"/>
  <c r="A2225" i="8"/>
  <c r="A2229" i="8"/>
  <c r="A2233" i="8"/>
  <c r="A2237" i="8"/>
  <c r="A2241" i="8"/>
  <c r="A2245" i="8"/>
  <c r="A2249" i="8"/>
  <c r="A2253" i="8"/>
  <c r="A2257" i="8"/>
  <c r="A2261" i="8"/>
  <c r="A2265" i="8"/>
  <c r="A2269" i="8"/>
  <c r="A2273" i="8"/>
  <c r="A2277" i="8"/>
  <c r="A2281" i="8"/>
  <c r="A2285" i="8"/>
  <c r="A2289" i="8"/>
  <c r="A2293" i="8"/>
  <c r="A2297" i="8"/>
  <c r="A2301" i="8"/>
  <c r="A2305" i="8"/>
  <c r="A2309" i="8"/>
  <c r="A2313" i="8"/>
  <c r="A2317" i="8"/>
  <c r="A2321" i="8"/>
  <c r="A2325" i="8"/>
  <c r="A2329" i="8"/>
  <c r="A2333" i="8"/>
  <c r="A2337" i="8"/>
  <c r="A2341" i="8"/>
  <c r="A2345" i="8"/>
  <c r="A2349" i="8"/>
  <c r="A2353" i="8"/>
  <c r="A2357" i="8"/>
  <c r="A2361" i="8"/>
  <c r="A2365" i="8"/>
  <c r="A2369" i="8"/>
  <c r="A2373" i="8"/>
  <c r="A2377" i="8"/>
  <c r="A2381" i="8"/>
  <c r="A2385" i="8"/>
  <c r="A2389" i="8"/>
  <c r="A2393" i="8"/>
  <c r="A2397" i="8"/>
  <c r="A2401" i="8"/>
  <c r="A2405" i="8"/>
  <c r="A2409" i="8"/>
  <c r="A2413" i="8"/>
  <c r="A2417" i="8"/>
  <c r="A2421" i="8"/>
  <c r="A2425" i="8"/>
  <c r="A2429" i="8"/>
  <c r="A2433" i="8"/>
  <c r="A2437" i="8"/>
  <c r="A2441" i="8"/>
  <c r="A2445" i="8"/>
  <c r="A2449" i="8"/>
  <c r="A2453" i="8"/>
  <c r="A2457" i="8"/>
  <c r="A2461" i="8"/>
  <c r="A2465" i="8"/>
  <c r="A2469" i="8"/>
  <c r="A2473" i="8"/>
  <c r="A2477" i="8"/>
  <c r="A2481" i="8"/>
  <c r="A2485" i="8"/>
  <c r="A2489" i="8"/>
  <c r="A2493" i="8"/>
  <c r="A2497" i="8"/>
  <c r="A2501" i="8"/>
  <c r="A2505" i="8"/>
  <c r="A2509" i="8"/>
  <c r="A2513" i="8"/>
  <c r="A2517" i="8"/>
  <c r="A2521" i="8"/>
  <c r="A2525" i="8"/>
  <c r="A2529" i="8"/>
  <c r="A2533" i="8"/>
  <c r="A2537" i="8"/>
  <c r="A2541" i="8"/>
  <c r="A2545" i="8"/>
  <c r="A2549" i="8"/>
  <c r="A2553" i="8"/>
  <c r="A2557" i="8"/>
  <c r="A2561" i="8"/>
  <c r="A2565" i="8"/>
  <c r="A2569" i="8"/>
  <c r="A2573" i="8"/>
  <c r="A2577" i="8"/>
  <c r="A2581" i="8"/>
  <c r="A2585" i="8"/>
  <c r="A2589" i="8"/>
  <c r="A2593" i="8"/>
  <c r="A2597" i="8"/>
  <c r="A2601" i="8"/>
  <c r="A2605" i="8"/>
  <c r="A2609" i="8"/>
  <c r="A2613" i="8"/>
  <c r="A2617" i="8"/>
  <c r="A2621" i="8"/>
  <c r="A2625" i="8"/>
  <c r="A2629" i="8"/>
  <c r="A2633" i="8"/>
  <c r="A2637" i="8"/>
  <c r="A2641" i="8"/>
  <c r="A2645" i="8"/>
  <c r="A2649" i="8"/>
  <c r="A2653" i="8"/>
  <c r="A2657" i="8"/>
  <c r="A2661" i="8"/>
  <c r="A2665" i="8"/>
  <c r="A2669" i="8"/>
  <c r="A2673" i="8"/>
  <c r="A2677" i="8"/>
  <c r="A2681" i="8"/>
  <c r="A2685" i="8"/>
  <c r="A2689" i="8"/>
  <c r="A2693" i="8"/>
  <c r="A2697" i="8"/>
  <c r="A2701" i="8"/>
  <c r="A2705" i="8"/>
  <c r="A2709" i="8"/>
  <c r="A2713" i="8"/>
  <c r="A2717" i="8"/>
  <c r="A2721" i="8"/>
  <c r="A2725" i="8"/>
  <c r="A2729" i="8"/>
  <c r="A2733" i="8"/>
  <c r="A2737" i="8"/>
  <c r="A2741" i="8"/>
  <c r="A2745" i="8"/>
  <c r="A2749" i="8"/>
  <c r="A2753" i="8"/>
  <c r="A2757" i="8"/>
  <c r="A2761" i="8"/>
  <c r="A2765" i="8"/>
  <c r="A2769" i="8"/>
  <c r="A2773" i="8"/>
  <c r="A2777" i="8"/>
  <c r="A2781" i="8"/>
  <c r="A2785" i="8"/>
  <c r="A2789" i="8"/>
  <c r="A2793" i="8"/>
  <c r="A2797" i="8"/>
  <c r="A2801" i="8"/>
  <c r="A2805" i="8"/>
  <c r="A2809" i="8"/>
  <c r="A2813" i="8"/>
  <c r="A2817" i="8"/>
  <c r="A2821" i="8"/>
  <c r="A2825" i="8"/>
  <c r="A2829" i="8"/>
  <c r="A2833" i="8"/>
  <c r="A2837" i="8"/>
  <c r="A2841" i="8"/>
  <c r="A451" i="8"/>
  <c r="A781" i="8"/>
  <c r="A1037" i="8"/>
  <c r="A1167" i="8"/>
  <c r="A1231" i="8"/>
  <c r="A1295" i="8"/>
  <c r="A1359" i="8"/>
  <c r="A1423" i="8"/>
  <c r="A1487" i="8"/>
  <c r="A1551" i="8"/>
  <c r="A1615" i="8"/>
  <c r="A1649" i="8"/>
  <c r="A1671" i="8"/>
  <c r="A1690" i="8"/>
  <c r="A1706" i="8"/>
  <c r="A1722" i="8"/>
  <c r="A1738" i="8"/>
  <c r="A1754" i="8"/>
  <c r="A1770" i="8"/>
  <c r="A1786" i="8"/>
  <c r="A1802" i="8"/>
  <c r="A1818" i="8"/>
  <c r="A1834" i="8"/>
  <c r="A1850" i="8"/>
  <c r="A1866" i="8"/>
  <c r="A1882" i="8"/>
  <c r="A1898" i="8"/>
  <c r="A1914" i="8"/>
  <c r="A1926" i="8"/>
  <c r="A1934" i="8"/>
  <c r="A1942" i="8"/>
  <c r="A1950" i="8"/>
  <c r="A1958" i="8"/>
  <c r="A1966" i="8"/>
  <c r="A1974" i="8"/>
  <c r="A1982" i="8"/>
  <c r="A1990" i="8"/>
  <c r="A1998" i="8"/>
  <c r="A2006" i="8"/>
  <c r="A2014" i="8"/>
  <c r="A2022" i="8"/>
  <c r="A2030" i="8"/>
  <c r="A2038" i="8"/>
  <c r="A2046" i="8"/>
  <c r="A2054" i="8"/>
  <c r="A2062" i="8"/>
  <c r="A2070" i="8"/>
  <c r="A2078" i="8"/>
  <c r="A2086" i="8"/>
  <c r="A2094" i="8"/>
  <c r="A2102" i="8"/>
  <c r="A2110" i="8"/>
  <c r="A2118" i="8"/>
  <c r="A2126" i="8"/>
  <c r="A2134" i="8"/>
  <c r="A2142" i="8"/>
  <c r="A2150" i="8"/>
  <c r="A2158" i="8"/>
  <c r="A2166" i="8"/>
  <c r="A2174" i="8"/>
  <c r="A2182" i="8"/>
  <c r="A2190" i="8"/>
  <c r="A2198" i="8"/>
  <c r="A2206" i="8"/>
  <c r="A2214" i="8"/>
  <c r="A2222" i="8"/>
  <c r="A2230" i="8"/>
  <c r="A2238" i="8"/>
  <c r="A2246" i="8"/>
  <c r="A2254" i="8"/>
  <c r="A2262" i="8"/>
  <c r="A2270" i="8"/>
  <c r="A2278" i="8"/>
  <c r="A2286" i="8"/>
  <c r="A2294" i="8"/>
  <c r="A2302" i="8"/>
  <c r="A2310" i="8"/>
  <c r="A2318" i="8"/>
  <c r="A2326" i="8"/>
  <c r="A2334" i="8"/>
  <c r="A2342" i="8"/>
  <c r="A2350" i="8"/>
  <c r="A2358" i="8"/>
  <c r="A2366" i="8"/>
  <c r="A2374" i="8"/>
  <c r="A2382" i="8"/>
  <c r="A2390" i="8"/>
  <c r="A2398" i="8"/>
  <c r="A2406" i="8"/>
  <c r="A2414" i="8"/>
  <c r="A2422" i="8"/>
  <c r="A2430" i="8"/>
  <c r="A2438" i="8"/>
  <c r="A2446" i="8"/>
  <c r="A2454" i="8"/>
  <c r="A2462" i="8"/>
  <c r="A2470" i="8"/>
  <c r="A2478" i="8"/>
  <c r="A2486" i="8"/>
  <c r="A2494" i="8"/>
  <c r="A2502" i="8"/>
  <c r="A2510" i="8"/>
  <c r="A2518" i="8"/>
  <c r="A2526" i="8"/>
  <c r="A2534" i="8"/>
  <c r="A2542" i="8"/>
  <c r="A2550" i="8"/>
  <c r="A2558" i="8"/>
  <c r="A2566" i="8"/>
  <c r="A2574" i="8"/>
  <c r="A2582" i="8"/>
  <c r="A2590" i="8"/>
  <c r="A2598" i="8"/>
  <c r="A2606" i="8"/>
  <c r="A2614" i="8"/>
  <c r="A2622" i="8"/>
  <c r="A2630" i="8"/>
  <c r="A2638" i="8"/>
  <c r="A2646" i="8"/>
  <c r="A2654" i="8"/>
  <c r="A2662" i="8"/>
  <c r="A2670" i="8"/>
  <c r="A2678" i="8"/>
  <c r="A2686" i="8"/>
  <c r="A2694" i="8"/>
  <c r="A2702" i="8"/>
  <c r="A2710" i="8"/>
  <c r="A2718" i="8"/>
  <c r="A2726" i="8"/>
  <c r="A2734" i="8"/>
  <c r="A2742" i="8"/>
  <c r="A2750" i="8"/>
  <c r="A2758" i="8"/>
  <c r="A2766" i="8"/>
  <c r="A2774" i="8"/>
  <c r="A2782" i="8"/>
  <c r="A2790" i="8"/>
  <c r="A2798" i="8"/>
  <c r="A2806" i="8"/>
  <c r="A2814" i="8"/>
  <c r="A2822" i="8"/>
  <c r="A2830" i="8"/>
  <c r="A2838" i="8"/>
  <c r="A2844" i="8"/>
  <c r="A2848" i="8"/>
  <c r="A2852" i="8"/>
  <c r="A2856" i="8"/>
  <c r="A2860" i="8"/>
  <c r="A2864" i="8"/>
  <c r="A2868" i="8"/>
  <c r="A2872" i="8"/>
  <c r="A2876" i="8"/>
  <c r="A2880" i="8"/>
  <c r="A2884" i="8"/>
  <c r="A2888" i="8"/>
  <c r="A2892" i="8"/>
  <c r="A2896" i="8"/>
  <c r="A2900" i="8"/>
  <c r="A2904" i="8"/>
  <c r="A2908" i="8"/>
  <c r="A2912" i="8"/>
  <c r="A2916" i="8"/>
  <c r="A2920" i="8"/>
  <c r="A2924" i="8"/>
  <c r="A2928" i="8"/>
  <c r="A2932" i="8"/>
  <c r="A2936" i="8"/>
  <c r="A2940" i="8"/>
  <c r="A2944" i="8"/>
  <c r="A2948" i="8"/>
  <c r="A2952" i="8"/>
  <c r="A589" i="8"/>
  <c r="A845" i="8"/>
  <c r="A1101" i="8"/>
  <c r="A1183" i="8"/>
  <c r="A1247" i="8"/>
  <c r="A1311" i="8"/>
  <c r="A1375" i="8"/>
  <c r="A1439" i="8"/>
  <c r="A1503" i="8"/>
  <c r="A1567" i="8"/>
  <c r="A1631" i="8"/>
  <c r="A1655" i="8"/>
  <c r="A1676" i="8"/>
  <c r="A1694" i="8"/>
  <c r="A1710" i="8"/>
  <c r="A1726" i="8"/>
  <c r="A1742" i="8"/>
  <c r="A1758" i="8"/>
  <c r="A1774" i="8"/>
  <c r="A1790" i="8"/>
  <c r="A1806" i="8"/>
  <c r="A1822" i="8"/>
  <c r="A1838" i="8"/>
  <c r="A1854" i="8"/>
  <c r="A1870" i="8"/>
  <c r="A1886" i="8"/>
  <c r="A1902" i="8"/>
  <c r="A1918" i="8"/>
  <c r="A1928" i="8"/>
  <c r="A1936" i="8"/>
  <c r="A1944" i="8"/>
  <c r="A1952" i="8"/>
  <c r="A1960" i="8"/>
  <c r="A1968" i="8"/>
  <c r="A1976" i="8"/>
  <c r="A1984" i="8"/>
  <c r="A1992" i="8"/>
  <c r="A2000" i="8"/>
  <c r="A2008" i="8"/>
  <c r="A2016" i="8"/>
  <c r="A2024" i="8"/>
  <c r="A2032" i="8"/>
  <c r="A2040" i="8"/>
  <c r="A2048" i="8"/>
  <c r="A2056" i="8"/>
  <c r="A2064" i="8"/>
  <c r="A2072" i="8"/>
  <c r="A2080" i="8"/>
  <c r="A2088" i="8"/>
  <c r="A2096" i="8"/>
  <c r="A2104" i="8"/>
  <c r="A2112" i="8"/>
  <c r="A2120" i="8"/>
  <c r="A2128" i="8"/>
  <c r="A2136" i="8"/>
  <c r="A2144" i="8"/>
  <c r="A2152" i="8"/>
  <c r="A2160" i="8"/>
  <c r="A2168" i="8"/>
  <c r="A2176" i="8"/>
  <c r="A2184" i="8"/>
  <c r="A2192" i="8"/>
  <c r="A2200" i="8"/>
  <c r="A2208" i="8"/>
  <c r="A2216" i="8"/>
  <c r="A2224" i="8"/>
  <c r="A2232" i="8"/>
  <c r="A2240" i="8"/>
  <c r="A2248" i="8"/>
  <c r="A2256" i="8"/>
  <c r="A2264" i="8"/>
  <c r="A2272" i="8"/>
  <c r="A2280" i="8"/>
  <c r="A2288" i="8"/>
  <c r="A2296" i="8"/>
  <c r="A2304" i="8"/>
  <c r="A2312" i="8"/>
  <c r="A2320" i="8"/>
  <c r="A2328" i="8"/>
  <c r="A2336" i="8"/>
  <c r="A2344" i="8"/>
  <c r="A2352" i="8"/>
  <c r="A2360" i="8"/>
  <c r="A2368" i="8"/>
  <c r="A2376" i="8"/>
  <c r="A2384" i="8"/>
  <c r="A2392" i="8"/>
  <c r="A2400" i="8"/>
  <c r="A2408" i="8"/>
  <c r="A2416" i="8"/>
  <c r="A2424" i="8"/>
  <c r="A2432" i="8"/>
  <c r="A2440" i="8"/>
  <c r="A2448" i="8"/>
  <c r="A2456" i="8"/>
  <c r="A2464" i="8"/>
  <c r="A2472" i="8"/>
  <c r="A2480" i="8"/>
  <c r="A2488" i="8"/>
  <c r="A2496" i="8"/>
  <c r="A2504" i="8"/>
  <c r="A2512" i="8"/>
  <c r="A2520" i="8"/>
  <c r="A2528" i="8"/>
  <c r="A2536" i="8"/>
  <c r="A2544" i="8"/>
  <c r="A2552" i="8"/>
  <c r="A2560" i="8"/>
  <c r="A2568" i="8"/>
  <c r="A2576" i="8"/>
  <c r="A2584" i="8"/>
  <c r="A2592" i="8"/>
  <c r="A2600" i="8"/>
  <c r="A2608" i="8"/>
  <c r="A2616" i="8"/>
  <c r="A2624" i="8"/>
  <c r="A2632" i="8"/>
  <c r="A2640" i="8"/>
  <c r="A2648" i="8"/>
  <c r="A2656" i="8"/>
  <c r="A2664" i="8"/>
  <c r="A2672" i="8"/>
  <c r="A2680" i="8"/>
  <c r="A2688" i="8"/>
  <c r="A2696" i="8"/>
  <c r="A2704" i="8"/>
  <c r="A2712" i="8"/>
  <c r="A2720" i="8"/>
  <c r="A2728" i="8"/>
  <c r="A2736" i="8"/>
  <c r="A2744" i="8"/>
  <c r="A2752" i="8"/>
  <c r="A2760" i="8"/>
  <c r="A2768" i="8"/>
  <c r="A2776" i="8"/>
  <c r="A2784" i="8"/>
  <c r="A2792" i="8"/>
  <c r="A2800" i="8"/>
  <c r="A2808" i="8"/>
  <c r="A2816" i="8"/>
  <c r="A2824" i="8"/>
  <c r="A2832" i="8"/>
  <c r="A2840" i="8"/>
  <c r="A2845" i="8"/>
  <c r="A2849" i="8"/>
  <c r="A2853" i="8"/>
  <c r="A2857" i="8"/>
  <c r="A2861" i="8"/>
  <c r="A2865" i="8"/>
  <c r="A2869" i="8"/>
  <c r="A2873" i="8"/>
  <c r="A2877" i="8"/>
  <c r="A2881" i="8"/>
  <c r="A2885" i="8"/>
  <c r="A2889" i="8"/>
  <c r="A2893" i="8"/>
  <c r="A2897" i="8"/>
  <c r="A2901" i="8"/>
  <c r="A2905" i="8"/>
  <c r="A2909" i="8"/>
  <c r="A2913" i="8"/>
  <c r="A2917" i="8"/>
  <c r="A2921" i="8"/>
  <c r="A2925" i="8"/>
  <c r="A2929" i="8"/>
  <c r="A2933" i="8"/>
  <c r="A2937" i="8"/>
  <c r="A2941" i="8"/>
  <c r="A2945" i="8"/>
  <c r="A2949" i="8"/>
  <c r="A653" i="8"/>
  <c r="A1133" i="8"/>
  <c r="A1263" i="8"/>
  <c r="A1391" i="8"/>
  <c r="A1519" i="8"/>
  <c r="A1639" i="8"/>
  <c r="A1681" i="8"/>
  <c r="A1714" i="8"/>
  <c r="A1746" i="8"/>
  <c r="A1778" i="8"/>
  <c r="A1810" i="8"/>
  <c r="A1842" i="8"/>
  <c r="A1874" i="8"/>
  <c r="A1906" i="8"/>
  <c r="A1930" i="8"/>
  <c r="A1946" i="8"/>
  <c r="A1962" i="8"/>
  <c r="A1978" i="8"/>
  <c r="A1994" i="8"/>
  <c r="A2010" i="8"/>
  <c r="A2026" i="8"/>
  <c r="A2042" i="8"/>
  <c r="A2058" i="8"/>
  <c r="A2074" i="8"/>
  <c r="A2090" i="8"/>
  <c r="A2106" i="8"/>
  <c r="A2122" i="8"/>
  <c r="A2138" i="8"/>
  <c r="A2154" i="8"/>
  <c r="A2170" i="8"/>
  <c r="A2186" i="8"/>
  <c r="A2202" i="8"/>
  <c r="A2218" i="8"/>
  <c r="A2234" i="8"/>
  <c r="A2250" i="8"/>
  <c r="A2266" i="8"/>
  <c r="A2282" i="8"/>
  <c r="A2298" i="8"/>
  <c r="A2314" i="8"/>
  <c r="A2330" i="8"/>
  <c r="A2346" i="8"/>
  <c r="A2362" i="8"/>
  <c r="A2378" i="8"/>
  <c r="A2394" i="8"/>
  <c r="A2410" i="8"/>
  <c r="A2426" i="8"/>
  <c r="A2442" i="8"/>
  <c r="A2458" i="8"/>
  <c r="A2474" i="8"/>
  <c r="A2490" i="8"/>
  <c r="A2506" i="8"/>
  <c r="A2522" i="8"/>
  <c r="A2538" i="8"/>
  <c r="A2554" i="8"/>
  <c r="A2570" i="8"/>
  <c r="A2586" i="8"/>
  <c r="A2602" i="8"/>
  <c r="A2618" i="8"/>
  <c r="A2634" i="8"/>
  <c r="A2650" i="8"/>
  <c r="A2666" i="8"/>
  <c r="A2682" i="8"/>
  <c r="A2698" i="8"/>
  <c r="A2714" i="8"/>
  <c r="A2730" i="8"/>
  <c r="A2746" i="8"/>
  <c r="A2762" i="8"/>
  <c r="A2778" i="8"/>
  <c r="A2794" i="8"/>
  <c r="A2810" i="8"/>
  <c r="A2826" i="8"/>
  <c r="A2842" i="8"/>
  <c r="A2850" i="8"/>
  <c r="A2858" i="8"/>
  <c r="A2866" i="8"/>
  <c r="A2874" i="8"/>
  <c r="A2882" i="8"/>
  <c r="A2890" i="8"/>
  <c r="A2898" i="8"/>
  <c r="A2906" i="8"/>
  <c r="A2914" i="8"/>
  <c r="A2922" i="8"/>
  <c r="A2930" i="8"/>
  <c r="A2938" i="8"/>
  <c r="A2946" i="8"/>
  <c r="A2953" i="8"/>
  <c r="A2957" i="8"/>
  <c r="A2961" i="8"/>
  <c r="A2965" i="8"/>
  <c r="A2969" i="8"/>
  <c r="A2973" i="8"/>
  <c r="A2977" i="8"/>
  <c r="A2981" i="8"/>
  <c r="A2985" i="8"/>
  <c r="A2989" i="8"/>
  <c r="A2993" i="8"/>
  <c r="A2997" i="8"/>
  <c r="A3001" i="8"/>
  <c r="A3005" i="8"/>
  <c r="A3009" i="8"/>
  <c r="A3013" i="8"/>
  <c r="A3017" i="8"/>
  <c r="A3021" i="8"/>
  <c r="A3025" i="8"/>
  <c r="A3029" i="8"/>
  <c r="A3033" i="8"/>
  <c r="A3037" i="8"/>
  <c r="A3041" i="8"/>
  <c r="A3045" i="8"/>
  <c r="A3049" i="8"/>
  <c r="A3053" i="8"/>
  <c r="A3057" i="8"/>
  <c r="A3061" i="8"/>
  <c r="A3065" i="8"/>
  <c r="A3069" i="8"/>
  <c r="A3073" i="8"/>
  <c r="A3077" i="8"/>
  <c r="A3081" i="8"/>
  <c r="A3085" i="8"/>
  <c r="A3089" i="8"/>
  <c r="A3093" i="8"/>
  <c r="A3097" i="8"/>
  <c r="A3101" i="8"/>
  <c r="A3105" i="8"/>
  <c r="A3109" i="8"/>
  <c r="A3113" i="8"/>
  <c r="A3117" i="8"/>
  <c r="A3121" i="8"/>
  <c r="A3125" i="8"/>
  <c r="A3129" i="8"/>
  <c r="A3133" i="8"/>
  <c r="A3137" i="8"/>
  <c r="A3141" i="8"/>
  <c r="A3145" i="8"/>
  <c r="A3149" i="8"/>
  <c r="A3153" i="8"/>
  <c r="A3157" i="8"/>
  <c r="A3161" i="8"/>
  <c r="A3165" i="8"/>
  <c r="A3169" i="8"/>
  <c r="A3173" i="8"/>
  <c r="A3177" i="8"/>
  <c r="A3181" i="8"/>
  <c r="A3185" i="8"/>
  <c r="A3189" i="8"/>
  <c r="A3193" i="8"/>
  <c r="A3197" i="8"/>
  <c r="A3201" i="8"/>
  <c r="A3205" i="8"/>
  <c r="A3209" i="8"/>
  <c r="A3213" i="8"/>
  <c r="A3217" i="8"/>
  <c r="A3221" i="8"/>
  <c r="A3225" i="8"/>
  <c r="A3229" i="8"/>
  <c r="A3233" i="8"/>
  <c r="A3237" i="8"/>
  <c r="A3241" i="8"/>
  <c r="A3245" i="8"/>
  <c r="A3249" i="8"/>
  <c r="A3253" i="8"/>
  <c r="A3257" i="8"/>
  <c r="A3261" i="8"/>
  <c r="A3265" i="8"/>
  <c r="A3269" i="8"/>
  <c r="A3273" i="8"/>
  <c r="A3277" i="8"/>
  <c r="A3281" i="8"/>
  <c r="A3285" i="8"/>
  <c r="A3289" i="8"/>
  <c r="A3293" i="8"/>
  <c r="A3297" i="8"/>
  <c r="A3301" i="8"/>
  <c r="A3305" i="8"/>
  <c r="A3309" i="8"/>
  <c r="A3313" i="8"/>
  <c r="A3317" i="8"/>
  <c r="A3321" i="8"/>
  <c r="A3325" i="8"/>
  <c r="A3329" i="8"/>
  <c r="A3333" i="8"/>
  <c r="A3337" i="8"/>
  <c r="A3341" i="8"/>
  <c r="A3345" i="8"/>
  <c r="A3349" i="8"/>
  <c r="A3353" i="8"/>
  <c r="A3357" i="8"/>
  <c r="A3361" i="8"/>
  <c r="A3365" i="8"/>
  <c r="A3369" i="8"/>
  <c r="A3373" i="8"/>
  <c r="A3377" i="8"/>
  <c r="A3381" i="8"/>
  <c r="A3385" i="8"/>
  <c r="A3389" i="8"/>
  <c r="A3393" i="8"/>
  <c r="A3397" i="8"/>
  <c r="A3401" i="8"/>
  <c r="A3405" i="8"/>
  <c r="A3409" i="8"/>
  <c r="A3413" i="8"/>
  <c r="A3417" i="8"/>
  <c r="A3421" i="8"/>
  <c r="A3425" i="8"/>
  <c r="A3429" i="8"/>
  <c r="A3433" i="8"/>
  <c r="A3437" i="8"/>
  <c r="A3441" i="8"/>
  <c r="A3445" i="8"/>
  <c r="A3449" i="8"/>
  <c r="A3453" i="8"/>
  <c r="A3457" i="8"/>
  <c r="A3461" i="8"/>
  <c r="A3465" i="8"/>
  <c r="A3469" i="8"/>
  <c r="A3473" i="8"/>
  <c r="A3477" i="8"/>
  <c r="A3481" i="8"/>
  <c r="A3485" i="8"/>
  <c r="A3489" i="8"/>
  <c r="A3493" i="8"/>
  <c r="A3497" i="8"/>
  <c r="A3501" i="8"/>
  <c r="A3505" i="8"/>
  <c r="A3509" i="8"/>
  <c r="A3513" i="8"/>
  <c r="A3517" i="8"/>
  <c r="A3521" i="8"/>
  <c r="A3525" i="8"/>
  <c r="A3529" i="8"/>
  <c r="A3533" i="8"/>
  <c r="A3537" i="8"/>
  <c r="A3541" i="8"/>
  <c r="A3545" i="8"/>
  <c r="A3549" i="8"/>
  <c r="A3553" i="8"/>
  <c r="A3557" i="8"/>
  <c r="A3561" i="8"/>
  <c r="A3565" i="8"/>
  <c r="A3569" i="8"/>
  <c r="A3573" i="8"/>
  <c r="A3577" i="8"/>
  <c r="A3581" i="8"/>
  <c r="A3585" i="8"/>
  <c r="A3589" i="8"/>
  <c r="A3593" i="8"/>
  <c r="A3597" i="8"/>
  <c r="A3601" i="8"/>
  <c r="A3605" i="8"/>
  <c r="A3609" i="8"/>
  <c r="A3613" i="8"/>
  <c r="A3617" i="8"/>
  <c r="A3621" i="8"/>
  <c r="A3625" i="8"/>
  <c r="A3629" i="8"/>
  <c r="A3633" i="8"/>
  <c r="A3637" i="8"/>
  <c r="A3641" i="8"/>
  <c r="A3645" i="8"/>
  <c r="A3649" i="8"/>
  <c r="A3653" i="8"/>
  <c r="A3657" i="8"/>
  <c r="A3661" i="8"/>
  <c r="A3665" i="8"/>
  <c r="A3669" i="8"/>
  <c r="A3673" i="8"/>
  <c r="A3677" i="8"/>
  <c r="A3681" i="8"/>
  <c r="A3685" i="8"/>
  <c r="A3689" i="8"/>
  <c r="A3693" i="8"/>
  <c r="A3697" i="8"/>
  <c r="A3701" i="8"/>
  <c r="A3705" i="8"/>
  <c r="A3709" i="8"/>
  <c r="A3713" i="8"/>
  <c r="A3717" i="8"/>
  <c r="A3721" i="8"/>
  <c r="A3725" i="8"/>
  <c r="A3729" i="8"/>
  <c r="A3733" i="8"/>
  <c r="A3737" i="8"/>
  <c r="A3741" i="8"/>
  <c r="A3745" i="8"/>
  <c r="A3749" i="8"/>
  <c r="A3753" i="8"/>
  <c r="A3757" i="8"/>
  <c r="A3761" i="8"/>
  <c r="A3765" i="8"/>
  <c r="A3769" i="8"/>
  <c r="A3773" i="8"/>
  <c r="A3777" i="8"/>
  <c r="A3781" i="8"/>
  <c r="A3785" i="8"/>
  <c r="A3789" i="8"/>
  <c r="A3793" i="8"/>
  <c r="A3797" i="8"/>
  <c r="A3801" i="8"/>
  <c r="A3805" i="8"/>
  <c r="A3809" i="8"/>
  <c r="A3813" i="8"/>
  <c r="A3817" i="8"/>
  <c r="A3821" i="8"/>
  <c r="A3825" i="8"/>
  <c r="A3829" i="8"/>
  <c r="A3833" i="8"/>
  <c r="A3837" i="8"/>
  <c r="A3841" i="8"/>
  <c r="A3845" i="8"/>
  <c r="A3849" i="8"/>
  <c r="A3853" i="8"/>
  <c r="A3857" i="8"/>
  <c r="A3861" i="8"/>
  <c r="A3865" i="8"/>
  <c r="A3869" i="8"/>
  <c r="A3873" i="8"/>
  <c r="A3877" i="8"/>
  <c r="A3881" i="8"/>
  <c r="A3885" i="8"/>
  <c r="A3889" i="8"/>
  <c r="A3893" i="8"/>
  <c r="A3897" i="8"/>
  <c r="A3901" i="8"/>
  <c r="A3905" i="8"/>
  <c r="A3909" i="8"/>
  <c r="A3913" i="8"/>
  <c r="A3917" i="8"/>
  <c r="A3921" i="8"/>
  <c r="A3925" i="8"/>
  <c r="A3929" i="8"/>
  <c r="A3933" i="8"/>
  <c r="A3937" i="8"/>
  <c r="A3941" i="8"/>
  <c r="A3945" i="8"/>
  <c r="A3949" i="8"/>
  <c r="A3953" i="8"/>
  <c r="A3957" i="8"/>
  <c r="A3961" i="8"/>
  <c r="A3965" i="8"/>
  <c r="A3969" i="8"/>
  <c r="A3973" i="8"/>
  <c r="A717" i="8"/>
  <c r="A1151" i="8"/>
  <c r="A1279" i="8"/>
  <c r="A1407" i="8"/>
  <c r="A1535" i="8"/>
  <c r="A1644" i="8"/>
  <c r="A1686" i="8"/>
  <c r="A1718" i="8"/>
  <c r="A1750" i="8"/>
  <c r="A1782" i="8"/>
  <c r="A1814" i="8"/>
  <c r="A1846" i="8"/>
  <c r="A1878" i="8"/>
  <c r="A1910" i="8"/>
  <c r="A1932" i="8"/>
  <c r="A1948" i="8"/>
  <c r="A1964" i="8"/>
  <c r="A1980" i="8"/>
  <c r="A1996" i="8"/>
  <c r="A2012" i="8"/>
  <c r="A2028" i="8"/>
  <c r="A2044" i="8"/>
  <c r="A2060" i="8"/>
  <c r="A2076" i="8"/>
  <c r="A2092" i="8"/>
  <c r="A2108" i="8"/>
  <c r="A2124" i="8"/>
  <c r="A2140" i="8"/>
  <c r="A2156" i="8"/>
  <c r="A2172" i="8"/>
  <c r="A2188" i="8"/>
  <c r="A2204" i="8"/>
  <c r="A2220" i="8"/>
  <c r="A2236" i="8"/>
  <c r="A2252" i="8"/>
  <c r="A2268" i="8"/>
  <c r="A2284" i="8"/>
  <c r="A2300" i="8"/>
  <c r="A2316" i="8"/>
  <c r="A2332" i="8"/>
  <c r="A2348" i="8"/>
  <c r="A2364" i="8"/>
  <c r="A2380" i="8"/>
  <c r="A2396" i="8"/>
  <c r="A2412" i="8"/>
  <c r="A2428" i="8"/>
  <c r="A2444" i="8"/>
  <c r="A2460" i="8"/>
  <c r="A2476" i="8"/>
  <c r="A2492" i="8"/>
  <c r="A2508" i="8"/>
  <c r="A2524" i="8"/>
  <c r="A2540" i="8"/>
  <c r="A2556" i="8"/>
  <c r="A2572" i="8"/>
  <c r="A2588" i="8"/>
  <c r="A2604" i="8"/>
  <c r="A2620" i="8"/>
  <c r="A2636" i="8"/>
  <c r="A2652" i="8"/>
  <c r="A2668" i="8"/>
  <c r="A2684" i="8"/>
  <c r="A2700" i="8"/>
  <c r="A2716" i="8"/>
  <c r="A2732" i="8"/>
  <c r="A2748" i="8"/>
  <c r="A2764" i="8"/>
  <c r="A2780" i="8"/>
  <c r="A2796" i="8"/>
  <c r="A2812" i="8"/>
  <c r="A2828" i="8"/>
  <c r="A2843" i="8"/>
  <c r="A2851" i="8"/>
  <c r="A2859" i="8"/>
  <c r="A2867" i="8"/>
  <c r="A2875" i="8"/>
  <c r="A2883" i="8"/>
  <c r="A2891" i="8"/>
  <c r="A2899" i="8"/>
  <c r="A2907" i="8"/>
  <c r="A2915" i="8"/>
  <c r="A2923" i="8"/>
  <c r="A2931" i="8"/>
  <c r="A2939" i="8"/>
  <c r="A2947" i="8"/>
  <c r="A2954" i="8"/>
  <c r="A2958" i="8"/>
  <c r="A2962" i="8"/>
  <c r="A2966" i="8"/>
  <c r="A2970" i="8"/>
  <c r="A2974" i="8"/>
  <c r="A2978" i="8"/>
  <c r="A2982" i="8"/>
  <c r="A2986" i="8"/>
  <c r="A2990" i="8"/>
  <c r="A2994" i="8"/>
  <c r="A2998" i="8"/>
  <c r="A3002" i="8"/>
  <c r="A3006" i="8"/>
  <c r="A3010" i="8"/>
  <c r="A3014" i="8"/>
  <c r="A3018" i="8"/>
  <c r="A3022" i="8"/>
  <c r="A3026" i="8"/>
  <c r="A3030" i="8"/>
  <c r="A3034" i="8"/>
  <c r="A3038" i="8"/>
  <c r="A3042" i="8"/>
  <c r="A3046" i="8"/>
  <c r="A3050" i="8"/>
  <c r="A3054" i="8"/>
  <c r="A3058" i="8"/>
  <c r="A3062" i="8"/>
  <c r="A3066" i="8"/>
  <c r="A3070" i="8"/>
  <c r="A3074" i="8"/>
  <c r="A3078" i="8"/>
  <c r="A3082" i="8"/>
  <c r="A3086" i="8"/>
  <c r="A3090" i="8"/>
  <c r="A3094" i="8"/>
  <c r="A3098" i="8"/>
  <c r="A3102" i="8"/>
  <c r="A3106" i="8"/>
  <c r="A3110" i="8"/>
  <c r="A3114" i="8"/>
  <c r="A3118" i="8"/>
  <c r="A3122" i="8"/>
  <c r="A3126" i="8"/>
  <c r="A3130" i="8"/>
  <c r="A3134" i="8"/>
  <c r="A3138" i="8"/>
  <c r="A3142" i="8"/>
  <c r="A3146" i="8"/>
  <c r="A3150" i="8"/>
  <c r="A3154" i="8"/>
  <c r="A3158" i="8"/>
  <c r="A3162" i="8"/>
  <c r="A3166" i="8"/>
  <c r="A3170" i="8"/>
  <c r="A3174" i="8"/>
  <c r="A3178" i="8"/>
  <c r="A3182" i="8"/>
  <c r="A3186" i="8"/>
  <c r="A3190" i="8"/>
  <c r="A3194" i="8"/>
  <c r="A3198" i="8"/>
  <c r="A3202" i="8"/>
  <c r="A3206" i="8"/>
  <c r="A3210" i="8"/>
  <c r="A3214" i="8"/>
  <c r="A3218" i="8"/>
  <c r="A3222" i="8"/>
  <c r="A3226" i="8"/>
  <c r="A3230" i="8"/>
  <c r="A3234" i="8"/>
  <c r="A3238" i="8"/>
  <c r="A3242" i="8"/>
  <c r="A3246" i="8"/>
  <c r="A3250" i="8"/>
  <c r="A3254" i="8"/>
  <c r="A3258" i="8"/>
  <c r="A3262" i="8"/>
  <c r="A3266" i="8"/>
  <c r="A3270" i="8"/>
  <c r="A3274" i="8"/>
  <c r="A3278" i="8"/>
  <c r="A3282" i="8"/>
  <c r="A3286" i="8"/>
  <c r="A3290" i="8"/>
  <c r="A3294" i="8"/>
  <c r="A3298" i="8"/>
  <c r="A3302" i="8"/>
  <c r="A3306" i="8"/>
  <c r="A3310" i="8"/>
  <c r="A3314" i="8"/>
  <c r="A3318" i="8"/>
  <c r="A3322" i="8"/>
  <c r="A3326" i="8"/>
  <c r="A3330" i="8"/>
  <c r="A3334" i="8"/>
  <c r="A3338" i="8"/>
  <c r="A3342" i="8"/>
  <c r="A3346" i="8"/>
  <c r="A3350" i="8"/>
  <c r="A3354" i="8"/>
  <c r="A3358" i="8"/>
  <c r="A3362" i="8"/>
  <c r="A3366" i="8"/>
  <c r="A3370" i="8"/>
  <c r="A3374" i="8"/>
  <c r="A3378" i="8"/>
  <c r="A3382" i="8"/>
  <c r="A3386" i="8"/>
  <c r="A3390" i="8"/>
  <c r="A3394" i="8"/>
  <c r="A3398" i="8"/>
  <c r="A3402" i="8"/>
  <c r="A3406" i="8"/>
  <c r="A3410" i="8"/>
  <c r="A3414" i="8"/>
  <c r="A3418" i="8"/>
  <c r="A3422" i="8"/>
  <c r="A3426" i="8"/>
  <c r="A3430" i="8"/>
  <c r="A3434" i="8"/>
  <c r="A3438" i="8"/>
  <c r="A3442" i="8"/>
  <c r="A3446" i="8"/>
  <c r="A3450" i="8"/>
  <c r="A3454" i="8"/>
  <c r="A3458" i="8"/>
  <c r="A3462" i="8"/>
  <c r="A3466" i="8"/>
  <c r="A3470" i="8"/>
  <c r="A3474" i="8"/>
  <c r="A3478" i="8"/>
  <c r="A3482" i="8"/>
  <c r="A3486" i="8"/>
  <c r="A3490" i="8"/>
  <c r="A3494" i="8"/>
  <c r="A3498" i="8"/>
  <c r="A3502" i="8"/>
  <c r="A3506" i="8"/>
  <c r="A3510" i="8"/>
  <c r="A3514" i="8"/>
  <c r="A909" i="8"/>
  <c r="A1199" i="8"/>
  <c r="A1327" i="8"/>
  <c r="A1455" i="8"/>
  <c r="A1583" i="8"/>
  <c r="A1660" i="8"/>
  <c r="A1698" i="8"/>
  <c r="A1730" i="8"/>
  <c r="A1762" i="8"/>
  <c r="A1794" i="8"/>
  <c r="A1826" i="8"/>
  <c r="A1858" i="8"/>
  <c r="A1890" i="8"/>
  <c r="A1922" i="8"/>
  <c r="A1938" i="8"/>
  <c r="A1954" i="8"/>
  <c r="A1970" i="8"/>
  <c r="A1986" i="8"/>
  <c r="A2002" i="8"/>
  <c r="A2018" i="8"/>
  <c r="A2034" i="8"/>
  <c r="A2050" i="8"/>
  <c r="A2066" i="8"/>
  <c r="A2082" i="8"/>
  <c r="A2098" i="8"/>
  <c r="A2114" i="8"/>
  <c r="A2130" i="8"/>
  <c r="A973" i="8"/>
  <c r="A1599" i="8"/>
  <c r="A1766" i="8"/>
  <c r="A1894" i="8"/>
  <c r="A1972" i="8"/>
  <c r="A2036" i="8"/>
  <c r="A2100" i="8"/>
  <c r="A2148" i="8"/>
  <c r="A2180" i="8"/>
  <c r="A2212" i="8"/>
  <c r="A2244" i="8"/>
  <c r="A2276" i="8"/>
  <c r="A2308" i="8"/>
  <c r="A2340" i="8"/>
  <c r="A2372" i="8"/>
  <c r="A2404" i="8"/>
  <c r="A2436" i="8"/>
  <c r="A2468" i="8"/>
  <c r="A2500" i="8"/>
  <c r="A2532" i="8"/>
  <c r="A2564" i="8"/>
  <c r="A2596" i="8"/>
  <c r="A2628" i="8"/>
  <c r="A2660" i="8"/>
  <c r="A2692" i="8"/>
  <c r="A2724" i="8"/>
  <c r="A2756" i="8"/>
  <c r="A2788" i="8"/>
  <c r="A2820" i="8"/>
  <c r="A2847" i="8"/>
  <c r="A2863" i="8"/>
  <c r="A2879" i="8"/>
  <c r="A2895" i="8"/>
  <c r="A2911" i="8"/>
  <c r="A2927" i="8"/>
  <c r="A2943" i="8"/>
  <c r="A2956" i="8"/>
  <c r="A2964" i="8"/>
  <c r="A2972" i="8"/>
  <c r="A2980" i="8"/>
  <c r="A2988" i="8"/>
  <c r="A2996" i="8"/>
  <c r="A3004" i="8"/>
  <c r="A3012" i="8"/>
  <c r="A3020" i="8"/>
  <c r="A3028" i="8"/>
  <c r="A3036" i="8"/>
  <c r="A3044" i="8"/>
  <c r="A3052" i="8"/>
  <c r="A3060" i="8"/>
  <c r="A3068" i="8"/>
  <c r="A3076" i="8"/>
  <c r="A3084" i="8"/>
  <c r="A3092" i="8"/>
  <c r="A3100" i="8"/>
  <c r="A3108" i="8"/>
  <c r="A3116" i="8"/>
  <c r="A3124" i="8"/>
  <c r="A3132" i="8"/>
  <c r="A3140" i="8"/>
  <c r="A3148" i="8"/>
  <c r="A3156" i="8"/>
  <c r="A3164" i="8"/>
  <c r="A3172" i="8"/>
  <c r="A3180" i="8"/>
  <c r="A3188" i="8"/>
  <c r="A3196" i="8"/>
  <c r="A3204" i="8"/>
  <c r="A3212" i="8"/>
  <c r="A3220" i="8"/>
  <c r="A3228" i="8"/>
  <c r="A3236" i="8"/>
  <c r="A3244" i="8"/>
  <c r="A3252" i="8"/>
  <c r="A3260" i="8"/>
  <c r="A3268" i="8"/>
  <c r="A3276" i="8"/>
  <c r="A3284" i="8"/>
  <c r="A3292" i="8"/>
  <c r="A3300" i="8"/>
  <c r="A3308" i="8"/>
  <c r="A3316" i="8"/>
  <c r="A3324" i="8"/>
  <c r="A3332" i="8"/>
  <c r="A3340" i="8"/>
  <c r="A3348" i="8"/>
  <c r="A3356" i="8"/>
  <c r="A3364" i="8"/>
  <c r="A3372" i="8"/>
  <c r="A3380" i="8"/>
  <c r="A3388" i="8"/>
  <c r="A3396" i="8"/>
  <c r="A3404" i="8"/>
  <c r="A3412" i="8"/>
  <c r="A3420" i="8"/>
  <c r="A3428" i="8"/>
  <c r="A3436" i="8"/>
  <c r="A3444" i="8"/>
  <c r="A3452" i="8"/>
  <c r="A3460" i="8"/>
  <c r="A3468" i="8"/>
  <c r="A3476" i="8"/>
  <c r="A3484" i="8"/>
  <c r="A3492" i="8"/>
  <c r="A3500" i="8"/>
  <c r="A3508" i="8"/>
  <c r="A3516" i="8"/>
  <c r="A3522" i="8"/>
  <c r="A3527" i="8"/>
  <c r="A3532" i="8"/>
  <c r="A3538" i="8"/>
  <c r="A3543" i="8"/>
  <c r="A3548" i="8"/>
  <c r="A3554" i="8"/>
  <c r="A3559" i="8"/>
  <c r="A3564" i="8"/>
  <c r="A3570" i="8"/>
  <c r="A3575" i="8"/>
  <c r="A3580" i="8"/>
  <c r="A3586" i="8"/>
  <c r="A3591" i="8"/>
  <c r="A3596" i="8"/>
  <c r="A3602" i="8"/>
  <c r="A3607" i="8"/>
  <c r="A3612" i="8"/>
  <c r="A3618" i="8"/>
  <c r="A3623" i="8"/>
  <c r="A3628" i="8"/>
  <c r="A3634" i="8"/>
  <c r="A3639" i="8"/>
  <c r="A3644" i="8"/>
  <c r="A3650" i="8"/>
  <c r="A3655" i="8"/>
  <c r="A3660" i="8"/>
  <c r="A3666" i="8"/>
  <c r="A3671" i="8"/>
  <c r="A3676" i="8"/>
  <c r="A3682" i="8"/>
  <c r="A3687" i="8"/>
  <c r="A3692" i="8"/>
  <c r="A3698" i="8"/>
  <c r="A3703" i="8"/>
  <c r="A3708" i="8"/>
  <c r="A3714" i="8"/>
  <c r="A3719" i="8"/>
  <c r="A3724" i="8"/>
  <c r="A3730" i="8"/>
  <c r="A3735" i="8"/>
  <c r="A3740" i="8"/>
  <c r="A3746" i="8"/>
  <c r="A3751" i="8"/>
  <c r="A3756" i="8"/>
  <c r="A3762" i="8"/>
  <c r="A3767" i="8"/>
  <c r="A3772" i="8"/>
  <c r="A3778" i="8"/>
  <c r="A3783" i="8"/>
  <c r="A3788" i="8"/>
  <c r="A3794" i="8"/>
  <c r="A3799" i="8"/>
  <c r="A3804" i="8"/>
  <c r="A3810" i="8"/>
  <c r="A3815" i="8"/>
  <c r="A3820" i="8"/>
  <c r="A3826" i="8"/>
  <c r="A3831" i="8"/>
  <c r="A3836" i="8"/>
  <c r="A3842" i="8"/>
  <c r="A3847" i="8"/>
  <c r="A3852" i="8"/>
  <c r="A3858" i="8"/>
  <c r="A3863" i="8"/>
  <c r="A3868" i="8"/>
  <c r="A3874" i="8"/>
  <c r="A3879" i="8"/>
  <c r="A3884" i="8"/>
  <c r="A3890" i="8"/>
  <c r="A3895" i="8"/>
  <c r="A3900" i="8"/>
  <c r="A3906" i="8"/>
  <c r="A3911" i="8"/>
  <c r="A3916" i="8"/>
  <c r="A3922" i="8"/>
  <c r="A3927" i="8"/>
  <c r="A3932" i="8"/>
  <c r="A3938" i="8"/>
  <c r="A3943" i="8"/>
  <c r="A3948" i="8"/>
  <c r="A3954" i="8"/>
  <c r="A3959" i="8"/>
  <c r="A3964" i="8"/>
  <c r="A3970" i="8"/>
  <c r="A3975" i="8"/>
  <c r="A3979" i="8"/>
  <c r="A3983" i="8"/>
  <c r="A3987" i="8"/>
  <c r="A3991" i="8"/>
  <c r="A3995" i="8"/>
  <c r="A3999" i="8"/>
  <c r="A4003" i="8"/>
  <c r="A4007" i="8"/>
  <c r="A4011" i="8"/>
  <c r="A4015" i="8"/>
  <c r="A4019" i="8"/>
  <c r="A4023" i="8"/>
  <c r="A4027" i="8"/>
  <c r="A4031" i="8"/>
  <c r="A4035" i="8"/>
  <c r="A4039" i="8"/>
  <c r="A4043" i="8"/>
  <c r="A4047" i="8"/>
  <c r="A4051" i="8"/>
  <c r="A4055" i="8"/>
  <c r="A4059" i="8"/>
  <c r="A4063" i="8"/>
  <c r="A4067" i="8"/>
  <c r="A4071" i="8"/>
  <c r="A4075" i="8"/>
  <c r="A4079" i="8"/>
  <c r="A4083" i="8"/>
  <c r="A4087" i="8"/>
  <c r="A4091" i="8"/>
  <c r="A4095" i="8"/>
  <c r="A4099" i="8"/>
  <c r="A4103" i="8"/>
  <c r="A4107" i="8"/>
  <c r="A4111" i="8"/>
  <c r="A4115" i="8"/>
  <c r="A4119" i="8"/>
  <c r="A4123" i="8"/>
  <c r="A4127" i="8"/>
  <c r="A4131" i="8"/>
  <c r="A4135" i="8"/>
  <c r="A4139" i="8"/>
  <c r="A4143" i="8"/>
  <c r="A4147" i="8"/>
  <c r="A4151" i="8"/>
  <c r="A4155" i="8"/>
  <c r="A4159" i="8"/>
  <c r="A4163" i="8"/>
  <c r="A4167" i="8"/>
  <c r="A4171" i="8"/>
  <c r="A4175" i="8"/>
  <c r="A4179" i="8"/>
  <c r="A4183" i="8"/>
  <c r="A4187" i="8"/>
  <c r="A4191" i="8"/>
  <c r="A4195" i="8"/>
  <c r="A4199" i="8"/>
  <c r="A4203" i="8"/>
  <c r="A4207" i="8"/>
  <c r="A4211" i="8"/>
  <c r="A4215" i="8"/>
  <c r="A4219" i="8"/>
  <c r="A4223" i="8"/>
  <c r="A4227" i="8"/>
  <c r="A4231" i="8"/>
  <c r="A4235" i="8"/>
  <c r="A4239" i="8"/>
  <c r="A4243" i="8"/>
  <c r="A4247" i="8"/>
  <c r="A4251" i="8"/>
  <c r="A4255" i="8"/>
  <c r="A4259" i="8"/>
  <c r="A4263" i="8"/>
  <c r="A4267" i="8"/>
  <c r="A4271" i="8"/>
  <c r="A4275" i="8"/>
  <c r="A4279" i="8"/>
  <c r="A4283" i="8"/>
  <c r="A4287" i="8"/>
  <c r="A4291" i="8"/>
  <c r="A4295" i="8"/>
  <c r="A4299" i="8"/>
  <c r="A4303" i="8"/>
  <c r="A4307" i="8"/>
  <c r="A4311" i="8"/>
  <c r="A4315" i="8"/>
  <c r="A4319" i="8"/>
  <c r="A4323" i="8"/>
  <c r="A4327" i="8"/>
  <c r="A4331" i="8"/>
  <c r="A4335" i="8"/>
  <c r="A4339" i="8"/>
  <c r="A4343" i="8"/>
  <c r="A4347" i="8"/>
  <c r="A4351" i="8"/>
  <c r="A4355" i="8"/>
  <c r="A4359" i="8"/>
  <c r="A4363" i="8"/>
  <c r="A4367" i="8"/>
  <c r="A4371" i="8"/>
  <c r="A4375" i="8"/>
  <c r="A4379" i="8"/>
  <c r="A4383" i="8"/>
  <c r="A4387" i="8"/>
  <c r="A4391" i="8"/>
  <c r="A4395" i="8"/>
  <c r="A4399" i="8"/>
  <c r="A4403" i="8"/>
  <c r="A4407" i="8"/>
  <c r="A4411" i="8"/>
  <c r="A4415" i="8"/>
  <c r="A4419" i="8"/>
  <c r="A4423" i="8"/>
  <c r="A4427" i="8"/>
  <c r="A1215" i="8"/>
  <c r="A1665" i="8"/>
  <c r="A1798" i="8"/>
  <c r="A1924" i="8"/>
  <c r="A1988" i="8"/>
  <c r="A2052" i="8"/>
  <c r="A2116" i="8"/>
  <c r="A2162" i="8"/>
  <c r="A2194" i="8"/>
  <c r="A2226" i="8"/>
  <c r="A2258" i="8"/>
  <c r="A2290" i="8"/>
  <c r="A2322" i="8"/>
  <c r="A2354" i="8"/>
  <c r="A2386" i="8"/>
  <c r="A2418" i="8"/>
  <c r="A2450" i="8"/>
  <c r="A2482" i="8"/>
  <c r="A2514" i="8"/>
  <c r="A2546" i="8"/>
  <c r="A2578" i="8"/>
  <c r="A2610" i="8"/>
  <c r="A2642" i="8"/>
  <c r="A2674" i="8"/>
  <c r="A2706" i="8"/>
  <c r="A2738" i="8"/>
  <c r="A2770" i="8"/>
  <c r="A2802" i="8"/>
  <c r="A2834" i="8"/>
  <c r="A2854" i="8"/>
  <c r="A2870" i="8"/>
  <c r="A2886" i="8"/>
  <c r="A2902" i="8"/>
  <c r="A2918" i="8"/>
  <c r="A2934" i="8"/>
  <c r="A2950" i="8"/>
  <c r="A2959" i="8"/>
  <c r="A2967" i="8"/>
  <c r="A2975" i="8"/>
  <c r="A2983" i="8"/>
  <c r="A2991" i="8"/>
  <c r="A2999" i="8"/>
  <c r="A3007" i="8"/>
  <c r="A3015" i="8"/>
  <c r="A3023" i="8"/>
  <c r="A3031" i="8"/>
  <c r="A3039" i="8"/>
  <c r="A3047" i="8"/>
  <c r="A3055" i="8"/>
  <c r="A3063" i="8"/>
  <c r="A3071" i="8"/>
  <c r="A3079" i="8"/>
  <c r="A3087" i="8"/>
  <c r="A3095" i="8"/>
  <c r="A3103" i="8"/>
  <c r="A3111" i="8"/>
  <c r="A3119" i="8"/>
  <c r="A3127" i="8"/>
  <c r="A3135" i="8"/>
  <c r="A3143" i="8"/>
  <c r="A3151" i="8"/>
  <c r="A3159" i="8"/>
  <c r="A3167" i="8"/>
  <c r="A3175" i="8"/>
  <c r="A3183" i="8"/>
  <c r="A3191" i="8"/>
  <c r="A3199" i="8"/>
  <c r="A3207" i="8"/>
  <c r="A3215" i="8"/>
  <c r="A3223" i="8"/>
  <c r="A3231" i="8"/>
  <c r="A3239" i="8"/>
  <c r="A3247" i="8"/>
  <c r="A3255" i="8"/>
  <c r="A3263" i="8"/>
  <c r="A3271" i="8"/>
  <c r="A3279" i="8"/>
  <c r="A3287" i="8"/>
  <c r="A3295" i="8"/>
  <c r="A3303" i="8"/>
  <c r="A3311" i="8"/>
  <c r="A3319" i="8"/>
  <c r="A3327" i="8"/>
  <c r="A3335" i="8"/>
  <c r="A3343" i="8"/>
  <c r="A3351" i="8"/>
  <c r="A3359" i="8"/>
  <c r="A3367" i="8"/>
  <c r="A3375" i="8"/>
  <c r="A3383" i="8"/>
  <c r="A3391" i="8"/>
  <c r="A3399" i="8"/>
  <c r="A3407" i="8"/>
  <c r="A3415" i="8"/>
  <c r="A3423" i="8"/>
  <c r="A3431" i="8"/>
  <c r="A3439" i="8"/>
  <c r="A3447" i="8"/>
  <c r="A3455" i="8"/>
  <c r="A3463" i="8"/>
  <c r="A3471" i="8"/>
  <c r="A3479" i="8"/>
  <c r="A3487" i="8"/>
  <c r="A3495" i="8"/>
  <c r="A3503" i="8"/>
  <c r="A3511" i="8"/>
  <c r="A3518" i="8"/>
  <c r="A3523" i="8"/>
  <c r="A3528" i="8"/>
  <c r="A3534" i="8"/>
  <c r="A3539" i="8"/>
  <c r="A3544" i="8"/>
  <c r="A3550" i="8"/>
  <c r="A3555" i="8"/>
  <c r="A3560" i="8"/>
  <c r="A3566" i="8"/>
  <c r="A3571" i="8"/>
  <c r="A3576" i="8"/>
  <c r="A3582" i="8"/>
  <c r="A3587" i="8"/>
  <c r="A3592" i="8"/>
  <c r="A3598" i="8"/>
  <c r="A3603" i="8"/>
  <c r="A3608" i="8"/>
  <c r="A3614" i="8"/>
  <c r="A3619" i="8"/>
  <c r="A3624" i="8"/>
  <c r="A3630" i="8"/>
  <c r="A3635" i="8"/>
  <c r="A3640" i="8"/>
  <c r="A3646" i="8"/>
  <c r="A3651" i="8"/>
  <c r="A3656" i="8"/>
  <c r="A3662" i="8"/>
  <c r="A3667" i="8"/>
  <c r="A3672" i="8"/>
  <c r="A3678" i="8"/>
  <c r="A3683" i="8"/>
  <c r="A3688" i="8"/>
  <c r="A3694" i="8"/>
  <c r="A3699" i="8"/>
  <c r="A3704" i="8"/>
  <c r="A3710" i="8"/>
  <c r="A3715" i="8"/>
  <c r="A3720" i="8"/>
  <c r="A3726" i="8"/>
  <c r="A3731" i="8"/>
  <c r="A3736" i="8"/>
  <c r="A3742" i="8"/>
  <c r="A3747" i="8"/>
  <c r="A3752" i="8"/>
  <c r="A3758" i="8"/>
  <c r="A3763" i="8"/>
  <c r="A3768" i="8"/>
  <c r="A3774" i="8"/>
  <c r="A3779" i="8"/>
  <c r="A3784" i="8"/>
  <c r="A3790" i="8"/>
  <c r="A3795" i="8"/>
  <c r="A3800" i="8"/>
  <c r="A3806" i="8"/>
  <c r="A3811" i="8"/>
  <c r="A3816" i="8"/>
  <c r="A3822" i="8"/>
  <c r="A3827" i="8"/>
  <c r="A3832" i="8"/>
  <c r="A3838" i="8"/>
  <c r="A3843" i="8"/>
  <c r="A3848" i="8"/>
  <c r="A3854" i="8"/>
  <c r="A3859" i="8"/>
  <c r="A3864" i="8"/>
  <c r="A3870" i="8"/>
  <c r="A3875" i="8"/>
  <c r="A3880" i="8"/>
  <c r="A3886" i="8"/>
  <c r="A3891" i="8"/>
  <c r="A3896" i="8"/>
  <c r="A3902" i="8"/>
  <c r="A3907" i="8"/>
  <c r="A3912" i="8"/>
  <c r="A3918" i="8"/>
  <c r="A3923" i="8"/>
  <c r="A3928" i="8"/>
  <c r="A3934" i="8"/>
  <c r="A3939" i="8"/>
  <c r="A3944" i="8"/>
  <c r="A3950" i="8"/>
  <c r="A3955" i="8"/>
  <c r="A3960" i="8"/>
  <c r="A3966" i="8"/>
  <c r="A3971" i="8"/>
  <c r="A3976" i="8"/>
  <c r="A3980" i="8"/>
  <c r="A3984" i="8"/>
  <c r="A3988" i="8"/>
  <c r="A3992" i="8"/>
  <c r="A3996" i="8"/>
  <c r="A4000" i="8"/>
  <c r="A4004" i="8"/>
  <c r="A4008" i="8"/>
  <c r="A4012" i="8"/>
  <c r="A4016" i="8"/>
  <c r="A4020" i="8"/>
  <c r="A4024" i="8"/>
  <c r="A4028" i="8"/>
  <c r="A4032" i="8"/>
  <c r="A4036" i="8"/>
  <c r="A4040" i="8"/>
  <c r="A4044" i="8"/>
  <c r="A4048" i="8"/>
  <c r="A4052" i="8"/>
  <c r="A4056" i="8"/>
  <c r="A4060" i="8"/>
  <c r="A4064" i="8"/>
  <c r="A4068" i="8"/>
  <c r="A4072" i="8"/>
  <c r="A4076" i="8"/>
  <c r="A4080" i="8"/>
  <c r="A4084" i="8"/>
  <c r="A4088" i="8"/>
  <c r="A4092" i="8"/>
  <c r="A4096" i="8"/>
  <c r="A4100" i="8"/>
  <c r="A4104" i="8"/>
  <c r="A4108" i="8"/>
  <c r="A4112" i="8"/>
  <c r="A4116" i="8"/>
  <c r="A4120" i="8"/>
  <c r="A4124" i="8"/>
  <c r="A4128" i="8"/>
  <c r="A4132" i="8"/>
  <c r="A4136" i="8"/>
  <c r="A4140" i="8"/>
  <c r="A4144" i="8"/>
  <c r="A4148" i="8"/>
  <c r="A4152" i="8"/>
  <c r="A4156" i="8"/>
  <c r="A4160" i="8"/>
  <c r="A4164" i="8"/>
  <c r="A4168" i="8"/>
  <c r="A4172" i="8"/>
  <c r="A4176" i="8"/>
  <c r="A4180" i="8"/>
  <c r="A4184" i="8"/>
  <c r="A4188" i="8"/>
  <c r="A4192" i="8"/>
  <c r="A4196" i="8"/>
  <c r="A4200" i="8"/>
  <c r="A4204" i="8"/>
  <c r="A4208" i="8"/>
  <c r="A4212" i="8"/>
  <c r="A4216" i="8"/>
  <c r="A4220" i="8"/>
  <c r="A4224" i="8"/>
  <c r="A4228" i="8"/>
  <c r="A4232" i="8"/>
  <c r="A4236" i="8"/>
  <c r="A4240" i="8"/>
  <c r="A4244" i="8"/>
  <c r="A4248" i="8"/>
  <c r="A4252" i="8"/>
  <c r="A4256" i="8"/>
  <c r="A4260" i="8"/>
  <c r="A4264" i="8"/>
  <c r="A4268" i="8"/>
  <c r="A4272" i="8"/>
  <c r="A4276" i="8"/>
  <c r="A4280" i="8"/>
  <c r="A4284" i="8"/>
  <c r="A4288" i="8"/>
  <c r="A4292" i="8"/>
  <c r="A4296" i="8"/>
  <c r="A4300" i="8"/>
  <c r="A4304" i="8"/>
  <c r="A4308" i="8"/>
  <c r="A4312" i="8"/>
  <c r="A4316" i="8"/>
  <c r="A4320" i="8"/>
  <c r="A4324" i="8"/>
  <c r="A4328" i="8"/>
  <c r="A4332" i="8"/>
  <c r="A4336" i="8"/>
  <c r="A4340" i="8"/>
  <c r="A4344" i="8"/>
  <c r="A4348" i="8"/>
  <c r="A4352" i="8"/>
  <c r="A4356" i="8"/>
  <c r="A4360" i="8"/>
  <c r="A4364" i="8"/>
  <c r="A4368" i="8"/>
  <c r="A4372" i="8"/>
  <c r="A4376" i="8"/>
  <c r="A4380" i="8"/>
  <c r="A4384" i="8"/>
  <c r="A4388" i="8"/>
  <c r="A4392" i="8"/>
  <c r="A4396" i="8"/>
  <c r="A4400" i="8"/>
  <c r="A4404" i="8"/>
  <c r="A4408" i="8"/>
  <c r="A4412" i="8"/>
  <c r="A4416" i="8"/>
  <c r="A4420" i="8"/>
  <c r="A4424" i="8"/>
  <c r="A4428" i="8"/>
  <c r="A1343" i="8"/>
  <c r="A1702" i="8"/>
  <c r="A1830" i="8"/>
  <c r="A1940" i="8"/>
  <c r="A2004" i="8"/>
  <c r="A2068" i="8"/>
  <c r="A2132" i="8"/>
  <c r="A2164" i="8"/>
  <c r="A2196" i="8"/>
  <c r="A2228" i="8"/>
  <c r="A2260" i="8"/>
  <c r="A2292" i="8"/>
  <c r="A2324" i="8"/>
  <c r="A2356" i="8"/>
  <c r="A2388" i="8"/>
  <c r="A2420" i="8"/>
  <c r="A2452" i="8"/>
  <c r="A2484" i="8"/>
  <c r="A2516" i="8"/>
  <c r="A2548" i="8"/>
  <c r="A2580" i="8"/>
  <c r="A2612" i="8"/>
  <c r="A2644" i="8"/>
  <c r="A2676" i="8"/>
  <c r="A2708" i="8"/>
  <c r="A2740" i="8"/>
  <c r="A2772" i="8"/>
  <c r="A2804" i="8"/>
  <c r="A2836" i="8"/>
  <c r="A2855" i="8"/>
  <c r="A2871" i="8"/>
  <c r="A2887" i="8"/>
  <c r="A2903" i="8"/>
  <c r="A2919" i="8"/>
  <c r="A2935" i="8"/>
  <c r="A2951" i="8"/>
  <c r="A2960" i="8"/>
  <c r="A2968" i="8"/>
  <c r="A2976" i="8"/>
  <c r="A2984" i="8"/>
  <c r="A2992" i="8"/>
  <c r="A3000" i="8"/>
  <c r="A3008" i="8"/>
  <c r="A3016" i="8"/>
  <c r="A3024" i="8"/>
  <c r="A3032" i="8"/>
  <c r="A3040" i="8"/>
  <c r="A3048" i="8"/>
  <c r="A3056" i="8"/>
  <c r="A3064" i="8"/>
  <c r="A3072" i="8"/>
  <c r="A3080" i="8"/>
  <c r="A3088" i="8"/>
  <c r="A3096" i="8"/>
  <c r="A3104" i="8"/>
  <c r="A3112" i="8"/>
  <c r="A3120" i="8"/>
  <c r="A3128" i="8"/>
  <c r="A3136" i="8"/>
  <c r="A3144" i="8"/>
  <c r="A3152" i="8"/>
  <c r="A3160" i="8"/>
  <c r="A3168" i="8"/>
  <c r="A3176" i="8"/>
  <c r="A3184" i="8"/>
  <c r="A3192" i="8"/>
  <c r="A3200" i="8"/>
  <c r="A3208" i="8"/>
  <c r="A3216" i="8"/>
  <c r="A3224" i="8"/>
  <c r="A3232" i="8"/>
  <c r="A3240" i="8"/>
  <c r="A3248" i="8"/>
  <c r="A3256" i="8"/>
  <c r="A3264" i="8"/>
  <c r="A3272" i="8"/>
  <c r="A3280" i="8"/>
  <c r="A3288" i="8"/>
  <c r="A3296" i="8"/>
  <c r="A3304" i="8"/>
  <c r="A3312" i="8"/>
  <c r="A3320" i="8"/>
  <c r="A3328" i="8"/>
  <c r="A3336" i="8"/>
  <c r="A3344" i="8"/>
  <c r="A3352" i="8"/>
  <c r="A3360" i="8"/>
  <c r="A3368" i="8"/>
  <c r="A3376" i="8"/>
  <c r="A3384" i="8"/>
  <c r="A3392" i="8"/>
  <c r="A3400" i="8"/>
  <c r="A3408" i="8"/>
  <c r="A3416" i="8"/>
  <c r="A3424" i="8"/>
  <c r="A3432" i="8"/>
  <c r="A3440" i="8"/>
  <c r="A3448" i="8"/>
  <c r="A3456" i="8"/>
  <c r="A3464" i="8"/>
  <c r="A3472" i="8"/>
  <c r="A3480" i="8"/>
  <c r="A3488" i="8"/>
  <c r="A3496" i="8"/>
  <c r="A3504" i="8"/>
  <c r="A3512" i="8"/>
  <c r="A3519" i="8"/>
  <c r="A3524" i="8"/>
  <c r="A3530" i="8"/>
  <c r="A3535" i="8"/>
  <c r="A3540" i="8"/>
  <c r="A3546" i="8"/>
  <c r="A3551" i="8"/>
  <c r="A3556" i="8"/>
  <c r="A3562" i="8"/>
  <c r="A3567" i="8"/>
  <c r="A3572" i="8"/>
  <c r="A3578" i="8"/>
  <c r="A3583" i="8"/>
  <c r="A3588" i="8"/>
  <c r="A3594" i="8"/>
  <c r="A3599" i="8"/>
  <c r="A3604" i="8"/>
  <c r="A3610" i="8"/>
  <c r="A3615" i="8"/>
  <c r="A3620" i="8"/>
  <c r="A3626" i="8"/>
  <c r="A3631" i="8"/>
  <c r="A3636" i="8"/>
  <c r="A3642" i="8"/>
  <c r="A3647" i="8"/>
  <c r="A3652" i="8"/>
  <c r="A3658" i="8"/>
  <c r="A3663" i="8"/>
  <c r="A3668" i="8"/>
  <c r="A3674" i="8"/>
  <c r="A3679" i="8"/>
  <c r="A3684" i="8"/>
  <c r="A3690" i="8"/>
  <c r="A3695" i="8"/>
  <c r="A3700" i="8"/>
  <c r="A3706" i="8"/>
  <c r="A3711" i="8"/>
  <c r="A3716" i="8"/>
  <c r="A3722" i="8"/>
  <c r="A3727" i="8"/>
  <c r="A3732" i="8"/>
  <c r="A3738" i="8"/>
  <c r="A3743" i="8"/>
  <c r="A3748" i="8"/>
  <c r="A3754" i="8"/>
  <c r="A3759" i="8"/>
  <c r="A3764" i="8"/>
  <c r="A3770" i="8"/>
  <c r="A3775" i="8"/>
  <c r="A3780" i="8"/>
  <c r="A3786" i="8"/>
  <c r="A3791" i="8"/>
  <c r="A3796" i="8"/>
  <c r="A3802" i="8"/>
  <c r="A3807" i="8"/>
  <c r="A3812" i="8"/>
  <c r="A3818" i="8"/>
  <c r="A3823" i="8"/>
  <c r="A3828" i="8"/>
  <c r="A3834" i="8"/>
  <c r="A3839" i="8"/>
  <c r="A3844" i="8"/>
  <c r="A3850" i="8"/>
  <c r="A3855" i="8"/>
  <c r="A3860" i="8"/>
  <c r="A3866" i="8"/>
  <c r="A3871" i="8"/>
  <c r="A3876" i="8"/>
  <c r="A3882" i="8"/>
  <c r="A3887" i="8"/>
  <c r="A3892" i="8"/>
  <c r="A3898" i="8"/>
  <c r="A3903" i="8"/>
  <c r="A3908" i="8"/>
  <c r="A3914" i="8"/>
  <c r="A3919" i="8"/>
  <c r="A3924" i="8"/>
  <c r="A3930" i="8"/>
  <c r="A3935" i="8"/>
  <c r="A3940" i="8"/>
  <c r="A3946" i="8"/>
  <c r="A3951" i="8"/>
  <c r="A3956" i="8"/>
  <c r="A3962" i="8"/>
  <c r="A3967" i="8"/>
  <c r="A3972" i="8"/>
  <c r="A3977" i="8"/>
  <c r="A3981" i="8"/>
  <c r="A3985" i="8"/>
  <c r="A3989" i="8"/>
  <c r="A3993" i="8"/>
  <c r="A3997" i="8"/>
  <c r="A4001" i="8"/>
  <c r="A4005" i="8"/>
  <c r="A4009" i="8"/>
  <c r="A4013" i="8"/>
  <c r="A4017" i="8"/>
  <c r="A4021" i="8"/>
  <c r="A4025" i="8"/>
  <c r="A4029" i="8"/>
  <c r="A4033" i="8"/>
  <c r="A4037" i="8"/>
  <c r="A4041" i="8"/>
  <c r="A4045" i="8"/>
  <c r="A4049" i="8"/>
  <c r="A4053" i="8"/>
  <c r="A4057" i="8"/>
  <c r="A4061" i="8"/>
  <c r="A4065" i="8"/>
  <c r="A4069" i="8"/>
  <c r="A4073" i="8"/>
  <c r="A4077" i="8"/>
  <c r="A4081" i="8"/>
  <c r="A4085" i="8"/>
  <c r="A4089" i="8"/>
  <c r="A4093" i="8"/>
  <c r="A4097" i="8"/>
  <c r="A4101" i="8"/>
  <c r="A4105" i="8"/>
  <c r="A4109" i="8"/>
  <c r="A4113" i="8"/>
  <c r="A4117" i="8"/>
  <c r="A4121" i="8"/>
  <c r="A4125" i="8"/>
  <c r="A4129" i="8"/>
  <c r="A4133" i="8"/>
  <c r="A4137" i="8"/>
  <c r="A4141" i="8"/>
  <c r="A4145" i="8"/>
  <c r="A4149" i="8"/>
  <c r="A4153" i="8"/>
  <c r="A4157" i="8"/>
  <c r="A4161" i="8"/>
  <c r="A4165" i="8"/>
  <c r="A4169" i="8"/>
  <c r="A4173" i="8"/>
  <c r="A4177" i="8"/>
  <c r="A4181" i="8"/>
  <c r="A4185" i="8"/>
  <c r="A4189" i="8"/>
  <c r="A4193" i="8"/>
  <c r="A4197" i="8"/>
  <c r="A4201" i="8"/>
  <c r="A4205" i="8"/>
  <c r="A4209" i="8"/>
  <c r="A4213" i="8"/>
  <c r="A4217" i="8"/>
  <c r="A4221" i="8"/>
  <c r="A4225" i="8"/>
  <c r="A4229" i="8"/>
  <c r="A4233" i="8"/>
  <c r="A4237" i="8"/>
  <c r="A4241" i="8"/>
  <c r="A4245" i="8"/>
  <c r="A4249" i="8"/>
  <c r="A4253" i="8"/>
  <c r="A4257" i="8"/>
  <c r="A4261" i="8"/>
  <c r="A4265" i="8"/>
  <c r="A4269" i="8"/>
  <c r="A4273" i="8"/>
  <c r="A4277" i="8"/>
  <c r="A4281" i="8"/>
  <c r="A4285" i="8"/>
  <c r="A4289" i="8"/>
  <c r="A4293" i="8"/>
  <c r="A4297" i="8"/>
  <c r="A4301" i="8"/>
  <c r="A4305" i="8"/>
  <c r="A4309" i="8"/>
  <c r="A4313" i="8"/>
  <c r="A4317" i="8"/>
  <c r="A4321" i="8"/>
  <c r="A4325" i="8"/>
  <c r="A4329" i="8"/>
  <c r="A4333" i="8"/>
  <c r="A4337" i="8"/>
  <c r="A4341" i="8"/>
  <c r="A4345" i="8"/>
  <c r="A4349" i="8"/>
  <c r="A4353" i="8"/>
  <c r="A4357" i="8"/>
  <c r="A4361" i="8"/>
  <c r="A4365" i="8"/>
  <c r="A4369" i="8"/>
  <c r="A4373" i="8"/>
  <c r="A4377" i="8"/>
  <c r="A4381" i="8"/>
  <c r="A4385" i="8"/>
  <c r="A4389" i="8"/>
  <c r="A4393" i="8"/>
  <c r="A4397" i="8"/>
  <c r="A4401" i="8"/>
  <c r="A4405" i="8"/>
  <c r="A4409" i="8"/>
  <c r="A4413" i="8"/>
  <c r="A4417" i="8"/>
  <c r="A4421" i="8"/>
  <c r="A4425" i="8"/>
  <c r="A4429" i="8"/>
  <c r="A1471" i="8"/>
  <c r="A2020" i="8"/>
  <c r="A2210" i="8"/>
  <c r="A2338" i="8"/>
  <c r="A2466" i="8"/>
  <c r="A2594" i="8"/>
  <c r="A2722" i="8"/>
  <c r="A2846" i="8"/>
  <c r="A2910" i="8"/>
  <c r="A2963" i="8"/>
  <c r="A2995" i="8"/>
  <c r="A3027" i="8"/>
  <c r="A3059" i="8"/>
  <c r="A3091" i="8"/>
  <c r="A3123" i="8"/>
  <c r="A3155" i="8"/>
  <c r="A3187" i="8"/>
  <c r="A3219" i="8"/>
  <c r="A3251" i="8"/>
  <c r="A3283" i="8"/>
  <c r="A3315" i="8"/>
  <c r="A3347" i="8"/>
  <c r="A3379" i="8"/>
  <c r="A3411" i="8"/>
  <c r="A3443" i="8"/>
  <c r="A3475" i="8"/>
  <c r="A3507" i="8"/>
  <c r="A3531" i="8"/>
  <c r="A3552" i="8"/>
  <c r="A3574" i="8"/>
  <c r="A3595" i="8"/>
  <c r="A3616" i="8"/>
  <c r="A3638" i="8"/>
  <c r="A3659" i="8"/>
  <c r="A3680" i="8"/>
  <c r="A3702" i="8"/>
  <c r="A3723" i="8"/>
  <c r="A3744" i="8"/>
  <c r="A3766" i="8"/>
  <c r="A3787" i="8"/>
  <c r="A3808" i="8"/>
  <c r="A3830" i="8"/>
  <c r="A3851" i="8"/>
  <c r="A3872" i="8"/>
  <c r="A3894" i="8"/>
  <c r="A3915" i="8"/>
  <c r="A3936" i="8"/>
  <c r="A3958" i="8"/>
  <c r="A3978" i="8"/>
  <c r="A3994" i="8"/>
  <c r="A4010" i="8"/>
  <c r="A4026" i="8"/>
  <c r="A4042" i="8"/>
  <c r="A4058" i="8"/>
  <c r="A4074" i="8"/>
  <c r="A4090" i="8"/>
  <c r="A4106" i="8"/>
  <c r="A4122" i="8"/>
  <c r="A4138" i="8"/>
  <c r="A4154" i="8"/>
  <c r="A4170" i="8"/>
  <c r="A4186" i="8"/>
  <c r="A4202" i="8"/>
  <c r="A4218" i="8"/>
  <c r="A4234" i="8"/>
  <c r="A4250" i="8"/>
  <c r="A4266" i="8"/>
  <c r="A4282" i="8"/>
  <c r="A4298" i="8"/>
  <c r="A4314" i="8"/>
  <c r="A4330" i="8"/>
  <c r="A4346" i="8"/>
  <c r="A4362" i="8"/>
  <c r="A4378" i="8"/>
  <c r="A4394" i="8"/>
  <c r="A4410" i="8"/>
  <c r="A4426" i="8"/>
  <c r="A1734" i="8"/>
  <c r="A2084" i="8"/>
  <c r="A2242" i="8"/>
  <c r="A2370" i="8"/>
  <c r="A2498" i="8"/>
  <c r="A2626" i="8"/>
  <c r="A2754" i="8"/>
  <c r="A2862" i="8"/>
  <c r="A2926" i="8"/>
  <c r="A2971" i="8"/>
  <c r="A3003" i="8"/>
  <c r="A3035" i="8"/>
  <c r="A3067" i="8"/>
  <c r="A3099" i="8"/>
  <c r="A3131" i="8"/>
  <c r="A3163" i="8"/>
  <c r="A3195" i="8"/>
  <c r="A3227" i="8"/>
  <c r="A3259" i="8"/>
  <c r="A3291" i="8"/>
  <c r="A3323" i="8"/>
  <c r="A3355" i="8"/>
  <c r="A3387" i="8"/>
  <c r="A3419" i="8"/>
  <c r="A3451" i="8"/>
  <c r="A3483" i="8"/>
  <c r="A3515" i="8"/>
  <c r="A3536" i="8"/>
  <c r="A3558" i="8"/>
  <c r="A3579" i="8"/>
  <c r="A3600" i="8"/>
  <c r="A3622" i="8"/>
  <c r="A3643" i="8"/>
  <c r="A3664" i="8"/>
  <c r="A3686" i="8"/>
  <c r="A3707" i="8"/>
  <c r="A3728" i="8"/>
  <c r="A3750" i="8"/>
  <c r="A3771" i="8"/>
  <c r="A3792" i="8"/>
  <c r="A3814" i="8"/>
  <c r="A3835" i="8"/>
  <c r="A3856" i="8"/>
  <c r="A3878" i="8"/>
  <c r="A3899" i="8"/>
  <c r="A3920" i="8"/>
  <c r="A3942" i="8"/>
  <c r="A3963" i="8"/>
  <c r="A3982" i="8"/>
  <c r="A3998" i="8"/>
  <c r="A4014" i="8"/>
  <c r="A4030" i="8"/>
  <c r="A4046" i="8"/>
  <c r="A4062" i="8"/>
  <c r="A4078" i="8"/>
  <c r="A4094" i="8"/>
  <c r="A4110" i="8"/>
  <c r="A4126" i="8"/>
  <c r="A4142" i="8"/>
  <c r="A4158" i="8"/>
  <c r="A4174" i="8"/>
  <c r="A4190" i="8"/>
  <c r="A4206" i="8"/>
  <c r="A4222" i="8"/>
  <c r="A4238" i="8"/>
  <c r="A4254" i="8"/>
  <c r="A4270" i="8"/>
  <c r="A4286" i="8"/>
  <c r="A4302" i="8"/>
  <c r="A4318" i="8"/>
  <c r="A4334" i="8"/>
  <c r="A4350" i="8"/>
  <c r="A4366" i="8"/>
  <c r="A4382" i="8"/>
  <c r="A4398" i="8"/>
  <c r="A4414" i="8"/>
  <c r="A1862" i="8"/>
  <c r="A2146" i="8"/>
  <c r="A2274" i="8"/>
  <c r="A2402" i="8"/>
  <c r="A2530" i="8"/>
  <c r="A2658" i="8"/>
  <c r="A2786" i="8"/>
  <c r="A2878" i="8"/>
  <c r="A2942" i="8"/>
  <c r="A2979" i="8"/>
  <c r="A3011" i="8"/>
  <c r="A3043" i="8"/>
  <c r="A3075" i="8"/>
  <c r="A3107" i="8"/>
  <c r="A3139" i="8"/>
  <c r="A3171" i="8"/>
  <c r="A3203" i="8"/>
  <c r="A3235" i="8"/>
  <c r="A3267" i="8"/>
  <c r="A3299" i="8"/>
  <c r="A3331" i="8"/>
  <c r="A3363" i="8"/>
  <c r="A3395" i="8"/>
  <c r="A3427" i="8"/>
  <c r="A3459" i="8"/>
  <c r="A3491" i="8"/>
  <c r="A3520" i="8"/>
  <c r="A3542" i="8"/>
  <c r="A3563" i="8"/>
  <c r="A3584" i="8"/>
  <c r="A3606" i="8"/>
  <c r="A3627" i="8"/>
  <c r="A3648" i="8"/>
  <c r="A3670" i="8"/>
  <c r="A3691" i="8"/>
  <c r="A3712" i="8"/>
  <c r="A3734" i="8"/>
  <c r="A3755" i="8"/>
  <c r="A3776" i="8"/>
  <c r="A3798" i="8"/>
  <c r="A3819" i="8"/>
  <c r="A3840" i="8"/>
  <c r="A3862" i="8"/>
  <c r="A3883" i="8"/>
  <c r="A3904" i="8"/>
  <c r="A3926" i="8"/>
  <c r="A3947" i="8"/>
  <c r="A3968" i="8"/>
  <c r="A3986" i="8"/>
  <c r="A4002" i="8"/>
  <c r="A4018" i="8"/>
  <c r="A4034" i="8"/>
  <c r="A4050" i="8"/>
  <c r="A4066" i="8"/>
  <c r="A4082" i="8"/>
  <c r="A4098" i="8"/>
  <c r="A4114" i="8"/>
  <c r="A4130" i="8"/>
  <c r="A4146" i="8"/>
  <c r="A4162" i="8"/>
  <c r="A4178" i="8"/>
  <c r="A4194" i="8"/>
  <c r="A4210" i="8"/>
  <c r="A4226" i="8"/>
  <c r="A4242" i="8"/>
  <c r="A4258" i="8"/>
  <c r="A4274" i="8"/>
  <c r="A4290" i="8"/>
  <c r="A4306" i="8"/>
  <c r="A4322" i="8"/>
  <c r="A4338" i="8"/>
  <c r="A4354" i="8"/>
  <c r="A4370" i="8"/>
  <c r="A4386" i="8"/>
  <c r="A4402" i="8"/>
  <c r="A4418" i="8"/>
  <c r="A1956" i="8"/>
  <c r="A2562" i="8"/>
  <c r="A2955" i="8"/>
  <c r="A3083" i="8"/>
  <c r="A3211" i="8"/>
  <c r="A3339" i="8"/>
  <c r="A3467" i="8"/>
  <c r="A3568" i="8"/>
  <c r="A3654" i="8"/>
  <c r="A3739" i="8"/>
  <c r="A3824" i="8"/>
  <c r="A3910" i="8"/>
  <c r="A3990" i="8"/>
  <c r="A4054" i="8"/>
  <c r="A4118" i="8"/>
  <c r="A4182" i="8"/>
  <c r="A4246" i="8"/>
  <c r="A4310" i="8"/>
  <c r="A4374" i="8"/>
  <c r="A3051" i="8"/>
  <c r="A3547" i="8"/>
  <c r="A3718" i="8"/>
  <c r="A3888" i="8"/>
  <c r="A4102" i="8"/>
  <c r="A4294" i="8"/>
  <c r="A2178" i="8"/>
  <c r="A2690" i="8"/>
  <c r="A2987" i="8"/>
  <c r="A3115" i="8"/>
  <c r="A3243" i="8"/>
  <c r="A3371" i="8"/>
  <c r="A3499" i="8"/>
  <c r="A3590" i="8"/>
  <c r="A3675" i="8"/>
  <c r="A3760" i="8"/>
  <c r="A3846" i="8"/>
  <c r="A3931" i="8"/>
  <c r="A4006" i="8"/>
  <c r="A4070" i="8"/>
  <c r="A4134" i="8"/>
  <c r="A4198" i="8"/>
  <c r="A4262" i="8"/>
  <c r="A4326" i="8"/>
  <c r="A4390" i="8"/>
  <c r="A2" i="8"/>
  <c r="A2434" i="8"/>
  <c r="A4038" i="8"/>
  <c r="A4358" i="8"/>
  <c r="A2306" i="8"/>
  <c r="A2818" i="8"/>
  <c r="A3019" i="8"/>
  <c r="A3147" i="8"/>
  <c r="A3275" i="8"/>
  <c r="A3403" i="8"/>
  <c r="A3526" i="8"/>
  <c r="A3611" i="8"/>
  <c r="A3696" i="8"/>
  <c r="A3782" i="8"/>
  <c r="A3867" i="8"/>
  <c r="A3952" i="8"/>
  <c r="A4022" i="8"/>
  <c r="A4086" i="8"/>
  <c r="A4150" i="8"/>
  <c r="A4214" i="8"/>
  <c r="A4278" i="8"/>
  <c r="A4342" i="8"/>
  <c r="A4406" i="8"/>
  <c r="A2894" i="8"/>
  <c r="A3179" i="8"/>
  <c r="A3307" i="8"/>
  <c r="A3435" i="8"/>
  <c r="A3632" i="8"/>
  <c r="A3803" i="8"/>
  <c r="A3974" i="8"/>
  <c r="A4166" i="8"/>
  <c r="A4230" i="8"/>
  <c r="A4422" i="8"/>
  <c r="F11" i="8"/>
  <c r="F54" i="8"/>
  <c r="F22" i="8"/>
  <c r="F33" i="8"/>
  <c r="F43" i="8"/>
  <c r="F25" i="8"/>
  <c r="F46" i="8"/>
  <c r="F6" i="8"/>
  <c r="F17" i="8"/>
  <c r="F27" i="8"/>
  <c r="F38" i="8"/>
  <c r="F49" i="8"/>
  <c r="F3" i="8"/>
  <c r="F14" i="8"/>
  <c r="F35" i="8"/>
  <c r="F9" i="8"/>
  <c r="F19" i="8"/>
  <c r="F30" i="8"/>
  <c r="F41" i="8"/>
  <c r="F51" i="8"/>
  <c r="F52" i="8"/>
  <c r="F48" i="8"/>
  <c r="F44" i="8"/>
  <c r="F40" i="8"/>
  <c r="F36" i="8"/>
  <c r="F32" i="8"/>
  <c r="F28" i="8"/>
  <c r="F24" i="8"/>
  <c r="F20" i="8"/>
  <c r="F16" i="8"/>
  <c r="F12" i="8"/>
  <c r="F8" i="8"/>
  <c r="F4" i="8"/>
  <c r="F2" i="8"/>
  <c r="F7" i="8"/>
  <c r="F13" i="8"/>
  <c r="F18" i="8"/>
  <c r="F23" i="8"/>
  <c r="F29" i="8"/>
  <c r="F34" i="8"/>
  <c r="F39" i="8"/>
  <c r="F45" i="8"/>
  <c r="F50" i="8"/>
  <c r="F55" i="8"/>
  <c r="F5" i="8"/>
  <c r="F10" i="8"/>
  <c r="F15" i="8"/>
  <c r="F21" i="8"/>
  <c r="F26" i="8"/>
  <c r="F31" i="8"/>
  <c r="F37" i="8"/>
  <c r="F42" i="8"/>
  <c r="F47" i="8"/>
  <c r="F53" i="8"/>
</calcChain>
</file>

<file path=xl/sharedStrings.xml><?xml version="1.0" encoding="utf-8"?>
<sst xmlns="http://schemas.openxmlformats.org/spreadsheetml/2006/main" count="5068" uniqueCount="161">
  <si>
    <t>LOJA</t>
  </si>
  <si>
    <t>STATUS LOJA</t>
  </si>
  <si>
    <t>VIA</t>
  </si>
  <si>
    <t>ATIVA - SEM CNPJ</t>
  </si>
  <si>
    <t>REFERÊNCIA</t>
  </si>
  <si>
    <t>COR</t>
  </si>
  <si>
    <t>DESC COR</t>
  </si>
  <si>
    <t>TAMANHO</t>
  </si>
  <si>
    <t>PROPORÇÃO</t>
  </si>
  <si>
    <t>QTDE</t>
  </si>
  <si>
    <t>DESCRIÇÃO</t>
  </si>
  <si>
    <t>OBS</t>
  </si>
  <si>
    <t>9P</t>
  </si>
  <si>
    <t>3F</t>
  </si>
  <si>
    <t>9E</t>
  </si>
  <si>
    <t>SKU</t>
  </si>
  <si>
    <t>109130019P1</t>
  </si>
  <si>
    <t>109130019P2</t>
  </si>
  <si>
    <t>109130019P3</t>
  </si>
  <si>
    <t>109130019P4</t>
  </si>
  <si>
    <t>109130019P5</t>
  </si>
  <si>
    <t>109130019P6</t>
  </si>
  <si>
    <t>109130013F1</t>
  </si>
  <si>
    <t>109130013F2</t>
  </si>
  <si>
    <t>109130013F3</t>
  </si>
  <si>
    <t>109130013F4</t>
  </si>
  <si>
    <t>109130013F5</t>
  </si>
  <si>
    <t>109130013F6</t>
  </si>
  <si>
    <t>Total de peças por loja</t>
  </si>
  <si>
    <t>Total de volumes</t>
  </si>
  <si>
    <t>Loja</t>
  </si>
  <si>
    <t>Código</t>
  </si>
  <si>
    <t>Pedido</t>
  </si>
  <si>
    <t>Volume</t>
  </si>
  <si>
    <t>xxxxx</t>
  </si>
  <si>
    <t>qtd</t>
  </si>
  <si>
    <t>BA</t>
  </si>
  <si>
    <t>I2</t>
  </si>
  <si>
    <t>J5</t>
  </si>
  <si>
    <t>P1</t>
  </si>
  <si>
    <t>I6</t>
  </si>
  <si>
    <t>P4</t>
  </si>
  <si>
    <t>BY</t>
  </si>
  <si>
    <t>BX</t>
  </si>
  <si>
    <t>J4</t>
  </si>
  <si>
    <t>J1</t>
  </si>
  <si>
    <t>B0</t>
  </si>
  <si>
    <t>O9</t>
  </si>
  <si>
    <t>W3</t>
  </si>
  <si>
    <t>J8</t>
  </si>
  <si>
    <t>J9</t>
  </si>
  <si>
    <t>B3</t>
  </si>
  <si>
    <t>O2</t>
  </si>
  <si>
    <t>O3</t>
  </si>
  <si>
    <t>B2</t>
  </si>
  <si>
    <t>AQ</t>
  </si>
  <si>
    <t>EX</t>
  </si>
  <si>
    <t>DK</t>
  </si>
  <si>
    <t>S7</t>
  </si>
  <si>
    <t>W6</t>
  </si>
  <si>
    <t>J7</t>
  </si>
  <si>
    <t>EL</t>
  </si>
  <si>
    <t>CF</t>
  </si>
  <si>
    <t>B4</t>
  </si>
  <si>
    <t>O7</t>
  </si>
  <si>
    <t>IB</t>
  </si>
  <si>
    <t>II</t>
  </si>
  <si>
    <t>I9</t>
  </si>
  <si>
    <t>IE</t>
  </si>
  <si>
    <t>I0</t>
  </si>
  <si>
    <t>IJ</t>
  </si>
  <si>
    <t>Q1</t>
  </si>
  <si>
    <t>N1</t>
  </si>
  <si>
    <t>J3</t>
  </si>
  <si>
    <t>Q2</t>
  </si>
  <si>
    <t>S5</t>
  </si>
  <si>
    <t>Q3</t>
  </si>
  <si>
    <t>KH</t>
  </si>
  <si>
    <t>Q4</t>
  </si>
  <si>
    <t>GX</t>
  </si>
  <si>
    <t>R1</t>
  </si>
  <si>
    <t>X6</t>
  </si>
  <si>
    <t>DX</t>
  </si>
  <si>
    <t>R3</t>
  </si>
  <si>
    <t>R2</t>
  </si>
  <si>
    <t>GJ</t>
  </si>
  <si>
    <t>KD</t>
  </si>
  <si>
    <t>KK</t>
  </si>
  <si>
    <t>KR</t>
  </si>
  <si>
    <t>KW</t>
  </si>
  <si>
    <t>6D</t>
  </si>
  <si>
    <t>5B</t>
  </si>
  <si>
    <t>9C</t>
  </si>
  <si>
    <t>7H</t>
  </si>
  <si>
    <t>9I</t>
  </si>
  <si>
    <t>6V</t>
  </si>
  <si>
    <t>CAMISA LISTRAS BRANCAS</t>
  </si>
  <si>
    <t>LISTRA BRANCA</t>
  </si>
  <si>
    <t>109130016D1</t>
  </si>
  <si>
    <t>109130016D2</t>
  </si>
  <si>
    <t>109130016D3</t>
  </si>
  <si>
    <t>109130016D4</t>
  </si>
  <si>
    <t>109130016D5</t>
  </si>
  <si>
    <t>109130016D6</t>
  </si>
  <si>
    <t>QT. PACKS</t>
  </si>
  <si>
    <t>pack</t>
  </si>
  <si>
    <t>pç</t>
  </si>
  <si>
    <t>109130015B1</t>
  </si>
  <si>
    <t>109130015B2</t>
  </si>
  <si>
    <t>109130015B3</t>
  </si>
  <si>
    <t>109130015B4</t>
  </si>
  <si>
    <t>109130015B5</t>
  </si>
  <si>
    <t>109130015B6</t>
  </si>
  <si>
    <t>109130019E1</t>
  </si>
  <si>
    <t>109130019E2</t>
  </si>
  <si>
    <t>109130019E3</t>
  </si>
  <si>
    <t>109130019E4</t>
  </si>
  <si>
    <t>109130019E5</t>
  </si>
  <si>
    <t>109130019E6</t>
  </si>
  <si>
    <t>109130019C1</t>
  </si>
  <si>
    <t>109130019C2</t>
  </si>
  <si>
    <t>109130019C3</t>
  </si>
  <si>
    <t>109130019C4</t>
  </si>
  <si>
    <t>109130019C5</t>
  </si>
  <si>
    <t>109130019C6</t>
  </si>
  <si>
    <t>CAMISAS LISTRAS PRETAS</t>
  </si>
  <si>
    <t>LISTRA PRETA</t>
  </si>
  <si>
    <t>CAMISAS LISTRAS AMARELAS</t>
  </si>
  <si>
    <t>LISTRAS AMARELAS</t>
  </si>
  <si>
    <t>CAMISAS LISTRAS VERDE</t>
  </si>
  <si>
    <t>109130017H1</t>
  </si>
  <si>
    <t>109130017H2</t>
  </si>
  <si>
    <t>109130017H3</t>
  </si>
  <si>
    <t>109130017H4</t>
  </si>
  <si>
    <t>109130017H5</t>
  </si>
  <si>
    <t>109130017H6</t>
  </si>
  <si>
    <t>LISTRAS VERDES</t>
  </si>
  <si>
    <t>CAMISAS LISTRAS BRANCAS</t>
  </si>
  <si>
    <t>109130019I1</t>
  </si>
  <si>
    <t>109130019I2</t>
  </si>
  <si>
    <t>109130019I3</t>
  </si>
  <si>
    <t>109130019I4</t>
  </si>
  <si>
    <t>109130019I5</t>
  </si>
  <si>
    <t>109130019I6</t>
  </si>
  <si>
    <t>LISTRAS BRANCAS</t>
  </si>
  <si>
    <t>109130016V1</t>
  </si>
  <si>
    <t>109130016V2</t>
  </si>
  <si>
    <t>109130016V3</t>
  </si>
  <si>
    <t>109130016V4</t>
  </si>
  <si>
    <t>109130016V5</t>
  </si>
  <si>
    <t>109130016V6</t>
  </si>
  <si>
    <t>NF 4267</t>
  </si>
  <si>
    <t>DH</t>
  </si>
  <si>
    <t>via 13</t>
  </si>
  <si>
    <t>carga especial</t>
  </si>
  <si>
    <t>via 92</t>
  </si>
  <si>
    <t>VIA 44</t>
  </si>
  <si>
    <t>via k6</t>
  </si>
  <si>
    <t>Total de volumes exato</t>
  </si>
  <si>
    <t>dd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</si>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</sst>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indexed="8"/>
      <name val="Calibri"/>
      <family val="2"/>
    </font>
    <font>
      <sz val="7"/>
      <color theme="0"/>
      <name val="Arial Narrow"/>
      <family val="2"/>
    </font>
    <font>
      <b/>
      <sz val="7"/>
      <color theme="0"/>
      <name val="Arial Narrow"/>
      <family val="2"/>
    </font>
    <font>
      <sz val="7"/>
      <color theme="1"/>
      <name val="Arial Narrow"/>
      <family val="2"/>
    </font>
    <font>
      <b/>
      <sz val="7"/>
      <color theme="1"/>
      <name val="Arial Narrow"/>
      <family val="2"/>
    </font>
    <font>
      <b/>
      <sz val="18"/>
      <color theme="1"/>
      <name val="Arial Narrow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hair">
        <color theme="2" tint="-0.24994659260841701"/>
      </left>
      <right style="hair">
        <color theme="2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/>
      <right/>
      <top/>
      <bottom style="hair">
        <color theme="2" tint="-0.24994659260841701"/>
      </bottom>
      <diagonal/>
    </border>
    <border>
      <left style="hair">
        <color theme="2" tint="-0.24994659260841701"/>
      </left>
      <right/>
      <top style="hair">
        <color theme="2" tint="-0.24994659260841701"/>
      </top>
      <bottom style="hair">
        <color theme="2" tint="-0.24994659260841701"/>
      </bottom>
      <diagonal/>
    </border>
    <border>
      <left/>
      <right style="hair">
        <color theme="2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/>
      <right/>
      <top style="hair">
        <color theme="2" tint="-0.24994659260841701"/>
      </top>
      <bottom/>
      <diagonal/>
    </border>
  </borders>
  <cellStyleXfs count="2">
    <xf numFmtId="0" fontId="0" fillId="0" borderId="0"/>
    <xf numFmtId="0" fontId="3" fillId="0" borderId="0" applyNumberFormat="0" applyFill="0" applyBorder="0" applyProtection="0"/>
  </cellStyleXfs>
  <cellXfs count="57">
    <xf numFmtId="0" fontId="0" fillId="0" borderId="0" xfId="0"/>
    <xf numFmtId="0" fontId="0" fillId="0" borderId="0" xfId="0" applyAlignment="1">
      <alignment horizontal="center"/>
    </xf>
    <xf numFmtId="0" fontId="4" fillId="4" borderId="1" xfId="0" applyFont="1" applyFill="1" applyBorder="1" applyAlignment="1">
      <alignment horizontal="left" textRotation="90"/>
    </xf>
    <xf numFmtId="0" fontId="4" fillId="4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Border="1" applyAlignment="1">
      <alignment horizontal="center"/>
    </xf>
    <xf numFmtId="0" fontId="0" fillId="14" borderId="0" xfId="0" applyFill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9" fontId="0" fillId="5" borderId="0" xfId="0" applyNumberFormat="1" applyFill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0" fontId="0" fillId="6" borderId="0" xfId="0" applyFill="1" applyBorder="1"/>
    <xf numFmtId="0" fontId="2" fillId="0" borderId="0" xfId="0" applyFont="1"/>
    <xf numFmtId="0" fontId="0" fillId="0" borderId="0" xfId="0" applyAlignment="1"/>
    <xf numFmtId="0" fontId="1" fillId="6" borderId="0" xfId="0" applyFont="1" applyFill="1" applyAlignment="1">
      <alignment horizontal="left"/>
    </xf>
    <xf numFmtId="0" fontId="10" fillId="0" borderId="2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49" fontId="0" fillId="3" borderId="0" xfId="0" applyNumberFormat="1" applyFill="1" applyAlignment="1">
      <alignment horizontal="left"/>
    </xf>
    <xf numFmtId="0" fontId="0" fillId="3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8" fillId="14" borderId="4" xfId="0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C79"/>
  <sheetViews>
    <sheetView tabSelected="1" workbookViewId="0">
      <pane ySplit="3" topLeftCell="A4" activePane="bottomLeft" state="frozen"/>
      <selection pane="bottomLeft" activeCell="C51" sqref="C51"/>
    </sheetView>
  </sheetViews>
  <sheetFormatPr defaultRowHeight="14.5" x14ac:dyDescent="0.35"/>
  <cols>
    <col min="1" max="1" width="27.90625" customWidth="1"/>
    <col min="2" max="2" width="11.7265625" bestFit="1" customWidth="1"/>
    <col min="3" max="3" width="14.453125" customWidth="1"/>
    <col min="4" max="5" width="19.7265625" customWidth="1"/>
    <col min="6" max="6" width="10.453125" bestFit="1" customWidth="1"/>
    <col min="7" max="8" width="12.453125" customWidth="1"/>
    <col min="9" max="9" width="6.453125" customWidth="1"/>
    <col min="10" max="15" width="7.6328125" customWidth="1"/>
  </cols>
  <sheetData>
    <row r="1" spans="1:173" x14ac:dyDescent="0.35">
      <c r="A1" s="25" t="s">
        <v>151</v>
      </c>
    </row>
    <row r="2" spans="1:173" s="21" customFormat="1" ht="24.75" customHeight="1" x14ac:dyDescent="0.5">
      <c r="A2" s="21" t="s">
        <v>34</v>
      </c>
      <c r="J2" s="30" t="s">
        <v>105</v>
      </c>
      <c r="K2" s="30" t="s">
        <v>106</v>
      </c>
      <c r="L2" s="30" t="s">
        <v>105</v>
      </c>
      <c r="M2" s="30" t="s">
        <v>106</v>
      </c>
      <c r="N2" s="30" t="s">
        <v>105</v>
      </c>
      <c r="O2" s="30" t="s">
        <v>106</v>
      </c>
      <c r="P2" s="30" t="s">
        <v>105</v>
      </c>
      <c r="Q2" s="30" t="s">
        <v>106</v>
      </c>
      <c r="R2" s="30" t="s">
        <v>105</v>
      </c>
      <c r="S2" s="30" t="s">
        <v>106</v>
      </c>
      <c r="T2" s="30" t="s">
        <v>105</v>
      </c>
      <c r="U2" s="30" t="s">
        <v>106</v>
      </c>
      <c r="V2" s="30" t="s">
        <v>105</v>
      </c>
      <c r="W2" s="30" t="s">
        <v>106</v>
      </c>
      <c r="X2" s="30" t="s">
        <v>105</v>
      </c>
      <c r="Y2" s="30" t="s">
        <v>106</v>
      </c>
      <c r="Z2" s="30" t="s">
        <v>105</v>
      </c>
      <c r="AA2" s="30" t="s">
        <v>106</v>
      </c>
      <c r="AB2" s="30" t="s">
        <v>105</v>
      </c>
      <c r="AC2" s="30" t="s">
        <v>106</v>
      </c>
      <c r="AD2" s="30" t="s">
        <v>105</v>
      </c>
      <c r="AE2" s="30" t="s">
        <v>106</v>
      </c>
      <c r="AF2" s="30" t="s">
        <v>105</v>
      </c>
      <c r="AG2" s="30" t="s">
        <v>106</v>
      </c>
      <c r="AH2" s="30" t="s">
        <v>105</v>
      </c>
      <c r="AI2" s="30" t="s">
        <v>106</v>
      </c>
      <c r="AJ2" s="30" t="s">
        <v>105</v>
      </c>
      <c r="AK2" s="30" t="s">
        <v>106</v>
      </c>
      <c r="AL2" s="30" t="s">
        <v>105</v>
      </c>
      <c r="AM2" s="30" t="s">
        <v>106</v>
      </c>
      <c r="AN2" s="30" t="s">
        <v>105</v>
      </c>
      <c r="AO2" s="30" t="s">
        <v>106</v>
      </c>
      <c r="AP2" s="30" t="s">
        <v>105</v>
      </c>
      <c r="AQ2" s="30" t="s">
        <v>106</v>
      </c>
      <c r="AR2" s="30" t="s">
        <v>105</v>
      </c>
      <c r="AS2" s="30" t="s">
        <v>106</v>
      </c>
      <c r="AT2" s="30" t="s">
        <v>105</v>
      </c>
      <c r="AU2" s="30" t="s">
        <v>106</v>
      </c>
      <c r="AV2" s="30" t="s">
        <v>105</v>
      </c>
      <c r="AW2" s="30" t="s">
        <v>106</v>
      </c>
      <c r="AX2" s="30" t="s">
        <v>105</v>
      </c>
      <c r="AY2" s="30" t="s">
        <v>106</v>
      </c>
      <c r="AZ2" s="30" t="s">
        <v>105</v>
      </c>
      <c r="BA2" s="30" t="s">
        <v>106</v>
      </c>
      <c r="BB2" s="30" t="s">
        <v>105</v>
      </c>
      <c r="BC2" s="30" t="s">
        <v>106</v>
      </c>
      <c r="BD2" s="30" t="s">
        <v>105</v>
      </c>
      <c r="BE2" s="30" t="s">
        <v>106</v>
      </c>
      <c r="BF2" s="30" t="s">
        <v>105</v>
      </c>
      <c r="BG2" s="30" t="s">
        <v>106</v>
      </c>
      <c r="BH2" s="30" t="s">
        <v>105</v>
      </c>
      <c r="BI2" s="30" t="s">
        <v>106</v>
      </c>
      <c r="BJ2" s="30" t="s">
        <v>105</v>
      </c>
      <c r="BK2" s="30" t="s">
        <v>106</v>
      </c>
      <c r="BL2" s="30" t="s">
        <v>105</v>
      </c>
      <c r="BM2" s="30" t="s">
        <v>106</v>
      </c>
      <c r="BN2" s="30" t="s">
        <v>105</v>
      </c>
      <c r="BO2" s="30" t="s">
        <v>106</v>
      </c>
      <c r="BP2" s="30" t="s">
        <v>105</v>
      </c>
      <c r="BQ2" s="30" t="s">
        <v>106</v>
      </c>
      <c r="BR2" s="30" t="s">
        <v>105</v>
      </c>
      <c r="BS2" s="30" t="s">
        <v>106</v>
      </c>
      <c r="BT2" s="30" t="s">
        <v>105</v>
      </c>
      <c r="BU2" s="30" t="s">
        <v>106</v>
      </c>
      <c r="BV2" s="30" t="s">
        <v>105</v>
      </c>
      <c r="BW2" s="30" t="s">
        <v>106</v>
      </c>
      <c r="BX2" s="30" t="s">
        <v>105</v>
      </c>
      <c r="BY2" s="30" t="s">
        <v>106</v>
      </c>
      <c r="BZ2" s="30" t="s">
        <v>105</v>
      </c>
      <c r="CA2" s="30" t="s">
        <v>106</v>
      </c>
      <c r="CB2" s="30" t="s">
        <v>105</v>
      </c>
      <c r="CC2" s="30" t="s">
        <v>106</v>
      </c>
      <c r="CD2" s="30" t="s">
        <v>105</v>
      </c>
      <c r="CE2" s="30" t="s">
        <v>106</v>
      </c>
      <c r="CF2" s="30" t="s">
        <v>105</v>
      </c>
      <c r="CG2" s="30" t="s">
        <v>106</v>
      </c>
      <c r="CH2" s="30" t="s">
        <v>105</v>
      </c>
      <c r="CI2" s="30" t="s">
        <v>106</v>
      </c>
      <c r="CJ2" s="30" t="s">
        <v>105</v>
      </c>
      <c r="CK2" s="30" t="s">
        <v>106</v>
      </c>
      <c r="CL2" s="30" t="s">
        <v>105</v>
      </c>
      <c r="CM2" s="30" t="s">
        <v>106</v>
      </c>
      <c r="CN2" s="30" t="s">
        <v>105</v>
      </c>
      <c r="CO2" s="30" t="s">
        <v>106</v>
      </c>
      <c r="CP2" s="30" t="s">
        <v>105</v>
      </c>
      <c r="CQ2" s="30" t="s">
        <v>106</v>
      </c>
      <c r="CR2" s="30" t="s">
        <v>105</v>
      </c>
      <c r="CS2" s="30" t="s">
        <v>106</v>
      </c>
      <c r="CT2" s="30" t="s">
        <v>105</v>
      </c>
      <c r="CU2" s="30" t="s">
        <v>106</v>
      </c>
      <c r="CV2" s="30" t="s">
        <v>105</v>
      </c>
      <c r="CW2" s="30" t="s">
        <v>106</v>
      </c>
      <c r="CX2" s="30" t="s">
        <v>105</v>
      </c>
      <c r="CY2" s="30" t="s">
        <v>106</v>
      </c>
      <c r="CZ2" s="30" t="s">
        <v>105</v>
      </c>
      <c r="DA2" s="30" t="s">
        <v>106</v>
      </c>
      <c r="DB2" s="30" t="s">
        <v>105</v>
      </c>
      <c r="DC2" s="30" t="s">
        <v>106</v>
      </c>
      <c r="DD2" s="30" t="s">
        <v>105</v>
      </c>
      <c r="DE2" s="30" t="s">
        <v>106</v>
      </c>
      <c r="DF2" s="30" t="s">
        <v>105</v>
      </c>
      <c r="DG2" s="30" t="s">
        <v>106</v>
      </c>
      <c r="DH2" s="30" t="s">
        <v>105</v>
      </c>
      <c r="DI2" s="30" t="s">
        <v>106</v>
      </c>
      <c r="DJ2" s="30" t="s">
        <v>105</v>
      </c>
      <c r="DK2" s="30" t="s">
        <v>106</v>
      </c>
      <c r="DL2" s="30" t="s">
        <v>105</v>
      </c>
      <c r="DM2" s="30" t="s">
        <v>106</v>
      </c>
      <c r="DN2" s="30" t="s">
        <v>105</v>
      </c>
      <c r="DO2" s="30" t="s">
        <v>106</v>
      </c>
      <c r="DP2" s="30" t="s">
        <v>105</v>
      </c>
      <c r="DQ2" s="30" t="s">
        <v>106</v>
      </c>
      <c r="DR2" s="30" t="s">
        <v>105</v>
      </c>
      <c r="DS2" s="30" t="s">
        <v>106</v>
      </c>
      <c r="DT2" s="30" t="s">
        <v>105</v>
      </c>
      <c r="DU2" s="30" t="s">
        <v>106</v>
      </c>
      <c r="DV2" s="30" t="s">
        <v>105</v>
      </c>
      <c r="DW2" s="30" t="s">
        <v>106</v>
      </c>
      <c r="DX2" s="30" t="s">
        <v>105</v>
      </c>
      <c r="DY2" s="30" t="s">
        <v>106</v>
      </c>
      <c r="DZ2" s="30" t="s">
        <v>105</v>
      </c>
      <c r="EA2" s="30" t="s">
        <v>106</v>
      </c>
      <c r="EB2" s="30" t="s">
        <v>105</v>
      </c>
      <c r="EC2" s="30" t="s">
        <v>106</v>
      </c>
      <c r="ED2" s="30" t="s">
        <v>105</v>
      </c>
      <c r="EE2" s="30" t="s">
        <v>106</v>
      </c>
      <c r="EF2" s="30" t="s">
        <v>105</v>
      </c>
      <c r="EG2" s="30" t="s">
        <v>106</v>
      </c>
      <c r="EH2" s="30" t="s">
        <v>105</v>
      </c>
      <c r="EI2" s="30" t="s">
        <v>106</v>
      </c>
      <c r="EJ2" s="30" t="s">
        <v>105</v>
      </c>
      <c r="EK2" s="30" t="s">
        <v>106</v>
      </c>
      <c r="EL2" s="30" t="s">
        <v>105</v>
      </c>
      <c r="EM2" s="30" t="s">
        <v>106</v>
      </c>
      <c r="EN2" s="30" t="s">
        <v>105</v>
      </c>
      <c r="EO2" s="30" t="s">
        <v>106</v>
      </c>
      <c r="EP2" s="30" t="s">
        <v>105</v>
      </c>
      <c r="EQ2" s="30" t="s">
        <v>106</v>
      </c>
      <c r="ER2" s="30" t="s">
        <v>105</v>
      </c>
      <c r="ES2" s="30" t="s">
        <v>106</v>
      </c>
      <c r="ET2" s="30" t="s">
        <v>105</v>
      </c>
      <c r="EU2" s="30" t="s">
        <v>106</v>
      </c>
      <c r="EV2" s="30" t="s">
        <v>105</v>
      </c>
      <c r="EW2" s="30" t="s">
        <v>106</v>
      </c>
      <c r="EX2" s="30" t="s">
        <v>105</v>
      </c>
      <c r="EY2" s="30" t="s">
        <v>106</v>
      </c>
      <c r="EZ2" s="30" t="s">
        <v>105</v>
      </c>
      <c r="FA2" s="30" t="s">
        <v>106</v>
      </c>
      <c r="FB2" s="30" t="s">
        <v>105</v>
      </c>
      <c r="FC2" s="30" t="s">
        <v>106</v>
      </c>
      <c r="FD2" s="30" t="s">
        <v>105</v>
      </c>
      <c r="FE2" s="30" t="s">
        <v>106</v>
      </c>
      <c r="FF2" s="30" t="s">
        <v>105</v>
      </c>
      <c r="FG2" s="30" t="s">
        <v>106</v>
      </c>
      <c r="FH2" s="30" t="s">
        <v>105</v>
      </c>
      <c r="FI2" s="30" t="s">
        <v>106</v>
      </c>
      <c r="FJ2" s="30" t="s">
        <v>105</v>
      </c>
      <c r="FK2" s="30" t="s">
        <v>106</v>
      </c>
      <c r="FL2" s="30" t="s">
        <v>105</v>
      </c>
      <c r="FM2" s="30" t="s">
        <v>106</v>
      </c>
      <c r="FN2" s="30" t="s">
        <v>105</v>
      </c>
      <c r="FO2" s="30" t="s">
        <v>106</v>
      </c>
      <c r="FP2" s="30" t="s">
        <v>105</v>
      </c>
      <c r="FQ2" s="30" t="s">
        <v>106</v>
      </c>
    </row>
    <row r="3" spans="1:173" ht="22.5" x14ac:dyDescent="0.45">
      <c r="A3" s="19" t="s">
        <v>10</v>
      </c>
      <c r="B3" s="19" t="s">
        <v>4</v>
      </c>
      <c r="C3" s="19" t="s">
        <v>5</v>
      </c>
      <c r="D3" s="19" t="s">
        <v>6</v>
      </c>
      <c r="E3" s="19" t="s">
        <v>15</v>
      </c>
      <c r="F3" s="19" t="s">
        <v>7</v>
      </c>
      <c r="G3" s="19" t="s">
        <v>8</v>
      </c>
      <c r="H3" s="19" t="s">
        <v>104</v>
      </c>
      <c r="I3" s="19" t="s">
        <v>9</v>
      </c>
      <c r="J3" s="40">
        <v>43</v>
      </c>
      <c r="K3" s="41"/>
      <c r="L3" s="40">
        <v>44</v>
      </c>
      <c r="M3" s="41"/>
      <c r="N3" s="40">
        <v>24</v>
      </c>
      <c r="O3" s="41"/>
      <c r="P3" s="40" t="s">
        <v>36</v>
      </c>
      <c r="Q3" s="41"/>
      <c r="R3" s="40">
        <v>35</v>
      </c>
      <c r="S3" s="41"/>
      <c r="T3" s="40">
        <v>25</v>
      </c>
      <c r="U3" s="41"/>
      <c r="V3" s="40">
        <v>48</v>
      </c>
      <c r="W3" s="41"/>
      <c r="X3" s="40" t="s">
        <v>37</v>
      </c>
      <c r="Y3" s="41"/>
      <c r="Z3" s="40" t="s">
        <v>38</v>
      </c>
      <c r="AA3" s="41"/>
      <c r="AB3" s="40">
        <v>88</v>
      </c>
      <c r="AC3" s="41"/>
      <c r="AD3" s="40">
        <v>58</v>
      </c>
      <c r="AE3" s="41"/>
      <c r="AF3" s="40" t="s">
        <v>39</v>
      </c>
      <c r="AG3" s="41"/>
      <c r="AH3" s="40">
        <v>23</v>
      </c>
      <c r="AI3" s="41"/>
      <c r="AJ3" s="40">
        <v>56</v>
      </c>
      <c r="AK3" s="41"/>
      <c r="AL3" s="40" t="s">
        <v>40</v>
      </c>
      <c r="AM3" s="41"/>
      <c r="AN3" s="40">
        <v>28</v>
      </c>
      <c r="AO3" s="41"/>
      <c r="AP3" s="40" t="s">
        <v>41</v>
      </c>
      <c r="AQ3" s="41"/>
      <c r="AR3" s="40" t="s">
        <v>42</v>
      </c>
      <c r="AS3" s="41"/>
      <c r="AT3" s="40">
        <v>46</v>
      </c>
      <c r="AU3" s="41"/>
      <c r="AV3" s="40">
        <v>19</v>
      </c>
      <c r="AW3" s="41"/>
      <c r="AX3" s="40" t="s">
        <v>43</v>
      </c>
      <c r="AY3" s="41"/>
      <c r="AZ3" s="40">
        <v>82</v>
      </c>
      <c r="BA3" s="41"/>
      <c r="BB3" s="40">
        <v>63</v>
      </c>
      <c r="BC3" s="41"/>
      <c r="BD3" s="40">
        <v>33</v>
      </c>
      <c r="BE3" s="41"/>
      <c r="BF3" s="40" t="s">
        <v>44</v>
      </c>
      <c r="BG3" s="41"/>
      <c r="BH3" s="40" t="s">
        <v>45</v>
      </c>
      <c r="BI3" s="41"/>
      <c r="BJ3" s="40">
        <v>89</v>
      </c>
      <c r="BK3" s="41"/>
      <c r="BL3" s="40" t="s">
        <v>46</v>
      </c>
      <c r="BM3" s="41"/>
      <c r="BN3" s="40">
        <v>61</v>
      </c>
      <c r="BO3" s="41"/>
      <c r="BP3" s="40" t="s">
        <v>47</v>
      </c>
      <c r="BQ3" s="41"/>
      <c r="BR3" s="40" t="s">
        <v>48</v>
      </c>
      <c r="BS3" s="41"/>
      <c r="BT3" s="40" t="s">
        <v>49</v>
      </c>
      <c r="BU3" s="41"/>
      <c r="BV3" s="40" t="s">
        <v>50</v>
      </c>
      <c r="BW3" s="41"/>
      <c r="BX3" s="40" t="s">
        <v>51</v>
      </c>
      <c r="BY3" s="41"/>
      <c r="BZ3" s="40" t="s">
        <v>52</v>
      </c>
      <c r="CA3" s="41"/>
      <c r="CB3" s="40">
        <v>37</v>
      </c>
      <c r="CC3" s="41"/>
      <c r="CD3" s="40" t="s">
        <v>53</v>
      </c>
      <c r="CE3" s="41"/>
      <c r="CF3" s="40" t="s">
        <v>54</v>
      </c>
      <c r="CG3" s="41"/>
      <c r="CH3" s="40">
        <v>65</v>
      </c>
      <c r="CI3" s="41"/>
      <c r="CJ3" s="40">
        <v>66</v>
      </c>
      <c r="CK3" s="41"/>
      <c r="CL3" s="40" t="s">
        <v>55</v>
      </c>
      <c r="CM3" s="41"/>
      <c r="CN3" s="40" t="s">
        <v>56</v>
      </c>
      <c r="CO3" s="41"/>
      <c r="CP3" s="40">
        <v>10</v>
      </c>
      <c r="CQ3" s="41"/>
      <c r="CR3" s="40">
        <v>50</v>
      </c>
      <c r="CS3" s="41"/>
      <c r="CT3" s="40" t="s">
        <v>57</v>
      </c>
      <c r="CU3" s="41"/>
      <c r="CV3" s="40" t="s">
        <v>58</v>
      </c>
      <c r="CW3" s="41"/>
      <c r="CX3" s="40" t="s">
        <v>59</v>
      </c>
      <c r="CY3" s="41"/>
      <c r="CZ3" s="40" t="s">
        <v>60</v>
      </c>
      <c r="DA3" s="41"/>
      <c r="DB3" s="40">
        <v>12</v>
      </c>
      <c r="DC3" s="41"/>
      <c r="DD3" s="40">
        <v>85</v>
      </c>
      <c r="DE3" s="41"/>
      <c r="DF3" s="40">
        <v>13</v>
      </c>
      <c r="DG3" s="41"/>
      <c r="DH3" s="40" t="s">
        <v>61</v>
      </c>
      <c r="DI3" s="41"/>
      <c r="DJ3" s="40" t="s">
        <v>62</v>
      </c>
      <c r="DK3" s="41"/>
      <c r="DL3" s="40" t="s">
        <v>63</v>
      </c>
      <c r="DM3" s="41"/>
      <c r="DN3" s="40" t="s">
        <v>64</v>
      </c>
      <c r="DO3" s="41"/>
      <c r="DP3" s="40" t="s">
        <v>65</v>
      </c>
      <c r="DQ3" s="41"/>
      <c r="DR3" s="40" t="s">
        <v>66</v>
      </c>
      <c r="DS3" s="41"/>
      <c r="DT3" s="40" t="s">
        <v>67</v>
      </c>
      <c r="DU3" s="41"/>
      <c r="DV3" s="40" t="s">
        <v>68</v>
      </c>
      <c r="DW3" s="41"/>
      <c r="DX3" s="40" t="s">
        <v>69</v>
      </c>
      <c r="DY3" s="41"/>
      <c r="DZ3" s="40" t="s">
        <v>70</v>
      </c>
      <c r="EA3" s="41"/>
      <c r="EB3" s="40">
        <v>62</v>
      </c>
      <c r="EC3" s="41"/>
      <c r="ED3" s="40" t="s">
        <v>71</v>
      </c>
      <c r="EE3" s="41"/>
      <c r="EF3" s="40" t="s">
        <v>72</v>
      </c>
      <c r="EG3" s="41"/>
      <c r="EH3" s="40" t="s">
        <v>73</v>
      </c>
      <c r="EI3" s="41"/>
      <c r="EJ3" s="40" t="s">
        <v>74</v>
      </c>
      <c r="EK3" s="41"/>
      <c r="EL3" s="40" t="s">
        <v>75</v>
      </c>
      <c r="EM3" s="41"/>
      <c r="EN3" s="40" t="s">
        <v>76</v>
      </c>
      <c r="EO3" s="41"/>
      <c r="EP3" s="40" t="s">
        <v>77</v>
      </c>
      <c r="EQ3" s="41"/>
      <c r="ER3" s="40" t="s">
        <v>78</v>
      </c>
      <c r="ES3" s="41"/>
      <c r="ET3" s="40" t="s">
        <v>79</v>
      </c>
      <c r="EU3" s="41"/>
      <c r="EV3" s="40">
        <v>93</v>
      </c>
      <c r="EW3" s="41"/>
      <c r="EX3" s="40" t="s">
        <v>80</v>
      </c>
      <c r="EY3" s="41"/>
      <c r="EZ3" s="40" t="s">
        <v>81</v>
      </c>
      <c r="FA3" s="41"/>
      <c r="FB3" s="40" t="s">
        <v>82</v>
      </c>
      <c r="FC3" s="41"/>
      <c r="FD3" s="40" t="s">
        <v>83</v>
      </c>
      <c r="FE3" s="41"/>
      <c r="FF3" s="40" t="s">
        <v>84</v>
      </c>
      <c r="FG3" s="41"/>
      <c r="FH3" s="40" t="s">
        <v>85</v>
      </c>
      <c r="FI3" s="41"/>
      <c r="FJ3" s="40" t="s">
        <v>86</v>
      </c>
      <c r="FK3" s="41"/>
      <c r="FL3" s="40" t="s">
        <v>87</v>
      </c>
      <c r="FM3" s="41"/>
      <c r="FN3" s="40" t="s">
        <v>88</v>
      </c>
      <c r="FO3" s="41"/>
      <c r="FP3" s="40" t="s">
        <v>89</v>
      </c>
      <c r="FQ3" s="41"/>
    </row>
    <row r="4" spans="1:173" x14ac:dyDescent="0.35">
      <c r="A4" s="29" t="s">
        <v>96</v>
      </c>
      <c r="B4" s="7">
        <v>913</v>
      </c>
      <c r="C4" s="7" t="s">
        <v>90</v>
      </c>
      <c r="D4" s="7" t="s">
        <v>97</v>
      </c>
      <c r="E4" s="7" t="s">
        <v>98</v>
      </c>
      <c r="F4" s="7">
        <v>1</v>
      </c>
      <c r="G4" s="7">
        <v>0</v>
      </c>
      <c r="H4" s="42">
        <v>320</v>
      </c>
      <c r="I4" s="7">
        <f>G4*$H$4</f>
        <v>0</v>
      </c>
      <c r="J4" s="43">
        <v>2</v>
      </c>
      <c r="K4" s="18">
        <f>J4*$G$4</f>
        <v>0</v>
      </c>
      <c r="L4" s="43">
        <v>2</v>
      </c>
      <c r="M4" s="18">
        <f>L4*$G$4</f>
        <v>0</v>
      </c>
      <c r="N4" s="43">
        <v>2</v>
      </c>
      <c r="O4" s="18">
        <f>N4*$G$4</f>
        <v>0</v>
      </c>
      <c r="P4" s="43">
        <v>2</v>
      </c>
      <c r="Q4" s="18">
        <f>P4*$G$4</f>
        <v>0</v>
      </c>
      <c r="R4" s="43">
        <v>2</v>
      </c>
      <c r="S4" s="18">
        <f>R4*$G$4</f>
        <v>0</v>
      </c>
      <c r="T4" s="43">
        <v>2</v>
      </c>
      <c r="U4" s="18">
        <f>T4*$G$4</f>
        <v>0</v>
      </c>
      <c r="V4" s="43">
        <v>2</v>
      </c>
      <c r="W4" s="18">
        <f>V4*$G$4</f>
        <v>0</v>
      </c>
      <c r="X4" s="43">
        <v>2</v>
      </c>
      <c r="Y4" s="18">
        <f>X4*$G$4</f>
        <v>0</v>
      </c>
      <c r="Z4" s="43">
        <v>2</v>
      </c>
      <c r="AA4" s="18">
        <f>Z4*$G$4</f>
        <v>0</v>
      </c>
      <c r="AB4" s="43">
        <v>2</v>
      </c>
      <c r="AC4" s="18">
        <f>AB4*$G$4</f>
        <v>0</v>
      </c>
      <c r="AD4" s="43">
        <v>2</v>
      </c>
      <c r="AE4" s="18">
        <f>AD4*$G$4</f>
        <v>0</v>
      </c>
      <c r="AF4" s="43">
        <v>2</v>
      </c>
      <c r="AG4" s="18">
        <f>AF4*$G$4</f>
        <v>0</v>
      </c>
      <c r="AH4" s="43">
        <v>2</v>
      </c>
      <c r="AI4" s="18">
        <f>AH4*$G$4</f>
        <v>0</v>
      </c>
      <c r="AJ4" s="43">
        <v>2</v>
      </c>
      <c r="AK4" s="18">
        <f>AJ4*$G$4</f>
        <v>0</v>
      </c>
      <c r="AL4" s="43">
        <v>2</v>
      </c>
      <c r="AM4" s="18">
        <f>AL4*$G$4</f>
        <v>0</v>
      </c>
      <c r="AN4" s="43">
        <v>2</v>
      </c>
      <c r="AO4" s="18">
        <f>AN4*$G$4</f>
        <v>0</v>
      </c>
      <c r="AP4" s="43">
        <v>2</v>
      </c>
      <c r="AQ4" s="18">
        <f>AP4*$G$4</f>
        <v>0</v>
      </c>
      <c r="AR4" s="43">
        <v>2</v>
      </c>
      <c r="AS4" s="18">
        <f>AR4*$G$4</f>
        <v>0</v>
      </c>
      <c r="AT4" s="43">
        <v>2</v>
      </c>
      <c r="AU4" s="18">
        <f>AT4*$G$4</f>
        <v>0</v>
      </c>
      <c r="AV4" s="43">
        <v>2</v>
      </c>
      <c r="AW4" s="18">
        <f>AV4*$G$4</f>
        <v>0</v>
      </c>
      <c r="AX4" s="43">
        <v>2</v>
      </c>
      <c r="AY4" s="18">
        <f>AX4*$G$4</f>
        <v>0</v>
      </c>
      <c r="AZ4" s="43">
        <v>2</v>
      </c>
      <c r="BA4" s="18">
        <f>AZ4*$G$4</f>
        <v>0</v>
      </c>
      <c r="BB4" s="43">
        <v>2</v>
      </c>
      <c r="BC4" s="18">
        <f>BB4*$G$4</f>
        <v>0</v>
      </c>
      <c r="BD4" s="43">
        <v>2</v>
      </c>
      <c r="BE4" s="18">
        <f>BD4*$G$4</f>
        <v>0</v>
      </c>
      <c r="BF4" s="43">
        <v>2</v>
      </c>
      <c r="BG4" s="18">
        <f>BF4*$G$4</f>
        <v>0</v>
      </c>
      <c r="BH4" s="43">
        <v>2</v>
      </c>
      <c r="BI4" s="18">
        <f>BH4*$G$4</f>
        <v>0</v>
      </c>
      <c r="BJ4" s="43">
        <v>2</v>
      </c>
      <c r="BK4" s="18">
        <f>BJ4*$G$4</f>
        <v>0</v>
      </c>
      <c r="BL4" s="43">
        <v>2</v>
      </c>
      <c r="BM4" s="18">
        <f>BL4*$G$4</f>
        <v>0</v>
      </c>
      <c r="BN4" s="43">
        <v>2</v>
      </c>
      <c r="BO4" s="18">
        <f>BN4*$G$4</f>
        <v>0</v>
      </c>
      <c r="BP4" s="43">
        <v>2</v>
      </c>
      <c r="BQ4" s="18">
        <f>BP4*$G$4</f>
        <v>0</v>
      </c>
      <c r="BR4" s="43">
        <v>2</v>
      </c>
      <c r="BS4" s="18">
        <f>BR4*$G$4</f>
        <v>0</v>
      </c>
      <c r="BT4" s="43">
        <v>2</v>
      </c>
      <c r="BU4" s="18">
        <f>BT4*$G$4</f>
        <v>0</v>
      </c>
      <c r="BV4" s="43">
        <v>2</v>
      </c>
      <c r="BW4" s="18">
        <f>BV4*$G$4</f>
        <v>0</v>
      </c>
      <c r="BX4" s="43">
        <v>2</v>
      </c>
      <c r="BY4" s="18">
        <f>BX4*$G$4</f>
        <v>0</v>
      </c>
      <c r="BZ4" s="43">
        <v>2</v>
      </c>
      <c r="CA4" s="18">
        <f>BZ4*$G$4</f>
        <v>0</v>
      </c>
      <c r="CB4" s="43">
        <v>2</v>
      </c>
      <c r="CC4" s="18">
        <f>CB4*$G$4</f>
        <v>0</v>
      </c>
      <c r="CD4" s="43">
        <v>2</v>
      </c>
      <c r="CE4" s="18">
        <f>CD4*$G$4</f>
        <v>0</v>
      </c>
      <c r="CF4" s="43">
        <v>2</v>
      </c>
      <c r="CG4" s="18">
        <f>CF4*$G$4</f>
        <v>0</v>
      </c>
      <c r="CH4" s="43">
        <v>2</v>
      </c>
      <c r="CI4" s="18">
        <f>CH4*$G$4</f>
        <v>0</v>
      </c>
      <c r="CJ4" s="43">
        <v>2</v>
      </c>
      <c r="CK4" s="18">
        <f>CJ4*$G$4</f>
        <v>0</v>
      </c>
      <c r="CL4" s="43">
        <v>2</v>
      </c>
      <c r="CM4" s="18">
        <f>CL4*$G$4</f>
        <v>0</v>
      </c>
      <c r="CN4" s="43">
        <v>2</v>
      </c>
      <c r="CO4" s="18">
        <f>CN4*$G$4</f>
        <v>0</v>
      </c>
      <c r="CP4" s="43">
        <v>2</v>
      </c>
      <c r="CQ4" s="18">
        <f>CP4*$G$4</f>
        <v>0</v>
      </c>
      <c r="CR4" s="43">
        <v>2</v>
      </c>
      <c r="CS4" s="18">
        <f>CR4*$G$4</f>
        <v>0</v>
      </c>
      <c r="CT4" s="43">
        <v>2</v>
      </c>
      <c r="CU4" s="18">
        <f>CT4*$G$4</f>
        <v>0</v>
      </c>
      <c r="CV4" s="43">
        <v>2</v>
      </c>
      <c r="CW4" s="18">
        <f>CV4*$G$4</f>
        <v>0</v>
      </c>
      <c r="CX4" s="43">
        <v>2</v>
      </c>
      <c r="CY4" s="18">
        <f>CX4*$G$4</f>
        <v>0</v>
      </c>
      <c r="CZ4" s="43">
        <v>2</v>
      </c>
      <c r="DA4" s="18">
        <f>CZ4*$G$4</f>
        <v>0</v>
      </c>
      <c r="DB4" s="43">
        <v>2</v>
      </c>
      <c r="DC4" s="18">
        <f>DB4*$G$4</f>
        <v>0</v>
      </c>
      <c r="DD4" s="43">
        <v>2</v>
      </c>
      <c r="DE4" s="18">
        <f>DD4*$G$4</f>
        <v>0</v>
      </c>
      <c r="DF4" s="43">
        <v>2</v>
      </c>
      <c r="DG4" s="18">
        <f>DF4*$G$4</f>
        <v>0</v>
      </c>
      <c r="DH4" s="43">
        <v>2</v>
      </c>
      <c r="DI4" s="18">
        <f>DH4*$G$4</f>
        <v>0</v>
      </c>
      <c r="DJ4" s="43">
        <v>2</v>
      </c>
      <c r="DK4" s="18">
        <f>DJ4*$G$4</f>
        <v>0</v>
      </c>
      <c r="DL4" s="43">
        <v>2</v>
      </c>
      <c r="DM4" s="18">
        <f>DL4*$G$4</f>
        <v>0</v>
      </c>
      <c r="DN4" s="43">
        <v>2</v>
      </c>
      <c r="DO4" s="18">
        <f>DN4*$G$4</f>
        <v>0</v>
      </c>
      <c r="DP4" s="43">
        <v>2</v>
      </c>
      <c r="DQ4" s="18">
        <f>DP4*$G$4</f>
        <v>0</v>
      </c>
      <c r="DR4" s="43">
        <v>2</v>
      </c>
      <c r="DS4" s="18">
        <f>DR4*$G$4</f>
        <v>0</v>
      </c>
      <c r="DT4" s="43">
        <v>2</v>
      </c>
      <c r="DU4" s="18">
        <f>DT4*$G$4</f>
        <v>0</v>
      </c>
      <c r="DV4" s="43">
        <v>2</v>
      </c>
      <c r="DW4" s="18">
        <f>DV4*$G$4</f>
        <v>0</v>
      </c>
      <c r="DX4" s="43">
        <v>2</v>
      </c>
      <c r="DY4" s="18">
        <f>DX4*$G$4</f>
        <v>0</v>
      </c>
      <c r="DZ4" s="43">
        <v>2</v>
      </c>
      <c r="EA4" s="18">
        <f>DZ4*$G$4</f>
        <v>0</v>
      </c>
      <c r="EB4" s="43">
        <v>2</v>
      </c>
      <c r="EC4" s="18">
        <f>EB4*$G$4</f>
        <v>0</v>
      </c>
      <c r="ED4" s="43">
        <v>2</v>
      </c>
      <c r="EE4" s="18">
        <f>ED4*$G$4</f>
        <v>0</v>
      </c>
      <c r="EF4" s="43">
        <v>2</v>
      </c>
      <c r="EG4" s="18">
        <f>EF4*$G$4</f>
        <v>0</v>
      </c>
      <c r="EH4" s="43">
        <v>2</v>
      </c>
      <c r="EI4" s="18">
        <f>EH4*$G$4</f>
        <v>0</v>
      </c>
      <c r="EJ4" s="43">
        <v>2</v>
      </c>
      <c r="EK4" s="18">
        <f>EJ4*$G$4</f>
        <v>0</v>
      </c>
      <c r="EL4" s="43">
        <v>2</v>
      </c>
      <c r="EM4" s="18">
        <f>EL4*$G$4</f>
        <v>0</v>
      </c>
      <c r="EN4" s="43">
        <v>2</v>
      </c>
      <c r="EO4" s="18">
        <f>EN4*$G$4</f>
        <v>0</v>
      </c>
      <c r="EP4" s="43">
        <v>2</v>
      </c>
      <c r="EQ4" s="18">
        <f>EP4*$G$4</f>
        <v>0</v>
      </c>
      <c r="ER4" s="43">
        <v>2</v>
      </c>
      <c r="ES4" s="18">
        <f>ER4*$G$4</f>
        <v>0</v>
      </c>
      <c r="ET4" s="43">
        <v>2</v>
      </c>
      <c r="EU4" s="18">
        <f>ET4*$G$4</f>
        <v>0</v>
      </c>
      <c r="EV4" s="43">
        <v>2</v>
      </c>
      <c r="EW4" s="18">
        <f>EV4*$G$4</f>
        <v>0</v>
      </c>
      <c r="EX4" s="43">
        <v>2</v>
      </c>
      <c r="EY4" s="18">
        <f>EX4*$G$4</f>
        <v>0</v>
      </c>
      <c r="EZ4" s="43">
        <v>2</v>
      </c>
      <c r="FA4" s="18">
        <f>EZ4*$G$4</f>
        <v>0</v>
      </c>
      <c r="FB4" s="43">
        <v>2</v>
      </c>
      <c r="FC4" s="18">
        <f>FB4*$G$4</f>
        <v>0</v>
      </c>
      <c r="FD4" s="43">
        <v>2</v>
      </c>
      <c r="FE4" s="18">
        <f>FD4*$G$4</f>
        <v>0</v>
      </c>
      <c r="FF4" s="43">
        <v>2</v>
      </c>
      <c r="FG4" s="18">
        <f>FF4*$G$4</f>
        <v>0</v>
      </c>
      <c r="FH4" s="43">
        <v>2</v>
      </c>
      <c r="FI4" s="18">
        <f>FH4*$G$4</f>
        <v>0</v>
      </c>
      <c r="FJ4" s="43">
        <v>2</v>
      </c>
      <c r="FK4" s="18">
        <f>FJ4*$G$4</f>
        <v>0</v>
      </c>
      <c r="FL4" s="43">
        <v>2</v>
      </c>
      <c r="FM4" s="18">
        <f>FL4*$G$4</f>
        <v>0</v>
      </c>
      <c r="FN4" s="43">
        <v>2</v>
      </c>
      <c r="FO4" s="18">
        <f>FN4*$G$4</f>
        <v>0</v>
      </c>
      <c r="FP4" s="43">
        <v>2</v>
      </c>
      <c r="FQ4" s="18">
        <f>FP4*$G$4</f>
        <v>0</v>
      </c>
    </row>
    <row r="5" spans="1:173" x14ac:dyDescent="0.35">
      <c r="A5" s="29" t="s">
        <v>96</v>
      </c>
      <c r="B5" s="7">
        <v>913</v>
      </c>
      <c r="C5" s="7" t="s">
        <v>90</v>
      </c>
      <c r="D5" s="7" t="s">
        <v>97</v>
      </c>
      <c r="E5" s="7" t="s">
        <v>99</v>
      </c>
      <c r="F5" s="7">
        <v>2</v>
      </c>
      <c r="G5" s="7">
        <v>2</v>
      </c>
      <c r="H5" s="42"/>
      <c r="I5" s="7">
        <f t="shared" ref="I5:I9" si="0">G5*$H$4</f>
        <v>640</v>
      </c>
      <c r="J5" s="44"/>
      <c r="K5" s="18">
        <f>J4*$G$5</f>
        <v>4</v>
      </c>
      <c r="L5" s="44"/>
      <c r="M5" s="18">
        <f>L4*$G$5</f>
        <v>4</v>
      </c>
      <c r="N5" s="44"/>
      <c r="O5" s="18">
        <f>N4*$G$5</f>
        <v>4</v>
      </c>
      <c r="P5" s="44"/>
      <c r="Q5" s="18">
        <f>P4*$G$5</f>
        <v>4</v>
      </c>
      <c r="R5" s="44"/>
      <c r="S5" s="18">
        <f>R4*$G$5</f>
        <v>4</v>
      </c>
      <c r="T5" s="44"/>
      <c r="U5" s="18">
        <f>T4*$G$5</f>
        <v>4</v>
      </c>
      <c r="V5" s="44"/>
      <c r="W5" s="18">
        <f>V4*$G$5</f>
        <v>4</v>
      </c>
      <c r="X5" s="44"/>
      <c r="Y5" s="18">
        <f>X4*$G$5</f>
        <v>4</v>
      </c>
      <c r="Z5" s="44"/>
      <c r="AA5" s="18">
        <f>Z4*$G$5</f>
        <v>4</v>
      </c>
      <c r="AB5" s="44"/>
      <c r="AC5" s="18">
        <f>AB4*$G$5</f>
        <v>4</v>
      </c>
      <c r="AD5" s="44"/>
      <c r="AE5" s="18">
        <f>AD4*$G$5</f>
        <v>4</v>
      </c>
      <c r="AF5" s="44"/>
      <c r="AG5" s="18">
        <f>AF4*$G$5</f>
        <v>4</v>
      </c>
      <c r="AH5" s="44"/>
      <c r="AI5" s="18">
        <f>AH4*$G$5</f>
        <v>4</v>
      </c>
      <c r="AJ5" s="44"/>
      <c r="AK5" s="18">
        <f>AJ4*$G$5</f>
        <v>4</v>
      </c>
      <c r="AL5" s="44"/>
      <c r="AM5" s="18">
        <f>AL4*$G$5</f>
        <v>4</v>
      </c>
      <c r="AN5" s="44"/>
      <c r="AO5" s="18">
        <f>AN4*$G$5</f>
        <v>4</v>
      </c>
      <c r="AP5" s="44"/>
      <c r="AQ5" s="18">
        <f>AP4*$G$5</f>
        <v>4</v>
      </c>
      <c r="AR5" s="44"/>
      <c r="AS5" s="18">
        <f>AR4*$G$5</f>
        <v>4</v>
      </c>
      <c r="AT5" s="44"/>
      <c r="AU5" s="18">
        <f>AT4*$G$5</f>
        <v>4</v>
      </c>
      <c r="AV5" s="44"/>
      <c r="AW5" s="18">
        <f>AV4*$G$5</f>
        <v>4</v>
      </c>
      <c r="AX5" s="44"/>
      <c r="AY5" s="18">
        <f>AX4*$G$5</f>
        <v>4</v>
      </c>
      <c r="AZ5" s="44"/>
      <c r="BA5" s="18">
        <f>AZ4*$G$5</f>
        <v>4</v>
      </c>
      <c r="BB5" s="44"/>
      <c r="BC5" s="18">
        <f>BB4*$G$5</f>
        <v>4</v>
      </c>
      <c r="BD5" s="44"/>
      <c r="BE5" s="18">
        <f>BD4*$G$5</f>
        <v>4</v>
      </c>
      <c r="BF5" s="44"/>
      <c r="BG5" s="18">
        <f>BF4*$G$5</f>
        <v>4</v>
      </c>
      <c r="BH5" s="44"/>
      <c r="BI5" s="18">
        <f>BH4*$G$5</f>
        <v>4</v>
      </c>
      <c r="BJ5" s="44"/>
      <c r="BK5" s="18">
        <f>BJ4*$G$5</f>
        <v>4</v>
      </c>
      <c r="BL5" s="44"/>
      <c r="BM5" s="18">
        <f>BL4*$G$5</f>
        <v>4</v>
      </c>
      <c r="BN5" s="44"/>
      <c r="BO5" s="18">
        <f>BN4*$G$5</f>
        <v>4</v>
      </c>
      <c r="BP5" s="44"/>
      <c r="BQ5" s="18">
        <f>BP4*$G$5</f>
        <v>4</v>
      </c>
      <c r="BR5" s="44"/>
      <c r="BS5" s="18">
        <f>BR4*$G$5</f>
        <v>4</v>
      </c>
      <c r="BT5" s="44"/>
      <c r="BU5" s="18">
        <f>BT4*$G$5</f>
        <v>4</v>
      </c>
      <c r="BV5" s="44"/>
      <c r="BW5" s="18">
        <f>BV4*$G$5</f>
        <v>4</v>
      </c>
      <c r="BX5" s="44"/>
      <c r="BY5" s="18">
        <f>BX4*$G$5</f>
        <v>4</v>
      </c>
      <c r="BZ5" s="44"/>
      <c r="CA5" s="18">
        <f>BZ4*$G$5</f>
        <v>4</v>
      </c>
      <c r="CB5" s="44"/>
      <c r="CC5" s="18">
        <f>CB4*$G$5</f>
        <v>4</v>
      </c>
      <c r="CD5" s="44"/>
      <c r="CE5" s="18">
        <f>CD4*$G$5</f>
        <v>4</v>
      </c>
      <c r="CF5" s="44"/>
      <c r="CG5" s="18">
        <f>CF4*$G$5</f>
        <v>4</v>
      </c>
      <c r="CH5" s="44"/>
      <c r="CI5" s="18">
        <f>CH4*$G$5</f>
        <v>4</v>
      </c>
      <c r="CJ5" s="44"/>
      <c r="CK5" s="18">
        <f>CJ4*$G$5</f>
        <v>4</v>
      </c>
      <c r="CL5" s="44"/>
      <c r="CM5" s="18">
        <f>CL4*$G$5</f>
        <v>4</v>
      </c>
      <c r="CN5" s="44"/>
      <c r="CO5" s="18">
        <f>CN4*$G$5</f>
        <v>4</v>
      </c>
      <c r="CP5" s="44"/>
      <c r="CQ5" s="18">
        <f>CP4*$G$5</f>
        <v>4</v>
      </c>
      <c r="CR5" s="44"/>
      <c r="CS5" s="18">
        <f>CR4*$G$5</f>
        <v>4</v>
      </c>
      <c r="CT5" s="44"/>
      <c r="CU5" s="18">
        <f>CT4*$G$5</f>
        <v>4</v>
      </c>
      <c r="CV5" s="44"/>
      <c r="CW5" s="18">
        <f>CV4*$G$5</f>
        <v>4</v>
      </c>
      <c r="CX5" s="44"/>
      <c r="CY5" s="18">
        <f>CX4*$G$5</f>
        <v>4</v>
      </c>
      <c r="CZ5" s="44"/>
      <c r="DA5" s="18">
        <f>CZ4*$G$5</f>
        <v>4</v>
      </c>
      <c r="DB5" s="44"/>
      <c r="DC5" s="18">
        <f>DB4*$G$5</f>
        <v>4</v>
      </c>
      <c r="DD5" s="44"/>
      <c r="DE5" s="18">
        <f>DD4*$G$5</f>
        <v>4</v>
      </c>
      <c r="DF5" s="44"/>
      <c r="DG5" s="18">
        <f>DF4*$G$5</f>
        <v>4</v>
      </c>
      <c r="DH5" s="44"/>
      <c r="DI5" s="18">
        <f>DH4*$G$5</f>
        <v>4</v>
      </c>
      <c r="DJ5" s="44"/>
      <c r="DK5" s="18">
        <f>DJ4*$G$5</f>
        <v>4</v>
      </c>
      <c r="DL5" s="44"/>
      <c r="DM5" s="18">
        <f>DL4*$G$5</f>
        <v>4</v>
      </c>
      <c r="DN5" s="44"/>
      <c r="DO5" s="18">
        <f>DN4*$G$5</f>
        <v>4</v>
      </c>
      <c r="DP5" s="44"/>
      <c r="DQ5" s="18">
        <f>DP4*$G$5</f>
        <v>4</v>
      </c>
      <c r="DR5" s="44"/>
      <c r="DS5" s="18">
        <f>DR4*$G$5</f>
        <v>4</v>
      </c>
      <c r="DT5" s="44"/>
      <c r="DU5" s="18">
        <f>DT4*$G$5</f>
        <v>4</v>
      </c>
      <c r="DV5" s="44"/>
      <c r="DW5" s="18">
        <f>DV4*$G$5</f>
        <v>4</v>
      </c>
      <c r="DX5" s="44"/>
      <c r="DY5" s="18">
        <f>DX4*$G$5</f>
        <v>4</v>
      </c>
      <c r="DZ5" s="44"/>
      <c r="EA5" s="18">
        <f>DZ4*$G$5</f>
        <v>4</v>
      </c>
      <c r="EB5" s="44"/>
      <c r="EC5" s="18">
        <f>EB4*$G$5</f>
        <v>4</v>
      </c>
      <c r="ED5" s="44"/>
      <c r="EE5" s="18">
        <f>ED4*$G$5</f>
        <v>4</v>
      </c>
      <c r="EF5" s="44"/>
      <c r="EG5" s="18">
        <f>EF4*$G$5</f>
        <v>4</v>
      </c>
      <c r="EH5" s="44"/>
      <c r="EI5" s="18">
        <f>EH4*$G$5</f>
        <v>4</v>
      </c>
      <c r="EJ5" s="44"/>
      <c r="EK5" s="18">
        <f>EJ4*$G$5</f>
        <v>4</v>
      </c>
      <c r="EL5" s="44"/>
      <c r="EM5" s="18">
        <f>EL4*$G$5</f>
        <v>4</v>
      </c>
      <c r="EN5" s="44"/>
      <c r="EO5" s="18">
        <f>EN4*$G$5</f>
        <v>4</v>
      </c>
      <c r="EP5" s="44"/>
      <c r="EQ5" s="18">
        <f>EP4*$G$5</f>
        <v>4</v>
      </c>
      <c r="ER5" s="44"/>
      <c r="ES5" s="18">
        <f>ER4*$G$5</f>
        <v>4</v>
      </c>
      <c r="ET5" s="44"/>
      <c r="EU5" s="18">
        <f>ET4*$G$5</f>
        <v>4</v>
      </c>
      <c r="EV5" s="44"/>
      <c r="EW5" s="18">
        <f>EV4*$G$5</f>
        <v>4</v>
      </c>
      <c r="EX5" s="44"/>
      <c r="EY5" s="18">
        <f>EX4*$G$5</f>
        <v>4</v>
      </c>
      <c r="EZ5" s="44"/>
      <c r="FA5" s="18">
        <f>EZ4*$G$5</f>
        <v>4</v>
      </c>
      <c r="FB5" s="44"/>
      <c r="FC5" s="18">
        <f>FB4*$G$5</f>
        <v>4</v>
      </c>
      <c r="FD5" s="44"/>
      <c r="FE5" s="18">
        <f>FD4*$G$5</f>
        <v>4</v>
      </c>
      <c r="FF5" s="44"/>
      <c r="FG5" s="18">
        <f>FF4*$G$5</f>
        <v>4</v>
      </c>
      <c r="FH5" s="44"/>
      <c r="FI5" s="18">
        <f>FH4*$G$5</f>
        <v>4</v>
      </c>
      <c r="FJ5" s="44"/>
      <c r="FK5" s="18">
        <f>FJ4*$G$5</f>
        <v>4</v>
      </c>
      <c r="FL5" s="44"/>
      <c r="FM5" s="18">
        <f>FL4*$G$5</f>
        <v>4</v>
      </c>
      <c r="FN5" s="44"/>
      <c r="FO5" s="18">
        <f>FN4*$G$5</f>
        <v>4</v>
      </c>
      <c r="FP5" s="44"/>
      <c r="FQ5" s="18">
        <f>FP4*$G$5</f>
        <v>4</v>
      </c>
    </row>
    <row r="6" spans="1:173" x14ac:dyDescent="0.35">
      <c r="A6" s="29" t="s">
        <v>96</v>
      </c>
      <c r="B6" s="7">
        <v>913</v>
      </c>
      <c r="C6" s="7" t="s">
        <v>90</v>
      </c>
      <c r="D6" s="7" t="s">
        <v>97</v>
      </c>
      <c r="E6" s="7" t="s">
        <v>100</v>
      </c>
      <c r="F6" s="7">
        <v>3</v>
      </c>
      <c r="G6" s="7">
        <v>4</v>
      </c>
      <c r="H6" s="42"/>
      <c r="I6" s="7">
        <f t="shared" si="0"/>
        <v>1280</v>
      </c>
      <c r="J6" s="44"/>
      <c r="K6" s="18">
        <f>J4*$G$6</f>
        <v>8</v>
      </c>
      <c r="L6" s="44"/>
      <c r="M6" s="18">
        <f>L4*$G$6</f>
        <v>8</v>
      </c>
      <c r="N6" s="44"/>
      <c r="O6" s="18">
        <f>N4*$G$6</f>
        <v>8</v>
      </c>
      <c r="P6" s="44"/>
      <c r="Q6" s="18">
        <f>P4*$G$6</f>
        <v>8</v>
      </c>
      <c r="R6" s="44"/>
      <c r="S6" s="18">
        <f>R4*$G$6</f>
        <v>8</v>
      </c>
      <c r="T6" s="44"/>
      <c r="U6" s="18">
        <f>T4*$G$6</f>
        <v>8</v>
      </c>
      <c r="V6" s="44"/>
      <c r="W6" s="18">
        <f>V4*$G$6</f>
        <v>8</v>
      </c>
      <c r="X6" s="44"/>
      <c r="Y6" s="18">
        <f>X4*$G$6</f>
        <v>8</v>
      </c>
      <c r="Z6" s="44"/>
      <c r="AA6" s="18">
        <f>Z4*$G$6</f>
        <v>8</v>
      </c>
      <c r="AB6" s="44"/>
      <c r="AC6" s="18">
        <f>AB4*$G$6</f>
        <v>8</v>
      </c>
      <c r="AD6" s="44"/>
      <c r="AE6" s="18">
        <f>AD4*$G$6</f>
        <v>8</v>
      </c>
      <c r="AF6" s="44"/>
      <c r="AG6" s="18">
        <f>AF4*$G$6</f>
        <v>8</v>
      </c>
      <c r="AH6" s="44"/>
      <c r="AI6" s="18">
        <f>AH4*$G$6</f>
        <v>8</v>
      </c>
      <c r="AJ6" s="44"/>
      <c r="AK6" s="18">
        <f>AJ4*$G$6</f>
        <v>8</v>
      </c>
      <c r="AL6" s="44"/>
      <c r="AM6" s="18">
        <f>AL4*$G$6</f>
        <v>8</v>
      </c>
      <c r="AN6" s="44"/>
      <c r="AO6" s="18">
        <f>AN4*$G$6</f>
        <v>8</v>
      </c>
      <c r="AP6" s="44"/>
      <c r="AQ6" s="18">
        <f>AP4*$G$6</f>
        <v>8</v>
      </c>
      <c r="AR6" s="44"/>
      <c r="AS6" s="18">
        <f>AR4*$G$6</f>
        <v>8</v>
      </c>
      <c r="AT6" s="44"/>
      <c r="AU6" s="18">
        <f>AT4*$G$6</f>
        <v>8</v>
      </c>
      <c r="AV6" s="44"/>
      <c r="AW6" s="18">
        <f>AV4*$G$6</f>
        <v>8</v>
      </c>
      <c r="AX6" s="44"/>
      <c r="AY6" s="18">
        <f>AX4*$G$6</f>
        <v>8</v>
      </c>
      <c r="AZ6" s="44"/>
      <c r="BA6" s="18">
        <f>AZ4*$G$6</f>
        <v>8</v>
      </c>
      <c r="BB6" s="44"/>
      <c r="BC6" s="18">
        <f>BB4*$G$6</f>
        <v>8</v>
      </c>
      <c r="BD6" s="44"/>
      <c r="BE6" s="18">
        <f>BD4*$G$6</f>
        <v>8</v>
      </c>
      <c r="BF6" s="44"/>
      <c r="BG6" s="18">
        <f>BF4*$G$6</f>
        <v>8</v>
      </c>
      <c r="BH6" s="44"/>
      <c r="BI6" s="18">
        <f>BH4*$G$6</f>
        <v>8</v>
      </c>
      <c r="BJ6" s="44"/>
      <c r="BK6" s="18">
        <f>BJ4*$G$6</f>
        <v>8</v>
      </c>
      <c r="BL6" s="44"/>
      <c r="BM6" s="18">
        <f>BL4*$G$6</f>
        <v>8</v>
      </c>
      <c r="BN6" s="44"/>
      <c r="BO6" s="18">
        <f>BN4*$G$6</f>
        <v>8</v>
      </c>
      <c r="BP6" s="44"/>
      <c r="BQ6" s="18">
        <f>BP4*$G$6</f>
        <v>8</v>
      </c>
      <c r="BR6" s="44"/>
      <c r="BS6" s="18">
        <f>BR4*$G$6</f>
        <v>8</v>
      </c>
      <c r="BT6" s="44"/>
      <c r="BU6" s="18">
        <f>BT4*$G$6</f>
        <v>8</v>
      </c>
      <c r="BV6" s="44"/>
      <c r="BW6" s="18">
        <f>BV4*$G$6</f>
        <v>8</v>
      </c>
      <c r="BX6" s="44"/>
      <c r="BY6" s="18">
        <f>BX4*$G$6</f>
        <v>8</v>
      </c>
      <c r="BZ6" s="44"/>
      <c r="CA6" s="18">
        <f>BZ4*$G$6</f>
        <v>8</v>
      </c>
      <c r="CB6" s="44"/>
      <c r="CC6" s="18">
        <f>CB4*$G$6</f>
        <v>8</v>
      </c>
      <c r="CD6" s="44"/>
      <c r="CE6" s="18">
        <f>CD4*$G$6</f>
        <v>8</v>
      </c>
      <c r="CF6" s="44"/>
      <c r="CG6" s="18">
        <f>CF4*$G$6</f>
        <v>8</v>
      </c>
      <c r="CH6" s="44"/>
      <c r="CI6" s="18">
        <f>CH4*$G$6</f>
        <v>8</v>
      </c>
      <c r="CJ6" s="44"/>
      <c r="CK6" s="18">
        <f>CJ4*$G$6</f>
        <v>8</v>
      </c>
      <c r="CL6" s="44"/>
      <c r="CM6" s="18">
        <f>CL4*$G$6</f>
        <v>8</v>
      </c>
      <c r="CN6" s="44"/>
      <c r="CO6" s="18">
        <f>CN4*$G$6</f>
        <v>8</v>
      </c>
      <c r="CP6" s="44"/>
      <c r="CQ6" s="18">
        <f>CP4*$G$6</f>
        <v>8</v>
      </c>
      <c r="CR6" s="44"/>
      <c r="CS6" s="18">
        <f>CR4*$G$6</f>
        <v>8</v>
      </c>
      <c r="CT6" s="44"/>
      <c r="CU6" s="18">
        <f>CT4*$G$6</f>
        <v>8</v>
      </c>
      <c r="CV6" s="44"/>
      <c r="CW6" s="18">
        <f>CV4*$G$6</f>
        <v>8</v>
      </c>
      <c r="CX6" s="44"/>
      <c r="CY6" s="18">
        <f>CX4*$G$6</f>
        <v>8</v>
      </c>
      <c r="CZ6" s="44"/>
      <c r="DA6" s="18">
        <f>CZ4*$G$6</f>
        <v>8</v>
      </c>
      <c r="DB6" s="44"/>
      <c r="DC6" s="18">
        <f>DB4*$G$6</f>
        <v>8</v>
      </c>
      <c r="DD6" s="44"/>
      <c r="DE6" s="18">
        <f>DD4*$G$6</f>
        <v>8</v>
      </c>
      <c r="DF6" s="44"/>
      <c r="DG6" s="18">
        <f>DF4*$G$6</f>
        <v>8</v>
      </c>
      <c r="DH6" s="44"/>
      <c r="DI6" s="18">
        <f>DH4*$G$6</f>
        <v>8</v>
      </c>
      <c r="DJ6" s="44"/>
      <c r="DK6" s="18">
        <f>DJ4*$G$6</f>
        <v>8</v>
      </c>
      <c r="DL6" s="44"/>
      <c r="DM6" s="18">
        <f>DL4*$G$6</f>
        <v>8</v>
      </c>
      <c r="DN6" s="44"/>
      <c r="DO6" s="18">
        <f>DN4*$G$6</f>
        <v>8</v>
      </c>
      <c r="DP6" s="44"/>
      <c r="DQ6" s="18">
        <f>DP4*$G$6</f>
        <v>8</v>
      </c>
      <c r="DR6" s="44"/>
      <c r="DS6" s="18">
        <f>DR4*$G$6</f>
        <v>8</v>
      </c>
      <c r="DT6" s="44"/>
      <c r="DU6" s="18">
        <f>DT4*$G$6</f>
        <v>8</v>
      </c>
      <c r="DV6" s="44"/>
      <c r="DW6" s="18">
        <f>DV4*$G$6</f>
        <v>8</v>
      </c>
      <c r="DX6" s="44"/>
      <c r="DY6" s="18">
        <f>DX4*$G$6</f>
        <v>8</v>
      </c>
      <c r="DZ6" s="44"/>
      <c r="EA6" s="18">
        <f>DZ4*$G$6</f>
        <v>8</v>
      </c>
      <c r="EB6" s="44"/>
      <c r="EC6" s="18">
        <f>EB4*$G$6</f>
        <v>8</v>
      </c>
      <c r="ED6" s="44"/>
      <c r="EE6" s="18">
        <f>ED4*$G$6</f>
        <v>8</v>
      </c>
      <c r="EF6" s="44"/>
      <c r="EG6" s="18">
        <f>EF4*$G$6</f>
        <v>8</v>
      </c>
      <c r="EH6" s="44"/>
      <c r="EI6" s="18">
        <f>EH4*$G$6</f>
        <v>8</v>
      </c>
      <c r="EJ6" s="44"/>
      <c r="EK6" s="18">
        <f>EJ4*$G$6</f>
        <v>8</v>
      </c>
      <c r="EL6" s="44"/>
      <c r="EM6" s="18">
        <f>EL4*$G$6</f>
        <v>8</v>
      </c>
      <c r="EN6" s="44"/>
      <c r="EO6" s="18">
        <f>EN4*$G$6</f>
        <v>8</v>
      </c>
      <c r="EP6" s="44"/>
      <c r="EQ6" s="18">
        <f>EP4*$G$6</f>
        <v>8</v>
      </c>
      <c r="ER6" s="44"/>
      <c r="ES6" s="18">
        <f>ER4*$G$6</f>
        <v>8</v>
      </c>
      <c r="ET6" s="44"/>
      <c r="EU6" s="18">
        <f>ET4*$G$6</f>
        <v>8</v>
      </c>
      <c r="EV6" s="44"/>
      <c r="EW6" s="18">
        <f>EV4*$G$6</f>
        <v>8</v>
      </c>
      <c r="EX6" s="44"/>
      <c r="EY6" s="18">
        <f>EX4*$G$6</f>
        <v>8</v>
      </c>
      <c r="EZ6" s="44"/>
      <c r="FA6" s="18">
        <f>EZ4*$G$6</f>
        <v>8</v>
      </c>
      <c r="FB6" s="44"/>
      <c r="FC6" s="18">
        <f>FB4*$G$6</f>
        <v>8</v>
      </c>
      <c r="FD6" s="44"/>
      <c r="FE6" s="18">
        <f>FD4*$G$6</f>
        <v>8</v>
      </c>
      <c r="FF6" s="44"/>
      <c r="FG6" s="18">
        <f>FF4*$G$6</f>
        <v>8</v>
      </c>
      <c r="FH6" s="44"/>
      <c r="FI6" s="18">
        <f>FH4*$G$6</f>
        <v>8</v>
      </c>
      <c r="FJ6" s="44"/>
      <c r="FK6" s="18">
        <f>FJ4*$G$6</f>
        <v>8</v>
      </c>
      <c r="FL6" s="44"/>
      <c r="FM6" s="18">
        <f>FL4*$G$6</f>
        <v>8</v>
      </c>
      <c r="FN6" s="44"/>
      <c r="FO6" s="18">
        <f>FN4*$G$6</f>
        <v>8</v>
      </c>
      <c r="FP6" s="44"/>
      <c r="FQ6" s="18">
        <f>FP4*$G$6</f>
        <v>8</v>
      </c>
    </row>
    <row r="7" spans="1:173" x14ac:dyDescent="0.35">
      <c r="A7" s="29" t="s">
        <v>96</v>
      </c>
      <c r="B7" s="7">
        <v>913</v>
      </c>
      <c r="C7" s="7" t="s">
        <v>90</v>
      </c>
      <c r="D7" s="7" t="s">
        <v>97</v>
      </c>
      <c r="E7" s="7" t="s">
        <v>101</v>
      </c>
      <c r="F7" s="7">
        <v>4</v>
      </c>
      <c r="G7" s="7">
        <v>2</v>
      </c>
      <c r="H7" s="42"/>
      <c r="I7" s="7">
        <f t="shared" si="0"/>
        <v>640</v>
      </c>
      <c r="J7" s="44"/>
      <c r="K7" s="18">
        <f>J4*$G$7</f>
        <v>4</v>
      </c>
      <c r="L7" s="44"/>
      <c r="M7" s="18">
        <f>L4*$G$7</f>
        <v>4</v>
      </c>
      <c r="N7" s="44"/>
      <c r="O7" s="18">
        <f>N4*$G$7</f>
        <v>4</v>
      </c>
      <c r="P7" s="44"/>
      <c r="Q7" s="18">
        <f>P4*$G$7</f>
        <v>4</v>
      </c>
      <c r="R7" s="44"/>
      <c r="S7" s="18">
        <f>R4*$G$7</f>
        <v>4</v>
      </c>
      <c r="T7" s="44"/>
      <c r="U7" s="18">
        <f>T4*$G$7</f>
        <v>4</v>
      </c>
      <c r="V7" s="44"/>
      <c r="W7" s="18">
        <f>V4*$G$7</f>
        <v>4</v>
      </c>
      <c r="X7" s="44"/>
      <c r="Y7" s="18">
        <f>X4*$G$7</f>
        <v>4</v>
      </c>
      <c r="Z7" s="44"/>
      <c r="AA7" s="18">
        <f>Z4*$G$7</f>
        <v>4</v>
      </c>
      <c r="AB7" s="44"/>
      <c r="AC7" s="18">
        <f>AB4*$G$7</f>
        <v>4</v>
      </c>
      <c r="AD7" s="44"/>
      <c r="AE7" s="18">
        <f>AD4*$G$7</f>
        <v>4</v>
      </c>
      <c r="AF7" s="44"/>
      <c r="AG7" s="18">
        <f>AF4*$G$7</f>
        <v>4</v>
      </c>
      <c r="AH7" s="44"/>
      <c r="AI7" s="18">
        <f>AH4*$G$7</f>
        <v>4</v>
      </c>
      <c r="AJ7" s="44"/>
      <c r="AK7" s="18">
        <f>AJ4*$G$7</f>
        <v>4</v>
      </c>
      <c r="AL7" s="44"/>
      <c r="AM7" s="18">
        <f>AL4*$G$7</f>
        <v>4</v>
      </c>
      <c r="AN7" s="44"/>
      <c r="AO7" s="18">
        <f>AN4*$G$7</f>
        <v>4</v>
      </c>
      <c r="AP7" s="44"/>
      <c r="AQ7" s="18">
        <f>AP4*$G$7</f>
        <v>4</v>
      </c>
      <c r="AR7" s="44"/>
      <c r="AS7" s="18">
        <f>AR4*$G$7</f>
        <v>4</v>
      </c>
      <c r="AT7" s="44"/>
      <c r="AU7" s="18">
        <f>AT4*$G$7</f>
        <v>4</v>
      </c>
      <c r="AV7" s="44"/>
      <c r="AW7" s="18">
        <f>AV4*$G$7</f>
        <v>4</v>
      </c>
      <c r="AX7" s="44"/>
      <c r="AY7" s="18">
        <f>AX4*$G$7</f>
        <v>4</v>
      </c>
      <c r="AZ7" s="44"/>
      <c r="BA7" s="18">
        <f>AZ4*$G$7</f>
        <v>4</v>
      </c>
      <c r="BB7" s="44"/>
      <c r="BC7" s="18">
        <f>BB4*$G$7</f>
        <v>4</v>
      </c>
      <c r="BD7" s="44"/>
      <c r="BE7" s="18">
        <f>BD4*$G$7</f>
        <v>4</v>
      </c>
      <c r="BF7" s="44"/>
      <c r="BG7" s="18">
        <f>BF4*$G$7</f>
        <v>4</v>
      </c>
      <c r="BH7" s="44"/>
      <c r="BI7" s="18">
        <f>BH4*$G$7</f>
        <v>4</v>
      </c>
      <c r="BJ7" s="44"/>
      <c r="BK7" s="18">
        <f>BJ4*$G$7</f>
        <v>4</v>
      </c>
      <c r="BL7" s="44"/>
      <c r="BM7" s="18">
        <f>BL4*$G$7</f>
        <v>4</v>
      </c>
      <c r="BN7" s="44"/>
      <c r="BO7" s="18">
        <f>BN4*$G$7</f>
        <v>4</v>
      </c>
      <c r="BP7" s="44"/>
      <c r="BQ7" s="18">
        <f>BP4*$G$7</f>
        <v>4</v>
      </c>
      <c r="BR7" s="44"/>
      <c r="BS7" s="18">
        <f>BR4*$G$7</f>
        <v>4</v>
      </c>
      <c r="BT7" s="44"/>
      <c r="BU7" s="18">
        <f>BT4*$G$7</f>
        <v>4</v>
      </c>
      <c r="BV7" s="44"/>
      <c r="BW7" s="18">
        <f>BV4*$G$7</f>
        <v>4</v>
      </c>
      <c r="BX7" s="44"/>
      <c r="BY7" s="18">
        <f>BX4*$G$7</f>
        <v>4</v>
      </c>
      <c r="BZ7" s="44"/>
      <c r="CA7" s="18">
        <f>BZ4*$G$7</f>
        <v>4</v>
      </c>
      <c r="CB7" s="44"/>
      <c r="CC7" s="18">
        <f>CB4*$G$7</f>
        <v>4</v>
      </c>
      <c r="CD7" s="44"/>
      <c r="CE7" s="18">
        <f>CD4*$G$7</f>
        <v>4</v>
      </c>
      <c r="CF7" s="44"/>
      <c r="CG7" s="18">
        <f>CF4*$G$7</f>
        <v>4</v>
      </c>
      <c r="CH7" s="44"/>
      <c r="CI7" s="18">
        <f>CH4*$G$7</f>
        <v>4</v>
      </c>
      <c r="CJ7" s="44"/>
      <c r="CK7" s="18">
        <f>CJ4*$G$7</f>
        <v>4</v>
      </c>
      <c r="CL7" s="44"/>
      <c r="CM7" s="18">
        <f>CL4*$G$7</f>
        <v>4</v>
      </c>
      <c r="CN7" s="44"/>
      <c r="CO7" s="18">
        <f>CN4*$G$7</f>
        <v>4</v>
      </c>
      <c r="CP7" s="44"/>
      <c r="CQ7" s="18">
        <f>CP4*$G$7</f>
        <v>4</v>
      </c>
      <c r="CR7" s="44"/>
      <c r="CS7" s="18">
        <f>CR4*$G$7</f>
        <v>4</v>
      </c>
      <c r="CT7" s="44"/>
      <c r="CU7" s="18">
        <f>CT4*$G$7</f>
        <v>4</v>
      </c>
      <c r="CV7" s="44"/>
      <c r="CW7" s="18">
        <f>CV4*$G$7</f>
        <v>4</v>
      </c>
      <c r="CX7" s="44"/>
      <c r="CY7" s="18">
        <f>CX4*$G$7</f>
        <v>4</v>
      </c>
      <c r="CZ7" s="44"/>
      <c r="DA7" s="18">
        <f>CZ4*$G$7</f>
        <v>4</v>
      </c>
      <c r="DB7" s="44"/>
      <c r="DC7" s="18">
        <f>DB4*$G$7</f>
        <v>4</v>
      </c>
      <c r="DD7" s="44"/>
      <c r="DE7" s="18">
        <f>DD4*$G$7</f>
        <v>4</v>
      </c>
      <c r="DF7" s="44"/>
      <c r="DG7" s="18">
        <f>DF4*$G$7</f>
        <v>4</v>
      </c>
      <c r="DH7" s="44"/>
      <c r="DI7" s="18">
        <f>DH4*$G$7</f>
        <v>4</v>
      </c>
      <c r="DJ7" s="44"/>
      <c r="DK7" s="18">
        <f>DJ4*$G$7</f>
        <v>4</v>
      </c>
      <c r="DL7" s="44"/>
      <c r="DM7" s="18">
        <f>DL4*$G$7</f>
        <v>4</v>
      </c>
      <c r="DN7" s="44"/>
      <c r="DO7" s="18">
        <f>DN4*$G$7</f>
        <v>4</v>
      </c>
      <c r="DP7" s="44"/>
      <c r="DQ7" s="18">
        <f>DP4*$G$7</f>
        <v>4</v>
      </c>
      <c r="DR7" s="44"/>
      <c r="DS7" s="18">
        <f>DR4*$G$7</f>
        <v>4</v>
      </c>
      <c r="DT7" s="44"/>
      <c r="DU7" s="18">
        <f>DT4*$G$7</f>
        <v>4</v>
      </c>
      <c r="DV7" s="44"/>
      <c r="DW7" s="18">
        <f>DV4*$G$7</f>
        <v>4</v>
      </c>
      <c r="DX7" s="44"/>
      <c r="DY7" s="18">
        <f>DX4*$G$7</f>
        <v>4</v>
      </c>
      <c r="DZ7" s="44"/>
      <c r="EA7" s="18">
        <f>DZ4*$G$7</f>
        <v>4</v>
      </c>
      <c r="EB7" s="44"/>
      <c r="EC7" s="18">
        <f>EB4*$G$7</f>
        <v>4</v>
      </c>
      <c r="ED7" s="44"/>
      <c r="EE7" s="18">
        <f>ED4*$G$7</f>
        <v>4</v>
      </c>
      <c r="EF7" s="44"/>
      <c r="EG7" s="18">
        <f>EF4*$G$7</f>
        <v>4</v>
      </c>
      <c r="EH7" s="44"/>
      <c r="EI7" s="18">
        <f>EH4*$G$7</f>
        <v>4</v>
      </c>
      <c r="EJ7" s="44"/>
      <c r="EK7" s="18">
        <f>EJ4*$G$7</f>
        <v>4</v>
      </c>
      <c r="EL7" s="44"/>
      <c r="EM7" s="18">
        <f>EL4*$G$7</f>
        <v>4</v>
      </c>
      <c r="EN7" s="44"/>
      <c r="EO7" s="18">
        <f>EN4*$G$7</f>
        <v>4</v>
      </c>
      <c r="EP7" s="44"/>
      <c r="EQ7" s="18">
        <f>EP4*$G$7</f>
        <v>4</v>
      </c>
      <c r="ER7" s="44"/>
      <c r="ES7" s="18">
        <f>ER4*$G$7</f>
        <v>4</v>
      </c>
      <c r="ET7" s="44"/>
      <c r="EU7" s="18">
        <f>ET4*$G$7</f>
        <v>4</v>
      </c>
      <c r="EV7" s="44"/>
      <c r="EW7" s="18">
        <f>EV4*$G$7</f>
        <v>4</v>
      </c>
      <c r="EX7" s="44"/>
      <c r="EY7" s="18">
        <f>EX4*$G$7</f>
        <v>4</v>
      </c>
      <c r="EZ7" s="44"/>
      <c r="FA7" s="18">
        <f>EZ4*$G$7</f>
        <v>4</v>
      </c>
      <c r="FB7" s="44"/>
      <c r="FC7" s="18">
        <f>FB4*$G$7</f>
        <v>4</v>
      </c>
      <c r="FD7" s="44"/>
      <c r="FE7" s="18">
        <f>FD4*$G$7</f>
        <v>4</v>
      </c>
      <c r="FF7" s="44"/>
      <c r="FG7" s="18">
        <f>FF4*$G$7</f>
        <v>4</v>
      </c>
      <c r="FH7" s="44"/>
      <c r="FI7" s="18">
        <f>FH4*$G$7</f>
        <v>4</v>
      </c>
      <c r="FJ7" s="44"/>
      <c r="FK7" s="18">
        <f>FJ4*$G$7</f>
        <v>4</v>
      </c>
      <c r="FL7" s="44"/>
      <c r="FM7" s="18">
        <f>FL4*$G$7</f>
        <v>4</v>
      </c>
      <c r="FN7" s="44"/>
      <c r="FO7" s="18">
        <f>FN4*$G$7</f>
        <v>4</v>
      </c>
      <c r="FP7" s="44"/>
      <c r="FQ7" s="18">
        <f>FP4*$G$7</f>
        <v>4</v>
      </c>
    </row>
    <row r="8" spans="1:173" x14ac:dyDescent="0.35">
      <c r="A8" s="29" t="s">
        <v>96</v>
      </c>
      <c r="B8" s="7">
        <v>913</v>
      </c>
      <c r="C8" s="7" t="s">
        <v>90</v>
      </c>
      <c r="D8" s="7" t="s">
        <v>97</v>
      </c>
      <c r="E8" s="7" t="s">
        <v>102</v>
      </c>
      <c r="F8" s="7">
        <v>5</v>
      </c>
      <c r="G8" s="7">
        <v>2</v>
      </c>
      <c r="H8" s="42"/>
      <c r="I8" s="7">
        <f t="shared" si="0"/>
        <v>640</v>
      </c>
      <c r="J8" s="44"/>
      <c r="K8" s="18">
        <f>J4*$G$8</f>
        <v>4</v>
      </c>
      <c r="L8" s="44"/>
      <c r="M8" s="18">
        <f>L4*$G$8</f>
        <v>4</v>
      </c>
      <c r="N8" s="44"/>
      <c r="O8" s="18">
        <f>N4*$G$8</f>
        <v>4</v>
      </c>
      <c r="P8" s="44"/>
      <c r="Q8" s="18">
        <f>P4*$G$8</f>
        <v>4</v>
      </c>
      <c r="R8" s="44"/>
      <c r="S8" s="18">
        <f>R4*$G$8</f>
        <v>4</v>
      </c>
      <c r="T8" s="44"/>
      <c r="U8" s="18">
        <f>T4*$G$8</f>
        <v>4</v>
      </c>
      <c r="V8" s="44"/>
      <c r="W8" s="18">
        <f>V4*$G$8</f>
        <v>4</v>
      </c>
      <c r="X8" s="44"/>
      <c r="Y8" s="18">
        <f>X4*$G$8</f>
        <v>4</v>
      </c>
      <c r="Z8" s="44"/>
      <c r="AA8" s="18">
        <f>Z4*$G$8</f>
        <v>4</v>
      </c>
      <c r="AB8" s="44"/>
      <c r="AC8" s="18">
        <f>AB4*$G$8</f>
        <v>4</v>
      </c>
      <c r="AD8" s="44"/>
      <c r="AE8" s="18">
        <f>AD4*$G$8</f>
        <v>4</v>
      </c>
      <c r="AF8" s="44"/>
      <c r="AG8" s="18">
        <f>AF4*$G$8</f>
        <v>4</v>
      </c>
      <c r="AH8" s="44"/>
      <c r="AI8" s="18">
        <f>AH4*$G$8</f>
        <v>4</v>
      </c>
      <c r="AJ8" s="44"/>
      <c r="AK8" s="18">
        <f>AJ4*$G$8</f>
        <v>4</v>
      </c>
      <c r="AL8" s="44"/>
      <c r="AM8" s="18">
        <f>AL4*$G$8</f>
        <v>4</v>
      </c>
      <c r="AN8" s="44"/>
      <c r="AO8" s="18">
        <f>AN4*$G$8</f>
        <v>4</v>
      </c>
      <c r="AP8" s="44"/>
      <c r="AQ8" s="18">
        <f>AP4*$G$8</f>
        <v>4</v>
      </c>
      <c r="AR8" s="44"/>
      <c r="AS8" s="18">
        <f>AR4*$G$8</f>
        <v>4</v>
      </c>
      <c r="AT8" s="44"/>
      <c r="AU8" s="18">
        <f>AT4*$G$8</f>
        <v>4</v>
      </c>
      <c r="AV8" s="44"/>
      <c r="AW8" s="18">
        <f>AV4*$G$8</f>
        <v>4</v>
      </c>
      <c r="AX8" s="44"/>
      <c r="AY8" s="18">
        <f>AX4*$G$8</f>
        <v>4</v>
      </c>
      <c r="AZ8" s="44"/>
      <c r="BA8" s="18">
        <f>AZ4*$G$8</f>
        <v>4</v>
      </c>
      <c r="BB8" s="44"/>
      <c r="BC8" s="18">
        <f>BB4*$G$8</f>
        <v>4</v>
      </c>
      <c r="BD8" s="44"/>
      <c r="BE8" s="18">
        <f>BD4*$G$8</f>
        <v>4</v>
      </c>
      <c r="BF8" s="44"/>
      <c r="BG8" s="18">
        <f>BF4*$G$8</f>
        <v>4</v>
      </c>
      <c r="BH8" s="44"/>
      <c r="BI8" s="18">
        <f>BH4*$G$8</f>
        <v>4</v>
      </c>
      <c r="BJ8" s="44"/>
      <c r="BK8" s="18">
        <f>BJ4*$G$8</f>
        <v>4</v>
      </c>
      <c r="BL8" s="44"/>
      <c r="BM8" s="18">
        <f>BL4*$G$8</f>
        <v>4</v>
      </c>
      <c r="BN8" s="44"/>
      <c r="BO8" s="18">
        <f>BN4*$G$8</f>
        <v>4</v>
      </c>
      <c r="BP8" s="44"/>
      <c r="BQ8" s="18">
        <f>BP4*$G$8</f>
        <v>4</v>
      </c>
      <c r="BR8" s="44"/>
      <c r="BS8" s="18">
        <f>BR4*$G$8</f>
        <v>4</v>
      </c>
      <c r="BT8" s="44"/>
      <c r="BU8" s="18">
        <f>BT4*$G$8</f>
        <v>4</v>
      </c>
      <c r="BV8" s="44"/>
      <c r="BW8" s="18">
        <f>BV4*$G$8</f>
        <v>4</v>
      </c>
      <c r="BX8" s="44"/>
      <c r="BY8" s="18">
        <f>BX4*$G$8</f>
        <v>4</v>
      </c>
      <c r="BZ8" s="44"/>
      <c r="CA8" s="18">
        <f>BZ4*$G$8</f>
        <v>4</v>
      </c>
      <c r="CB8" s="44"/>
      <c r="CC8" s="18">
        <f>CB4*$G$8</f>
        <v>4</v>
      </c>
      <c r="CD8" s="44"/>
      <c r="CE8" s="18">
        <f>CD4*$G$8</f>
        <v>4</v>
      </c>
      <c r="CF8" s="44"/>
      <c r="CG8" s="18">
        <f>CF4*$G$8</f>
        <v>4</v>
      </c>
      <c r="CH8" s="44"/>
      <c r="CI8" s="18">
        <f>CH4*$G$8</f>
        <v>4</v>
      </c>
      <c r="CJ8" s="44"/>
      <c r="CK8" s="18">
        <f>CJ4*$G$8</f>
        <v>4</v>
      </c>
      <c r="CL8" s="44"/>
      <c r="CM8" s="18">
        <f>CL4*$G$8</f>
        <v>4</v>
      </c>
      <c r="CN8" s="44"/>
      <c r="CO8" s="18">
        <f>CN4*$G$8</f>
        <v>4</v>
      </c>
      <c r="CP8" s="44"/>
      <c r="CQ8" s="18">
        <f>CP4*$G$8</f>
        <v>4</v>
      </c>
      <c r="CR8" s="44"/>
      <c r="CS8" s="18">
        <f>CR4*$G$8</f>
        <v>4</v>
      </c>
      <c r="CT8" s="44"/>
      <c r="CU8" s="18">
        <f>CT4*$G$8</f>
        <v>4</v>
      </c>
      <c r="CV8" s="44"/>
      <c r="CW8" s="18">
        <f>CV4*$G$8</f>
        <v>4</v>
      </c>
      <c r="CX8" s="44"/>
      <c r="CY8" s="18">
        <f>CX4*$G$8</f>
        <v>4</v>
      </c>
      <c r="CZ8" s="44"/>
      <c r="DA8" s="18">
        <f>CZ4*$G$8</f>
        <v>4</v>
      </c>
      <c r="DB8" s="44"/>
      <c r="DC8" s="18">
        <f>DB4*$G$8</f>
        <v>4</v>
      </c>
      <c r="DD8" s="44"/>
      <c r="DE8" s="18">
        <f>DD4*$G$8</f>
        <v>4</v>
      </c>
      <c r="DF8" s="44"/>
      <c r="DG8" s="18">
        <f>DF4*$G$8</f>
        <v>4</v>
      </c>
      <c r="DH8" s="44"/>
      <c r="DI8" s="18">
        <f>DH4*$G$8</f>
        <v>4</v>
      </c>
      <c r="DJ8" s="44"/>
      <c r="DK8" s="18">
        <f>DJ4*$G$8</f>
        <v>4</v>
      </c>
      <c r="DL8" s="44"/>
      <c r="DM8" s="18">
        <f>DL4*$G$8</f>
        <v>4</v>
      </c>
      <c r="DN8" s="44"/>
      <c r="DO8" s="18">
        <f>DN4*$G$8</f>
        <v>4</v>
      </c>
      <c r="DP8" s="44"/>
      <c r="DQ8" s="18">
        <f>DP4*$G$8</f>
        <v>4</v>
      </c>
      <c r="DR8" s="44"/>
      <c r="DS8" s="18">
        <f>DR4*$G$8</f>
        <v>4</v>
      </c>
      <c r="DT8" s="44"/>
      <c r="DU8" s="18">
        <f>DT4*$G$8</f>
        <v>4</v>
      </c>
      <c r="DV8" s="44"/>
      <c r="DW8" s="18">
        <f>DV4*$G$8</f>
        <v>4</v>
      </c>
      <c r="DX8" s="44"/>
      <c r="DY8" s="18">
        <f>DX4*$G$8</f>
        <v>4</v>
      </c>
      <c r="DZ8" s="44"/>
      <c r="EA8" s="18">
        <f>DZ4*$G$8</f>
        <v>4</v>
      </c>
      <c r="EB8" s="44"/>
      <c r="EC8" s="18">
        <f>EB4*$G$8</f>
        <v>4</v>
      </c>
      <c r="ED8" s="44"/>
      <c r="EE8" s="18">
        <f>ED4*$G$8</f>
        <v>4</v>
      </c>
      <c r="EF8" s="44"/>
      <c r="EG8" s="18">
        <f>EF4*$G$8</f>
        <v>4</v>
      </c>
      <c r="EH8" s="44"/>
      <c r="EI8" s="18">
        <f>EH4*$G$8</f>
        <v>4</v>
      </c>
      <c r="EJ8" s="44"/>
      <c r="EK8" s="18">
        <f>EJ4*$G$8</f>
        <v>4</v>
      </c>
      <c r="EL8" s="44"/>
      <c r="EM8" s="18">
        <f>EL4*$G$8</f>
        <v>4</v>
      </c>
      <c r="EN8" s="44"/>
      <c r="EO8" s="18">
        <f>EN4*$G$8</f>
        <v>4</v>
      </c>
      <c r="EP8" s="44"/>
      <c r="EQ8" s="18">
        <f>EP4*$G$8</f>
        <v>4</v>
      </c>
      <c r="ER8" s="44"/>
      <c r="ES8" s="18">
        <f>ER4*$G$8</f>
        <v>4</v>
      </c>
      <c r="ET8" s="44"/>
      <c r="EU8" s="18">
        <f>ET4*$G$8</f>
        <v>4</v>
      </c>
      <c r="EV8" s="44"/>
      <c r="EW8" s="18">
        <f>EV4*$G$8</f>
        <v>4</v>
      </c>
      <c r="EX8" s="44"/>
      <c r="EY8" s="18">
        <f>EX4*$G$8</f>
        <v>4</v>
      </c>
      <c r="EZ8" s="44"/>
      <c r="FA8" s="18">
        <f>EZ4*$G$8</f>
        <v>4</v>
      </c>
      <c r="FB8" s="44"/>
      <c r="FC8" s="18">
        <f>FB4*$G$8</f>
        <v>4</v>
      </c>
      <c r="FD8" s="44"/>
      <c r="FE8" s="18">
        <f>FD4*$G$8</f>
        <v>4</v>
      </c>
      <c r="FF8" s="44"/>
      <c r="FG8" s="18">
        <f>FF4*$G$8</f>
        <v>4</v>
      </c>
      <c r="FH8" s="44"/>
      <c r="FI8" s="18">
        <f>FH4*$G$8</f>
        <v>4</v>
      </c>
      <c r="FJ8" s="44"/>
      <c r="FK8" s="18">
        <f>FJ4*$G$8</f>
        <v>4</v>
      </c>
      <c r="FL8" s="44"/>
      <c r="FM8" s="18">
        <f>FL4*$G$8</f>
        <v>4</v>
      </c>
      <c r="FN8" s="44"/>
      <c r="FO8" s="18">
        <f>FN4*$G$8</f>
        <v>4</v>
      </c>
      <c r="FP8" s="44"/>
      <c r="FQ8" s="18">
        <f>FP4*$G$8</f>
        <v>4</v>
      </c>
    </row>
    <row r="9" spans="1:173" x14ac:dyDescent="0.35">
      <c r="A9" s="29" t="s">
        <v>96</v>
      </c>
      <c r="B9" s="7">
        <v>913</v>
      </c>
      <c r="C9" s="7" t="s">
        <v>90</v>
      </c>
      <c r="D9" s="7" t="s">
        <v>97</v>
      </c>
      <c r="E9" s="7" t="s">
        <v>103</v>
      </c>
      <c r="F9" s="7">
        <v>6</v>
      </c>
      <c r="G9" s="7">
        <v>0</v>
      </c>
      <c r="H9" s="42"/>
      <c r="I9" s="7">
        <f t="shared" si="0"/>
        <v>0</v>
      </c>
      <c r="J9" s="44"/>
      <c r="K9" s="18">
        <f>J4*$G$9</f>
        <v>0</v>
      </c>
      <c r="L9" s="44"/>
      <c r="M9" s="18">
        <f>L4*$G$9</f>
        <v>0</v>
      </c>
      <c r="N9" s="44"/>
      <c r="O9" s="18">
        <f>N4*$G$9</f>
        <v>0</v>
      </c>
      <c r="P9" s="44"/>
      <c r="Q9" s="18">
        <f>P4*$G$9</f>
        <v>0</v>
      </c>
      <c r="R9" s="44"/>
      <c r="S9" s="18">
        <f>R4*$G$9</f>
        <v>0</v>
      </c>
      <c r="T9" s="44"/>
      <c r="U9" s="18">
        <f>T4*$G$9</f>
        <v>0</v>
      </c>
      <c r="V9" s="44"/>
      <c r="W9" s="18">
        <f>V4*$G$9</f>
        <v>0</v>
      </c>
      <c r="X9" s="44"/>
      <c r="Y9" s="18">
        <f>X4*$G$9</f>
        <v>0</v>
      </c>
      <c r="Z9" s="44"/>
      <c r="AA9" s="18">
        <f>Z4*$G$9</f>
        <v>0</v>
      </c>
      <c r="AB9" s="44"/>
      <c r="AC9" s="18">
        <f>AB4*$G$9</f>
        <v>0</v>
      </c>
      <c r="AD9" s="44"/>
      <c r="AE9" s="18">
        <f>AD4*$G$9</f>
        <v>0</v>
      </c>
      <c r="AF9" s="44"/>
      <c r="AG9" s="18">
        <f>AF4*$G$9</f>
        <v>0</v>
      </c>
      <c r="AH9" s="44"/>
      <c r="AI9" s="18">
        <f>AH4*$G$9</f>
        <v>0</v>
      </c>
      <c r="AJ9" s="44"/>
      <c r="AK9" s="18">
        <f>AJ4*$G$9</f>
        <v>0</v>
      </c>
      <c r="AL9" s="44"/>
      <c r="AM9" s="18">
        <f>AL4*$G$9</f>
        <v>0</v>
      </c>
      <c r="AN9" s="44"/>
      <c r="AO9" s="18">
        <f>AN4*$G$9</f>
        <v>0</v>
      </c>
      <c r="AP9" s="44"/>
      <c r="AQ9" s="18">
        <f>AP4*$G$9</f>
        <v>0</v>
      </c>
      <c r="AR9" s="44"/>
      <c r="AS9" s="18">
        <f>AR4*$G$9</f>
        <v>0</v>
      </c>
      <c r="AT9" s="44"/>
      <c r="AU9" s="18">
        <f>AT4*$G$9</f>
        <v>0</v>
      </c>
      <c r="AV9" s="44"/>
      <c r="AW9" s="18">
        <f>AV4*$G$9</f>
        <v>0</v>
      </c>
      <c r="AX9" s="44"/>
      <c r="AY9" s="18">
        <f>AX4*$G$9</f>
        <v>0</v>
      </c>
      <c r="AZ9" s="44"/>
      <c r="BA9" s="18">
        <f>AZ4*$G$9</f>
        <v>0</v>
      </c>
      <c r="BB9" s="44"/>
      <c r="BC9" s="18">
        <f>BB4*$G$9</f>
        <v>0</v>
      </c>
      <c r="BD9" s="44"/>
      <c r="BE9" s="18">
        <f>BD4*$G$9</f>
        <v>0</v>
      </c>
      <c r="BF9" s="44"/>
      <c r="BG9" s="18">
        <f>BF4*$G$9</f>
        <v>0</v>
      </c>
      <c r="BH9" s="44"/>
      <c r="BI9" s="18">
        <f>BH4*$G$9</f>
        <v>0</v>
      </c>
      <c r="BJ9" s="44"/>
      <c r="BK9" s="18">
        <f>BJ4*$G$9</f>
        <v>0</v>
      </c>
      <c r="BL9" s="44"/>
      <c r="BM9" s="18">
        <f>BL4*$G$9</f>
        <v>0</v>
      </c>
      <c r="BN9" s="44"/>
      <c r="BO9" s="18">
        <f>BN4*$G$9</f>
        <v>0</v>
      </c>
      <c r="BP9" s="44"/>
      <c r="BQ9" s="18">
        <f>BP4*$G$9</f>
        <v>0</v>
      </c>
      <c r="BR9" s="44"/>
      <c r="BS9" s="18">
        <f>BR4*$G$9</f>
        <v>0</v>
      </c>
      <c r="BT9" s="44"/>
      <c r="BU9" s="18">
        <f>BT4*$G$9</f>
        <v>0</v>
      </c>
      <c r="BV9" s="44"/>
      <c r="BW9" s="18">
        <f>BV4*$G$9</f>
        <v>0</v>
      </c>
      <c r="BX9" s="44"/>
      <c r="BY9" s="18">
        <f>BX4*$G$9</f>
        <v>0</v>
      </c>
      <c r="BZ9" s="44"/>
      <c r="CA9" s="18">
        <f>BZ4*$G$9</f>
        <v>0</v>
      </c>
      <c r="CB9" s="44"/>
      <c r="CC9" s="18">
        <f>CB4*$G$9</f>
        <v>0</v>
      </c>
      <c r="CD9" s="44"/>
      <c r="CE9" s="18">
        <f>CD4*$G$9</f>
        <v>0</v>
      </c>
      <c r="CF9" s="44"/>
      <c r="CG9" s="18">
        <f>CF4*$G$9</f>
        <v>0</v>
      </c>
      <c r="CH9" s="44"/>
      <c r="CI9" s="18">
        <f>CH4*$G$9</f>
        <v>0</v>
      </c>
      <c r="CJ9" s="44"/>
      <c r="CK9" s="18">
        <f>CJ4*$G$9</f>
        <v>0</v>
      </c>
      <c r="CL9" s="44"/>
      <c r="CM9" s="18">
        <f>CL4*$G$9</f>
        <v>0</v>
      </c>
      <c r="CN9" s="44"/>
      <c r="CO9" s="18">
        <f>CN4*$G$9</f>
        <v>0</v>
      </c>
      <c r="CP9" s="44"/>
      <c r="CQ9" s="18">
        <f>CP4*$G$9</f>
        <v>0</v>
      </c>
      <c r="CR9" s="44"/>
      <c r="CS9" s="18">
        <f>CR4*$G$9</f>
        <v>0</v>
      </c>
      <c r="CT9" s="44"/>
      <c r="CU9" s="18">
        <f>CT4*$G$9</f>
        <v>0</v>
      </c>
      <c r="CV9" s="44"/>
      <c r="CW9" s="18">
        <f>CV4*$G$9</f>
        <v>0</v>
      </c>
      <c r="CX9" s="44"/>
      <c r="CY9" s="18">
        <f>CX4*$G$9</f>
        <v>0</v>
      </c>
      <c r="CZ9" s="44"/>
      <c r="DA9" s="18">
        <f>CZ4*$G$9</f>
        <v>0</v>
      </c>
      <c r="DB9" s="44"/>
      <c r="DC9" s="18">
        <f>DB4*$G$9</f>
        <v>0</v>
      </c>
      <c r="DD9" s="44"/>
      <c r="DE9" s="18">
        <f>DD4*$G$9</f>
        <v>0</v>
      </c>
      <c r="DF9" s="44"/>
      <c r="DG9" s="18">
        <f>DF4*$G$9</f>
        <v>0</v>
      </c>
      <c r="DH9" s="44"/>
      <c r="DI9" s="18">
        <f>DH4*$G$9</f>
        <v>0</v>
      </c>
      <c r="DJ9" s="44"/>
      <c r="DK9" s="18">
        <f>DJ4*$G$9</f>
        <v>0</v>
      </c>
      <c r="DL9" s="44"/>
      <c r="DM9" s="18">
        <f>DL4*$G$9</f>
        <v>0</v>
      </c>
      <c r="DN9" s="44"/>
      <c r="DO9" s="18">
        <f>DN4*$G$9</f>
        <v>0</v>
      </c>
      <c r="DP9" s="44"/>
      <c r="DQ9" s="18">
        <f>DP4*$G$9</f>
        <v>0</v>
      </c>
      <c r="DR9" s="44"/>
      <c r="DS9" s="18">
        <f>DR4*$G$9</f>
        <v>0</v>
      </c>
      <c r="DT9" s="44"/>
      <c r="DU9" s="18">
        <f>DT4*$G$9</f>
        <v>0</v>
      </c>
      <c r="DV9" s="44"/>
      <c r="DW9" s="18">
        <f>DV4*$G$9</f>
        <v>0</v>
      </c>
      <c r="DX9" s="44"/>
      <c r="DY9" s="18">
        <f>DX4*$G$9</f>
        <v>0</v>
      </c>
      <c r="DZ9" s="44"/>
      <c r="EA9" s="18">
        <f>DZ4*$G$9</f>
        <v>0</v>
      </c>
      <c r="EB9" s="44"/>
      <c r="EC9" s="18">
        <f>EB4*$G$9</f>
        <v>0</v>
      </c>
      <c r="ED9" s="44"/>
      <c r="EE9" s="18">
        <f>ED4*$G$9</f>
        <v>0</v>
      </c>
      <c r="EF9" s="44"/>
      <c r="EG9" s="18">
        <f>EF4*$G$9</f>
        <v>0</v>
      </c>
      <c r="EH9" s="44"/>
      <c r="EI9" s="18">
        <f>EH4*$G$9</f>
        <v>0</v>
      </c>
      <c r="EJ9" s="44"/>
      <c r="EK9" s="18">
        <f>EJ4*$G$9</f>
        <v>0</v>
      </c>
      <c r="EL9" s="44"/>
      <c r="EM9" s="18">
        <f>EL4*$G$9</f>
        <v>0</v>
      </c>
      <c r="EN9" s="44"/>
      <c r="EO9" s="18">
        <f>EN4*$G$9</f>
        <v>0</v>
      </c>
      <c r="EP9" s="44"/>
      <c r="EQ9" s="18">
        <f>EP4*$G$9</f>
        <v>0</v>
      </c>
      <c r="ER9" s="44"/>
      <c r="ES9" s="18">
        <f>ER4*$G$9</f>
        <v>0</v>
      </c>
      <c r="ET9" s="44"/>
      <c r="EU9" s="18">
        <f>ET4*$G$9</f>
        <v>0</v>
      </c>
      <c r="EV9" s="44"/>
      <c r="EW9" s="18">
        <f>EV4*$G$9</f>
        <v>0</v>
      </c>
      <c r="EX9" s="44"/>
      <c r="EY9" s="18">
        <f>EX4*$G$9</f>
        <v>0</v>
      </c>
      <c r="EZ9" s="44"/>
      <c r="FA9" s="18">
        <f>EZ4*$G$9</f>
        <v>0</v>
      </c>
      <c r="FB9" s="44"/>
      <c r="FC9" s="18">
        <f>FB4*$G$9</f>
        <v>0</v>
      </c>
      <c r="FD9" s="44"/>
      <c r="FE9" s="18">
        <f>FD4*$G$9</f>
        <v>0</v>
      </c>
      <c r="FF9" s="44"/>
      <c r="FG9" s="18">
        <f>FF4*$G$9</f>
        <v>0</v>
      </c>
      <c r="FH9" s="44"/>
      <c r="FI9" s="18">
        <f>FH4*$G$9</f>
        <v>0</v>
      </c>
      <c r="FJ9" s="44"/>
      <c r="FK9" s="18">
        <f>FJ4*$G$9</f>
        <v>0</v>
      </c>
      <c r="FL9" s="44"/>
      <c r="FM9" s="18">
        <f>FL4*$G$9</f>
        <v>0</v>
      </c>
      <c r="FN9" s="44"/>
      <c r="FO9" s="18">
        <f>FN4*$G$9</f>
        <v>0</v>
      </c>
      <c r="FP9" s="44"/>
      <c r="FQ9" s="18">
        <f>FP4*$G$9</f>
        <v>0</v>
      </c>
    </row>
    <row r="10" spans="1:173" x14ac:dyDescent="0.35">
      <c r="A10" s="8" t="s">
        <v>96</v>
      </c>
      <c r="B10" s="8">
        <v>913</v>
      </c>
      <c r="C10" s="8" t="s">
        <v>91</v>
      </c>
      <c r="D10" s="8" t="s">
        <v>97</v>
      </c>
      <c r="E10" s="8" t="s">
        <v>107</v>
      </c>
      <c r="F10" s="8">
        <v>1</v>
      </c>
      <c r="G10" s="8">
        <v>0</v>
      </c>
      <c r="H10" s="45">
        <v>117</v>
      </c>
      <c r="I10" s="8">
        <f>G10*$H10</f>
        <v>0</v>
      </c>
      <c r="J10" s="45">
        <v>3</v>
      </c>
      <c r="K10" s="31">
        <f>J10*G10</f>
        <v>0</v>
      </c>
      <c r="L10" s="45">
        <v>3</v>
      </c>
      <c r="M10" s="31">
        <f>L10*$G$10</f>
        <v>0</v>
      </c>
      <c r="N10" s="45">
        <v>3</v>
      </c>
      <c r="O10" s="31">
        <f>N10*$G$10</f>
        <v>0</v>
      </c>
      <c r="P10" s="45">
        <v>3</v>
      </c>
      <c r="Q10" s="31">
        <f>P10*$G$10</f>
        <v>0</v>
      </c>
      <c r="R10" s="45">
        <v>3</v>
      </c>
      <c r="S10" s="31">
        <f>R10*$G$10</f>
        <v>0</v>
      </c>
      <c r="T10" s="45">
        <v>3</v>
      </c>
      <c r="U10" s="31">
        <f>T10*$G$10</f>
        <v>0</v>
      </c>
      <c r="V10" s="45">
        <v>3</v>
      </c>
      <c r="W10" s="31">
        <f>V10*$G$10</f>
        <v>0</v>
      </c>
      <c r="X10" s="45">
        <v>3</v>
      </c>
      <c r="Y10" s="31">
        <f>X10*$G$10</f>
        <v>0</v>
      </c>
      <c r="Z10" s="45">
        <v>3</v>
      </c>
      <c r="AA10" s="31">
        <f>Z10*$G$10</f>
        <v>0</v>
      </c>
      <c r="AB10" s="45">
        <v>3</v>
      </c>
      <c r="AC10" s="31">
        <f>AB10*$G$10</f>
        <v>0</v>
      </c>
      <c r="AD10" s="45">
        <v>3</v>
      </c>
      <c r="AE10" s="31">
        <f>AD10*$G$10</f>
        <v>0</v>
      </c>
      <c r="AF10" s="45">
        <v>3</v>
      </c>
      <c r="AG10" s="31">
        <f>AF10*$G$10</f>
        <v>0</v>
      </c>
      <c r="AH10" s="45">
        <v>3</v>
      </c>
      <c r="AI10" s="31">
        <f>AH10*$G$10</f>
        <v>0</v>
      </c>
      <c r="AJ10" s="45">
        <v>3</v>
      </c>
      <c r="AK10" s="31">
        <f>AJ10*$G$10</f>
        <v>0</v>
      </c>
      <c r="AL10" s="45">
        <v>3</v>
      </c>
      <c r="AM10" s="31">
        <f>AL10*$G$10</f>
        <v>0</v>
      </c>
      <c r="AN10" s="45">
        <v>2</v>
      </c>
      <c r="AO10" s="31">
        <f>AN10*$G$10</f>
        <v>0</v>
      </c>
      <c r="AP10" s="45">
        <v>1</v>
      </c>
      <c r="AQ10" s="31">
        <f>AP10*$G$10</f>
        <v>0</v>
      </c>
      <c r="AR10" s="45">
        <v>1</v>
      </c>
      <c r="AS10" s="31">
        <f>AR10*$G$10</f>
        <v>0</v>
      </c>
      <c r="AT10" s="45">
        <v>1</v>
      </c>
      <c r="AU10" s="31">
        <f>AT10*$G$10</f>
        <v>0</v>
      </c>
      <c r="AV10" s="45">
        <v>1</v>
      </c>
      <c r="AW10" s="31">
        <f>AV10*$G$10</f>
        <v>0</v>
      </c>
      <c r="AX10" s="45">
        <v>1</v>
      </c>
      <c r="AY10" s="31">
        <f>AX10*$G$10</f>
        <v>0</v>
      </c>
      <c r="AZ10" s="45">
        <v>1</v>
      </c>
      <c r="BA10" s="31">
        <f>AZ10*$G$10</f>
        <v>0</v>
      </c>
      <c r="BB10" s="45">
        <v>1</v>
      </c>
      <c r="BC10" s="31">
        <f>BB10*$G$10</f>
        <v>0</v>
      </c>
      <c r="BD10" s="45">
        <v>1</v>
      </c>
      <c r="BE10" s="31">
        <f>BD10*$G$10</f>
        <v>0</v>
      </c>
      <c r="BF10" s="45">
        <v>1</v>
      </c>
      <c r="BG10" s="31">
        <f>BF10*$G$10</f>
        <v>0</v>
      </c>
      <c r="BH10" s="45">
        <v>1</v>
      </c>
      <c r="BI10" s="31">
        <f>BH10*$G$10</f>
        <v>0</v>
      </c>
      <c r="BJ10" s="45">
        <v>1</v>
      </c>
      <c r="BK10" s="31">
        <f>BJ10*$G$10</f>
        <v>0</v>
      </c>
      <c r="BL10" s="45">
        <v>1</v>
      </c>
      <c r="BM10" s="31">
        <f>BL10*$G$10</f>
        <v>0</v>
      </c>
      <c r="BN10" s="45">
        <v>1</v>
      </c>
      <c r="BO10" s="31">
        <f>BN10*$G$10</f>
        <v>0</v>
      </c>
      <c r="BP10" s="45">
        <v>1</v>
      </c>
      <c r="BQ10" s="31">
        <f>BP10*$G$10</f>
        <v>0</v>
      </c>
      <c r="BR10" s="45">
        <v>1</v>
      </c>
      <c r="BS10" s="31">
        <f>BR10*$G$10</f>
        <v>0</v>
      </c>
      <c r="BT10" s="45">
        <v>1</v>
      </c>
      <c r="BU10" s="31">
        <f>BT10*$G$10</f>
        <v>0</v>
      </c>
      <c r="BV10" s="45">
        <v>1</v>
      </c>
      <c r="BW10" s="31">
        <f>BV10*$G$10</f>
        <v>0</v>
      </c>
      <c r="BX10" s="45">
        <v>1</v>
      </c>
      <c r="BY10" s="31">
        <f>BX10*$G$10</f>
        <v>0</v>
      </c>
      <c r="BZ10" s="45">
        <v>1</v>
      </c>
      <c r="CA10" s="31">
        <f>BZ10*$G$10</f>
        <v>0</v>
      </c>
      <c r="CB10" s="45">
        <v>1</v>
      </c>
      <c r="CC10" s="31">
        <f>CB10*$G$10</f>
        <v>0</v>
      </c>
      <c r="CD10" s="45">
        <v>1</v>
      </c>
      <c r="CE10" s="31">
        <f>CD10*$G$10</f>
        <v>0</v>
      </c>
      <c r="CF10" s="45">
        <v>1</v>
      </c>
      <c r="CG10" s="31">
        <f>CF10*$G$10</f>
        <v>0</v>
      </c>
      <c r="CH10" s="45">
        <v>1</v>
      </c>
      <c r="CI10" s="31">
        <f>CH10*$G$10</f>
        <v>0</v>
      </c>
      <c r="CJ10" s="45">
        <v>1</v>
      </c>
      <c r="CK10" s="31">
        <f>CJ10*$G$10</f>
        <v>0</v>
      </c>
      <c r="CL10" s="45">
        <v>1</v>
      </c>
      <c r="CM10" s="31">
        <f>CL10*$G$10</f>
        <v>0</v>
      </c>
      <c r="CN10" s="45">
        <v>1</v>
      </c>
      <c r="CO10" s="31">
        <f>CN10*$G$10</f>
        <v>0</v>
      </c>
      <c r="CP10" s="45">
        <v>1</v>
      </c>
      <c r="CQ10" s="31">
        <f>CP10*$G$10</f>
        <v>0</v>
      </c>
      <c r="CR10" s="45">
        <v>1</v>
      </c>
      <c r="CS10" s="31">
        <f>CR10*$G$10</f>
        <v>0</v>
      </c>
      <c r="CT10" s="45">
        <v>1</v>
      </c>
      <c r="CU10" s="31">
        <f>CT10*$G$10</f>
        <v>0</v>
      </c>
      <c r="CV10" s="45">
        <v>1</v>
      </c>
      <c r="CW10" s="31">
        <f>CV10*$G$10</f>
        <v>0</v>
      </c>
      <c r="CX10" s="45">
        <v>1</v>
      </c>
      <c r="CY10" s="31">
        <f>CX10*$G$10</f>
        <v>0</v>
      </c>
      <c r="CZ10" s="45">
        <v>1</v>
      </c>
      <c r="DA10" s="31">
        <f>CZ10*$G$10</f>
        <v>0</v>
      </c>
      <c r="DB10" s="45">
        <v>1</v>
      </c>
      <c r="DC10" s="31">
        <f>DB10*$G$10</f>
        <v>0</v>
      </c>
      <c r="DD10" s="45">
        <v>1</v>
      </c>
      <c r="DE10" s="31">
        <f>DD10*$G$10</f>
        <v>0</v>
      </c>
      <c r="DF10" s="45">
        <v>1</v>
      </c>
      <c r="DG10" s="31">
        <f>DF10*$G$10</f>
        <v>0</v>
      </c>
      <c r="DH10" s="45">
        <v>1</v>
      </c>
      <c r="DI10" s="31">
        <f>DH10*$G$10</f>
        <v>0</v>
      </c>
      <c r="DJ10" s="45">
        <v>1</v>
      </c>
      <c r="DK10" s="31">
        <f>DJ10*$G$10</f>
        <v>0</v>
      </c>
      <c r="DL10" s="45">
        <v>1</v>
      </c>
      <c r="DM10" s="31">
        <f>DL10*$G$10</f>
        <v>0</v>
      </c>
      <c r="DN10" s="45">
        <v>1</v>
      </c>
      <c r="DO10" s="31">
        <f>DN10*$G$10</f>
        <v>0</v>
      </c>
      <c r="DP10" s="45">
        <v>1</v>
      </c>
      <c r="DQ10" s="31">
        <f>DP10*$G$10</f>
        <v>0</v>
      </c>
      <c r="DR10" s="45">
        <v>1</v>
      </c>
      <c r="DS10" s="31">
        <f>DR10*$G$10</f>
        <v>0</v>
      </c>
      <c r="DT10" s="45">
        <v>1</v>
      </c>
      <c r="DU10" s="31">
        <f>DT10*$G$10</f>
        <v>0</v>
      </c>
      <c r="DV10" s="45">
        <v>1</v>
      </c>
      <c r="DW10" s="31">
        <f>DV10*$G$10</f>
        <v>0</v>
      </c>
      <c r="DX10" s="45">
        <v>1</v>
      </c>
      <c r="DY10" s="31">
        <f>DX10*$G$10</f>
        <v>0</v>
      </c>
      <c r="DZ10" s="45">
        <v>1</v>
      </c>
      <c r="EA10" s="31">
        <f>DZ10*$G$10</f>
        <v>0</v>
      </c>
      <c r="EB10" s="45">
        <v>1</v>
      </c>
      <c r="EC10" s="31">
        <f>EB10*$G$10</f>
        <v>0</v>
      </c>
      <c r="ED10" s="45">
        <v>1</v>
      </c>
      <c r="EE10" s="31">
        <f>ED10*$G$10</f>
        <v>0</v>
      </c>
      <c r="EF10" s="45">
        <v>1</v>
      </c>
      <c r="EG10" s="31">
        <f>EF10*$G$10</f>
        <v>0</v>
      </c>
      <c r="EH10" s="45">
        <v>1</v>
      </c>
      <c r="EI10" s="31">
        <f>EH10*$G$10</f>
        <v>0</v>
      </c>
      <c r="EJ10" s="45">
        <v>1</v>
      </c>
      <c r="EK10" s="31">
        <f>EJ10*$G$10</f>
        <v>0</v>
      </c>
      <c r="EL10" s="45">
        <v>1</v>
      </c>
      <c r="EM10" s="31">
        <f>EL10*$G$10</f>
        <v>0</v>
      </c>
      <c r="EN10" s="45">
        <v>1</v>
      </c>
      <c r="EO10" s="31">
        <f>EN10*$G$10</f>
        <v>0</v>
      </c>
      <c r="EP10" s="45">
        <v>1</v>
      </c>
      <c r="EQ10" s="31">
        <f>EP10*$G$10</f>
        <v>0</v>
      </c>
      <c r="ER10" s="45">
        <v>1</v>
      </c>
      <c r="ES10" s="31">
        <f>ER10*$G$10</f>
        <v>0</v>
      </c>
      <c r="ET10" s="45">
        <v>1</v>
      </c>
      <c r="EU10" s="31">
        <f>ET10*$G$10</f>
        <v>0</v>
      </c>
      <c r="EV10" s="45">
        <v>1</v>
      </c>
      <c r="EW10" s="31">
        <f>EV10*$G$10</f>
        <v>0</v>
      </c>
      <c r="EX10" s="45">
        <v>1</v>
      </c>
      <c r="EY10" s="31">
        <f>EX10*$G$10</f>
        <v>0</v>
      </c>
      <c r="EZ10" s="45">
        <v>1</v>
      </c>
      <c r="FA10" s="31">
        <f>EZ10*$G$10</f>
        <v>0</v>
      </c>
      <c r="FB10" s="45">
        <v>1</v>
      </c>
      <c r="FC10" s="31">
        <f>FB10*$G$10</f>
        <v>0</v>
      </c>
      <c r="FD10" s="45">
        <v>1</v>
      </c>
      <c r="FE10" s="31">
        <f>FD10*$G$10</f>
        <v>0</v>
      </c>
      <c r="FF10" s="45">
        <v>1</v>
      </c>
      <c r="FG10" s="31">
        <f>FF10*$G$10</f>
        <v>0</v>
      </c>
      <c r="FH10" s="45">
        <v>1</v>
      </c>
      <c r="FI10" s="31">
        <f>FH10*$G$10</f>
        <v>0</v>
      </c>
      <c r="FJ10" s="45">
        <v>1</v>
      </c>
      <c r="FK10" s="31">
        <f>FJ10*$G$10</f>
        <v>0</v>
      </c>
      <c r="FL10" s="45">
        <v>1</v>
      </c>
      <c r="FM10" s="31">
        <f>FL10*$G$10</f>
        <v>0</v>
      </c>
      <c r="FN10" s="45">
        <v>1</v>
      </c>
      <c r="FO10" s="31">
        <f>FN10*$G$10</f>
        <v>0</v>
      </c>
      <c r="FP10" s="45">
        <v>2</v>
      </c>
      <c r="FQ10" s="31">
        <f>FP10*$G$10</f>
        <v>0</v>
      </c>
    </row>
    <row r="11" spans="1:173" x14ac:dyDescent="0.35">
      <c r="A11" s="8" t="s">
        <v>96</v>
      </c>
      <c r="B11" s="8">
        <v>913</v>
      </c>
      <c r="C11" s="8" t="s">
        <v>91</v>
      </c>
      <c r="D11" s="8" t="s">
        <v>97</v>
      </c>
      <c r="E11" s="8" t="s">
        <v>108</v>
      </c>
      <c r="F11" s="8">
        <v>2</v>
      </c>
      <c r="G11" s="8">
        <v>2</v>
      </c>
      <c r="H11" s="45"/>
      <c r="I11" s="8">
        <f t="shared" ref="I11:I15" si="1">G11*$H$10</f>
        <v>234</v>
      </c>
      <c r="J11" s="45"/>
      <c r="K11" s="31">
        <f>J10*G11</f>
        <v>6</v>
      </c>
      <c r="L11" s="45"/>
      <c r="M11" s="31">
        <f>L10*$G$11</f>
        <v>6</v>
      </c>
      <c r="N11" s="45"/>
      <c r="O11" s="31">
        <f>N10*$G$11</f>
        <v>6</v>
      </c>
      <c r="P11" s="45"/>
      <c r="Q11" s="31">
        <f>P10*$G$11</f>
        <v>6</v>
      </c>
      <c r="R11" s="45"/>
      <c r="S11" s="31">
        <f>R10*$G$11</f>
        <v>6</v>
      </c>
      <c r="T11" s="45"/>
      <c r="U11" s="31">
        <f>T10*$G$11</f>
        <v>6</v>
      </c>
      <c r="V11" s="45"/>
      <c r="W11" s="31">
        <f>V10*$G$11</f>
        <v>6</v>
      </c>
      <c r="X11" s="45"/>
      <c r="Y11" s="31">
        <f>X10*$G$11</f>
        <v>6</v>
      </c>
      <c r="Z11" s="45"/>
      <c r="AA11" s="31">
        <f>Z10*$G$11</f>
        <v>6</v>
      </c>
      <c r="AB11" s="45"/>
      <c r="AC11" s="31">
        <f>AB10*$G$11</f>
        <v>6</v>
      </c>
      <c r="AD11" s="45"/>
      <c r="AE11" s="31">
        <f>AD10*$G$11</f>
        <v>6</v>
      </c>
      <c r="AF11" s="45"/>
      <c r="AG11" s="31">
        <f>AF10*$G$11</f>
        <v>6</v>
      </c>
      <c r="AH11" s="45"/>
      <c r="AI11" s="31">
        <f>AH10*$G$11</f>
        <v>6</v>
      </c>
      <c r="AJ11" s="45"/>
      <c r="AK11" s="31">
        <f>AJ10*$G$11</f>
        <v>6</v>
      </c>
      <c r="AL11" s="45"/>
      <c r="AM11" s="31">
        <f>AL10*$G$11</f>
        <v>6</v>
      </c>
      <c r="AN11" s="45"/>
      <c r="AO11" s="31">
        <f>AN10*$G$11</f>
        <v>4</v>
      </c>
      <c r="AP11" s="45"/>
      <c r="AQ11" s="31">
        <f>AP10*$G$11</f>
        <v>2</v>
      </c>
      <c r="AR11" s="45"/>
      <c r="AS11" s="31">
        <f>AR10*$G$11</f>
        <v>2</v>
      </c>
      <c r="AT11" s="45"/>
      <c r="AU11" s="31">
        <f>AT10*$G$11</f>
        <v>2</v>
      </c>
      <c r="AV11" s="45"/>
      <c r="AW11" s="31">
        <f>AV10*$G$11</f>
        <v>2</v>
      </c>
      <c r="AX11" s="45"/>
      <c r="AY11" s="31">
        <f>AX10*$G$11</f>
        <v>2</v>
      </c>
      <c r="AZ11" s="45"/>
      <c r="BA11" s="31">
        <f>AZ10*$G$11</f>
        <v>2</v>
      </c>
      <c r="BB11" s="45"/>
      <c r="BC11" s="31">
        <f>BB10*$G$11</f>
        <v>2</v>
      </c>
      <c r="BD11" s="45"/>
      <c r="BE11" s="31">
        <f>BD10*$G$11</f>
        <v>2</v>
      </c>
      <c r="BF11" s="45"/>
      <c r="BG11" s="31">
        <f>BF10*$G$11</f>
        <v>2</v>
      </c>
      <c r="BH11" s="45"/>
      <c r="BI11" s="31">
        <f>BH10*$G$11</f>
        <v>2</v>
      </c>
      <c r="BJ11" s="45"/>
      <c r="BK11" s="31">
        <f>BJ10*$G$11</f>
        <v>2</v>
      </c>
      <c r="BL11" s="45"/>
      <c r="BM11" s="31">
        <f>BL10*$G$11</f>
        <v>2</v>
      </c>
      <c r="BN11" s="45"/>
      <c r="BO11" s="31">
        <f>BN10*$G$11</f>
        <v>2</v>
      </c>
      <c r="BP11" s="45"/>
      <c r="BQ11" s="31">
        <f>BP10*$G$11</f>
        <v>2</v>
      </c>
      <c r="BR11" s="45"/>
      <c r="BS11" s="31">
        <f>BR10*$G$11</f>
        <v>2</v>
      </c>
      <c r="BT11" s="45"/>
      <c r="BU11" s="31">
        <f>BT10*$G$11</f>
        <v>2</v>
      </c>
      <c r="BV11" s="45"/>
      <c r="BW11" s="31">
        <f>BV10*$G$11</f>
        <v>2</v>
      </c>
      <c r="BX11" s="45"/>
      <c r="BY11" s="31">
        <f>BX10*$G$11</f>
        <v>2</v>
      </c>
      <c r="BZ11" s="45"/>
      <c r="CA11" s="31">
        <f>BZ10*$G$11</f>
        <v>2</v>
      </c>
      <c r="CB11" s="45"/>
      <c r="CC11" s="31">
        <f>CB10*$G$11</f>
        <v>2</v>
      </c>
      <c r="CD11" s="45"/>
      <c r="CE11" s="31">
        <f>CD10*$G$11</f>
        <v>2</v>
      </c>
      <c r="CF11" s="45"/>
      <c r="CG11" s="31">
        <f>CF10*$G$11</f>
        <v>2</v>
      </c>
      <c r="CH11" s="45"/>
      <c r="CI11" s="31">
        <f>CH10*$G$11</f>
        <v>2</v>
      </c>
      <c r="CJ11" s="45"/>
      <c r="CK11" s="31">
        <f>CJ10*$G$11</f>
        <v>2</v>
      </c>
      <c r="CL11" s="45"/>
      <c r="CM11" s="31">
        <f>CL10*$G$11</f>
        <v>2</v>
      </c>
      <c r="CN11" s="45"/>
      <c r="CO11" s="31">
        <f>CN10*$G$11</f>
        <v>2</v>
      </c>
      <c r="CP11" s="45"/>
      <c r="CQ11" s="31">
        <f>CP10*$G$11</f>
        <v>2</v>
      </c>
      <c r="CR11" s="45"/>
      <c r="CS11" s="31">
        <f>CR10*$G$11</f>
        <v>2</v>
      </c>
      <c r="CT11" s="45"/>
      <c r="CU11" s="31">
        <f>CT10*$G$11</f>
        <v>2</v>
      </c>
      <c r="CV11" s="45"/>
      <c r="CW11" s="31">
        <f>CV10*$G$11</f>
        <v>2</v>
      </c>
      <c r="CX11" s="45"/>
      <c r="CY11" s="31">
        <f>CX10*$G$11</f>
        <v>2</v>
      </c>
      <c r="CZ11" s="45"/>
      <c r="DA11" s="31">
        <f>CZ10*$G$11</f>
        <v>2</v>
      </c>
      <c r="DB11" s="45"/>
      <c r="DC11" s="31">
        <f>DB10*$G$11</f>
        <v>2</v>
      </c>
      <c r="DD11" s="45"/>
      <c r="DE11" s="31">
        <f>DD10*$G$11</f>
        <v>2</v>
      </c>
      <c r="DF11" s="45"/>
      <c r="DG11" s="31">
        <f>DF10*$G$11</f>
        <v>2</v>
      </c>
      <c r="DH11" s="45"/>
      <c r="DI11" s="31">
        <f>DH10*$G$11</f>
        <v>2</v>
      </c>
      <c r="DJ11" s="45"/>
      <c r="DK11" s="31">
        <f>DJ10*$G$11</f>
        <v>2</v>
      </c>
      <c r="DL11" s="45"/>
      <c r="DM11" s="31">
        <f>DL10*$G$11</f>
        <v>2</v>
      </c>
      <c r="DN11" s="45"/>
      <c r="DO11" s="31">
        <f>DN10*$G$11</f>
        <v>2</v>
      </c>
      <c r="DP11" s="45"/>
      <c r="DQ11" s="31">
        <f>DP10*$G$11</f>
        <v>2</v>
      </c>
      <c r="DR11" s="45"/>
      <c r="DS11" s="31">
        <f>DR10*$G$11</f>
        <v>2</v>
      </c>
      <c r="DT11" s="45"/>
      <c r="DU11" s="31">
        <f>DT10*$G$11</f>
        <v>2</v>
      </c>
      <c r="DV11" s="45"/>
      <c r="DW11" s="31">
        <f>DV10*$G$11</f>
        <v>2</v>
      </c>
      <c r="DX11" s="45"/>
      <c r="DY11" s="31">
        <f>DX10*$G$11</f>
        <v>2</v>
      </c>
      <c r="DZ11" s="45"/>
      <c r="EA11" s="31">
        <f>DZ10*$G$11</f>
        <v>2</v>
      </c>
      <c r="EB11" s="45"/>
      <c r="EC11" s="31">
        <f>EB10*$G$11</f>
        <v>2</v>
      </c>
      <c r="ED11" s="45"/>
      <c r="EE11" s="31">
        <f>ED10*$G$11</f>
        <v>2</v>
      </c>
      <c r="EF11" s="45"/>
      <c r="EG11" s="31">
        <f>EF10*$G$11</f>
        <v>2</v>
      </c>
      <c r="EH11" s="45"/>
      <c r="EI11" s="31">
        <f>EH10*$G$11</f>
        <v>2</v>
      </c>
      <c r="EJ11" s="45"/>
      <c r="EK11" s="31">
        <f>EJ10*$G$11</f>
        <v>2</v>
      </c>
      <c r="EL11" s="45"/>
      <c r="EM11" s="31">
        <f>EL10*$G$11</f>
        <v>2</v>
      </c>
      <c r="EN11" s="45"/>
      <c r="EO11" s="31">
        <f>EN10*$G$11</f>
        <v>2</v>
      </c>
      <c r="EP11" s="45"/>
      <c r="EQ11" s="31">
        <f>EP10*$G$11</f>
        <v>2</v>
      </c>
      <c r="ER11" s="45"/>
      <c r="ES11" s="31">
        <f>ER10*$G$11</f>
        <v>2</v>
      </c>
      <c r="ET11" s="45"/>
      <c r="EU11" s="31">
        <f>ET10*$G$11</f>
        <v>2</v>
      </c>
      <c r="EV11" s="45"/>
      <c r="EW11" s="31">
        <f>EV10*$G$11</f>
        <v>2</v>
      </c>
      <c r="EX11" s="45"/>
      <c r="EY11" s="31">
        <f>EX10*$G$11</f>
        <v>2</v>
      </c>
      <c r="EZ11" s="45"/>
      <c r="FA11" s="31">
        <f>EZ10*$G$11</f>
        <v>2</v>
      </c>
      <c r="FB11" s="45"/>
      <c r="FC11" s="31">
        <f>FB10*$G$11</f>
        <v>2</v>
      </c>
      <c r="FD11" s="45"/>
      <c r="FE11" s="31">
        <f>FD10*$G$11</f>
        <v>2</v>
      </c>
      <c r="FF11" s="45"/>
      <c r="FG11" s="31">
        <f>FF10*$G$11</f>
        <v>2</v>
      </c>
      <c r="FH11" s="45"/>
      <c r="FI11" s="31">
        <f>FH10*$G$11</f>
        <v>2</v>
      </c>
      <c r="FJ11" s="45"/>
      <c r="FK11" s="31">
        <f>FJ10*$G$11</f>
        <v>2</v>
      </c>
      <c r="FL11" s="45"/>
      <c r="FM11" s="31">
        <f>FL10*$G$11</f>
        <v>2</v>
      </c>
      <c r="FN11" s="45"/>
      <c r="FO11" s="31">
        <f>FN10*$G$11</f>
        <v>2</v>
      </c>
      <c r="FP11" s="45"/>
      <c r="FQ11" s="31">
        <f>FP10*$G$11</f>
        <v>4</v>
      </c>
    </row>
    <row r="12" spans="1:173" x14ac:dyDescent="0.35">
      <c r="A12" s="8" t="s">
        <v>96</v>
      </c>
      <c r="B12" s="8">
        <v>913</v>
      </c>
      <c r="C12" s="8" t="s">
        <v>91</v>
      </c>
      <c r="D12" s="8" t="s">
        <v>97</v>
      </c>
      <c r="E12" s="8" t="s">
        <v>109</v>
      </c>
      <c r="F12" s="8">
        <v>3</v>
      </c>
      <c r="G12" s="8">
        <v>4</v>
      </c>
      <c r="H12" s="45"/>
      <c r="I12" s="8">
        <f t="shared" si="1"/>
        <v>468</v>
      </c>
      <c r="J12" s="45"/>
      <c r="K12" s="31">
        <f>J10*G12</f>
        <v>12</v>
      </c>
      <c r="L12" s="45"/>
      <c r="M12" s="31">
        <f>L10*$G$12</f>
        <v>12</v>
      </c>
      <c r="N12" s="45"/>
      <c r="O12" s="31">
        <f>N10*$G$12</f>
        <v>12</v>
      </c>
      <c r="P12" s="45"/>
      <c r="Q12" s="31">
        <f>P10*$G$12</f>
        <v>12</v>
      </c>
      <c r="R12" s="45"/>
      <c r="S12" s="31">
        <f>R10*$G$12</f>
        <v>12</v>
      </c>
      <c r="T12" s="45"/>
      <c r="U12" s="31">
        <f>T10*$G$12</f>
        <v>12</v>
      </c>
      <c r="V12" s="45"/>
      <c r="W12" s="31">
        <f>V10*$G$12</f>
        <v>12</v>
      </c>
      <c r="X12" s="45"/>
      <c r="Y12" s="31">
        <f>X10*$G$12</f>
        <v>12</v>
      </c>
      <c r="Z12" s="45"/>
      <c r="AA12" s="31">
        <f>Z10*$G$12</f>
        <v>12</v>
      </c>
      <c r="AB12" s="45"/>
      <c r="AC12" s="31">
        <f>AB10*$G$12</f>
        <v>12</v>
      </c>
      <c r="AD12" s="45"/>
      <c r="AE12" s="31">
        <f>AD10*$G$12</f>
        <v>12</v>
      </c>
      <c r="AF12" s="45"/>
      <c r="AG12" s="31">
        <f>AF10*$G$12</f>
        <v>12</v>
      </c>
      <c r="AH12" s="45"/>
      <c r="AI12" s="31">
        <f>AH10*$G$12</f>
        <v>12</v>
      </c>
      <c r="AJ12" s="45"/>
      <c r="AK12" s="31">
        <f>AJ10*$G$12</f>
        <v>12</v>
      </c>
      <c r="AL12" s="45"/>
      <c r="AM12" s="31">
        <f>AL10*$G$12</f>
        <v>12</v>
      </c>
      <c r="AN12" s="45"/>
      <c r="AO12" s="31">
        <f>AN10*$G$12</f>
        <v>8</v>
      </c>
      <c r="AP12" s="45"/>
      <c r="AQ12" s="31">
        <f>AP10*$G$12</f>
        <v>4</v>
      </c>
      <c r="AR12" s="45"/>
      <c r="AS12" s="31">
        <f>AR10*$G$12</f>
        <v>4</v>
      </c>
      <c r="AT12" s="45"/>
      <c r="AU12" s="31">
        <f>AT10*$G$12</f>
        <v>4</v>
      </c>
      <c r="AV12" s="45"/>
      <c r="AW12" s="31">
        <f>AV10*$G$12</f>
        <v>4</v>
      </c>
      <c r="AX12" s="45"/>
      <c r="AY12" s="31">
        <f>AX10*$G$12</f>
        <v>4</v>
      </c>
      <c r="AZ12" s="45"/>
      <c r="BA12" s="31">
        <f>AZ10*$G$12</f>
        <v>4</v>
      </c>
      <c r="BB12" s="45"/>
      <c r="BC12" s="31">
        <f>BB10*$G$12</f>
        <v>4</v>
      </c>
      <c r="BD12" s="45"/>
      <c r="BE12" s="31">
        <f>BD10*$G$12</f>
        <v>4</v>
      </c>
      <c r="BF12" s="45"/>
      <c r="BG12" s="31">
        <f>BF10*$G$12</f>
        <v>4</v>
      </c>
      <c r="BH12" s="45"/>
      <c r="BI12" s="31">
        <f>BH10*$G$12</f>
        <v>4</v>
      </c>
      <c r="BJ12" s="45"/>
      <c r="BK12" s="31">
        <f>BJ10*$G$12</f>
        <v>4</v>
      </c>
      <c r="BL12" s="45"/>
      <c r="BM12" s="31">
        <f>BL10*$G$12</f>
        <v>4</v>
      </c>
      <c r="BN12" s="45"/>
      <c r="BO12" s="31">
        <f>BN10*$G$12</f>
        <v>4</v>
      </c>
      <c r="BP12" s="45"/>
      <c r="BQ12" s="31">
        <f>BP10*$G$12</f>
        <v>4</v>
      </c>
      <c r="BR12" s="45"/>
      <c r="BS12" s="31">
        <f>BR10*$G$12</f>
        <v>4</v>
      </c>
      <c r="BT12" s="45"/>
      <c r="BU12" s="31">
        <f>BT10*$G$12</f>
        <v>4</v>
      </c>
      <c r="BV12" s="45"/>
      <c r="BW12" s="31">
        <f>BV10*$G$12</f>
        <v>4</v>
      </c>
      <c r="BX12" s="45"/>
      <c r="BY12" s="31">
        <f>BX10*$G$12</f>
        <v>4</v>
      </c>
      <c r="BZ12" s="45"/>
      <c r="CA12" s="31">
        <f>BZ10*$G$12</f>
        <v>4</v>
      </c>
      <c r="CB12" s="45"/>
      <c r="CC12" s="31">
        <f>CB10*$G$12</f>
        <v>4</v>
      </c>
      <c r="CD12" s="45"/>
      <c r="CE12" s="31">
        <f>CD10*$G$12</f>
        <v>4</v>
      </c>
      <c r="CF12" s="45"/>
      <c r="CG12" s="31">
        <f>CF10*$G$12</f>
        <v>4</v>
      </c>
      <c r="CH12" s="45"/>
      <c r="CI12" s="31">
        <f>CH10*$G$12</f>
        <v>4</v>
      </c>
      <c r="CJ12" s="45"/>
      <c r="CK12" s="31">
        <f>CJ10*$G$12</f>
        <v>4</v>
      </c>
      <c r="CL12" s="45"/>
      <c r="CM12" s="31">
        <f>CL10*$G$12</f>
        <v>4</v>
      </c>
      <c r="CN12" s="45"/>
      <c r="CO12" s="31">
        <f>CN10*$G$12</f>
        <v>4</v>
      </c>
      <c r="CP12" s="45"/>
      <c r="CQ12" s="31">
        <f>CP10*$G$12</f>
        <v>4</v>
      </c>
      <c r="CR12" s="45"/>
      <c r="CS12" s="31">
        <f>CR10*$G$12</f>
        <v>4</v>
      </c>
      <c r="CT12" s="45"/>
      <c r="CU12" s="31">
        <f>CT10*$G$12</f>
        <v>4</v>
      </c>
      <c r="CV12" s="45"/>
      <c r="CW12" s="31">
        <f>CV10*$G$12</f>
        <v>4</v>
      </c>
      <c r="CX12" s="45"/>
      <c r="CY12" s="31">
        <f>CX10*$G$12</f>
        <v>4</v>
      </c>
      <c r="CZ12" s="45"/>
      <c r="DA12" s="31">
        <f>CZ10*$G$12</f>
        <v>4</v>
      </c>
      <c r="DB12" s="45"/>
      <c r="DC12" s="31">
        <f>DB10*$G$12</f>
        <v>4</v>
      </c>
      <c r="DD12" s="45"/>
      <c r="DE12" s="31">
        <f>DD10*$G$12</f>
        <v>4</v>
      </c>
      <c r="DF12" s="45"/>
      <c r="DG12" s="31">
        <f>DF10*$G$12</f>
        <v>4</v>
      </c>
      <c r="DH12" s="45"/>
      <c r="DI12" s="31">
        <f>DH10*$G$12</f>
        <v>4</v>
      </c>
      <c r="DJ12" s="45"/>
      <c r="DK12" s="31">
        <f>DJ10*$G$12</f>
        <v>4</v>
      </c>
      <c r="DL12" s="45"/>
      <c r="DM12" s="31">
        <f>DL10*$G$12</f>
        <v>4</v>
      </c>
      <c r="DN12" s="45"/>
      <c r="DO12" s="31">
        <f>DN10*$G$12</f>
        <v>4</v>
      </c>
      <c r="DP12" s="45"/>
      <c r="DQ12" s="31">
        <f>DP10*$G$12</f>
        <v>4</v>
      </c>
      <c r="DR12" s="45"/>
      <c r="DS12" s="31">
        <f>DR10*$G$12</f>
        <v>4</v>
      </c>
      <c r="DT12" s="45"/>
      <c r="DU12" s="31">
        <f>DT10*$G$12</f>
        <v>4</v>
      </c>
      <c r="DV12" s="45"/>
      <c r="DW12" s="31">
        <f>DV10*$G$12</f>
        <v>4</v>
      </c>
      <c r="DX12" s="45"/>
      <c r="DY12" s="31">
        <f>DX10*$G$12</f>
        <v>4</v>
      </c>
      <c r="DZ12" s="45"/>
      <c r="EA12" s="31">
        <f>DZ10*$G$12</f>
        <v>4</v>
      </c>
      <c r="EB12" s="45"/>
      <c r="EC12" s="31">
        <f>EB10*$G$12</f>
        <v>4</v>
      </c>
      <c r="ED12" s="45"/>
      <c r="EE12" s="31">
        <f>ED10*$G$12</f>
        <v>4</v>
      </c>
      <c r="EF12" s="45"/>
      <c r="EG12" s="31">
        <f>EF10*$G$12</f>
        <v>4</v>
      </c>
      <c r="EH12" s="45"/>
      <c r="EI12" s="31">
        <f>EH10*$G$12</f>
        <v>4</v>
      </c>
      <c r="EJ12" s="45"/>
      <c r="EK12" s="31">
        <f>EJ10*$G$12</f>
        <v>4</v>
      </c>
      <c r="EL12" s="45"/>
      <c r="EM12" s="31">
        <f>EL10*$G$12</f>
        <v>4</v>
      </c>
      <c r="EN12" s="45"/>
      <c r="EO12" s="31">
        <f>EN10*$G$12</f>
        <v>4</v>
      </c>
      <c r="EP12" s="45"/>
      <c r="EQ12" s="31">
        <f>EP10*$G$12</f>
        <v>4</v>
      </c>
      <c r="ER12" s="45"/>
      <c r="ES12" s="31">
        <f>ER10*$G$12</f>
        <v>4</v>
      </c>
      <c r="ET12" s="45"/>
      <c r="EU12" s="31">
        <f>ET10*$G$12</f>
        <v>4</v>
      </c>
      <c r="EV12" s="45"/>
      <c r="EW12" s="31">
        <f>EV10*$G$12</f>
        <v>4</v>
      </c>
      <c r="EX12" s="45"/>
      <c r="EY12" s="31">
        <f>EX10*$G$12</f>
        <v>4</v>
      </c>
      <c r="EZ12" s="45"/>
      <c r="FA12" s="31">
        <f>EZ10*$G$12</f>
        <v>4</v>
      </c>
      <c r="FB12" s="45"/>
      <c r="FC12" s="31">
        <f>FB10*$G$12</f>
        <v>4</v>
      </c>
      <c r="FD12" s="45"/>
      <c r="FE12" s="31">
        <f>FD10*$G$12</f>
        <v>4</v>
      </c>
      <c r="FF12" s="45"/>
      <c r="FG12" s="31">
        <f>FF10*$G$12</f>
        <v>4</v>
      </c>
      <c r="FH12" s="45"/>
      <c r="FI12" s="31">
        <f>FH10*$G$12</f>
        <v>4</v>
      </c>
      <c r="FJ12" s="45"/>
      <c r="FK12" s="31">
        <f>FJ10*$G$12</f>
        <v>4</v>
      </c>
      <c r="FL12" s="45"/>
      <c r="FM12" s="31">
        <f>FL10*$G$12</f>
        <v>4</v>
      </c>
      <c r="FN12" s="45"/>
      <c r="FO12" s="31">
        <f>FN10*$G$12</f>
        <v>4</v>
      </c>
      <c r="FP12" s="45"/>
      <c r="FQ12" s="31">
        <f>FP10*$G$12</f>
        <v>8</v>
      </c>
    </row>
    <row r="13" spans="1:173" x14ac:dyDescent="0.35">
      <c r="A13" s="8" t="s">
        <v>96</v>
      </c>
      <c r="B13" s="8">
        <v>913</v>
      </c>
      <c r="C13" s="8" t="s">
        <v>91</v>
      </c>
      <c r="D13" s="8" t="s">
        <v>97</v>
      </c>
      <c r="E13" s="8" t="s">
        <v>110</v>
      </c>
      <c r="F13" s="8">
        <v>4</v>
      </c>
      <c r="G13" s="8">
        <v>2</v>
      </c>
      <c r="H13" s="45"/>
      <c r="I13" s="8">
        <f t="shared" si="1"/>
        <v>234</v>
      </c>
      <c r="J13" s="45"/>
      <c r="K13" s="31">
        <f>J10*G13</f>
        <v>6</v>
      </c>
      <c r="L13" s="45"/>
      <c r="M13" s="31">
        <f>L10*$G$13</f>
        <v>6</v>
      </c>
      <c r="N13" s="45"/>
      <c r="O13" s="31">
        <f>N10*$G$13</f>
        <v>6</v>
      </c>
      <c r="P13" s="45"/>
      <c r="Q13" s="31">
        <f>P10*$G$13</f>
        <v>6</v>
      </c>
      <c r="R13" s="45"/>
      <c r="S13" s="31">
        <f>R10*$G$13</f>
        <v>6</v>
      </c>
      <c r="T13" s="45"/>
      <c r="U13" s="31">
        <f>T10*$G$13</f>
        <v>6</v>
      </c>
      <c r="V13" s="45"/>
      <c r="W13" s="31">
        <f>V10*$G$13</f>
        <v>6</v>
      </c>
      <c r="X13" s="45"/>
      <c r="Y13" s="31">
        <f>X10*$G$13</f>
        <v>6</v>
      </c>
      <c r="Z13" s="45"/>
      <c r="AA13" s="31">
        <f>Z10*$G$13</f>
        <v>6</v>
      </c>
      <c r="AB13" s="45"/>
      <c r="AC13" s="31">
        <f>AB10*$G$13</f>
        <v>6</v>
      </c>
      <c r="AD13" s="45"/>
      <c r="AE13" s="31">
        <f>AD10*$G$13</f>
        <v>6</v>
      </c>
      <c r="AF13" s="45"/>
      <c r="AG13" s="31">
        <f>AF10*$G$13</f>
        <v>6</v>
      </c>
      <c r="AH13" s="45"/>
      <c r="AI13" s="31">
        <f>AH10*$G$13</f>
        <v>6</v>
      </c>
      <c r="AJ13" s="45"/>
      <c r="AK13" s="31">
        <f>AJ10*$G$13</f>
        <v>6</v>
      </c>
      <c r="AL13" s="45"/>
      <c r="AM13" s="31">
        <f>AL10*$G$13</f>
        <v>6</v>
      </c>
      <c r="AN13" s="45"/>
      <c r="AO13" s="31">
        <f>AN10*$G$13</f>
        <v>4</v>
      </c>
      <c r="AP13" s="45"/>
      <c r="AQ13" s="31">
        <f>AP10*$G$13</f>
        <v>2</v>
      </c>
      <c r="AR13" s="45"/>
      <c r="AS13" s="31">
        <f>AR10*$G$13</f>
        <v>2</v>
      </c>
      <c r="AT13" s="45"/>
      <c r="AU13" s="31">
        <f>AT10*$G$13</f>
        <v>2</v>
      </c>
      <c r="AV13" s="45"/>
      <c r="AW13" s="31">
        <f>AV10*$G$13</f>
        <v>2</v>
      </c>
      <c r="AX13" s="45"/>
      <c r="AY13" s="31">
        <f>AX10*$G$13</f>
        <v>2</v>
      </c>
      <c r="AZ13" s="45"/>
      <c r="BA13" s="31">
        <f>AZ10*$G$13</f>
        <v>2</v>
      </c>
      <c r="BB13" s="45"/>
      <c r="BC13" s="31">
        <f>BB10*$G$13</f>
        <v>2</v>
      </c>
      <c r="BD13" s="45"/>
      <c r="BE13" s="31">
        <f>BD10*$G$13</f>
        <v>2</v>
      </c>
      <c r="BF13" s="45"/>
      <c r="BG13" s="31">
        <f>BF10*$G$13</f>
        <v>2</v>
      </c>
      <c r="BH13" s="45"/>
      <c r="BI13" s="31">
        <f>BH10*$G$13</f>
        <v>2</v>
      </c>
      <c r="BJ13" s="45"/>
      <c r="BK13" s="31">
        <f>BJ10*$G$13</f>
        <v>2</v>
      </c>
      <c r="BL13" s="45"/>
      <c r="BM13" s="31">
        <f>BL10*$G$13</f>
        <v>2</v>
      </c>
      <c r="BN13" s="45"/>
      <c r="BO13" s="31">
        <f>BN10*$G$13</f>
        <v>2</v>
      </c>
      <c r="BP13" s="45"/>
      <c r="BQ13" s="31">
        <f>BP10*$G$13</f>
        <v>2</v>
      </c>
      <c r="BR13" s="45"/>
      <c r="BS13" s="31">
        <f>BR10*$G$13</f>
        <v>2</v>
      </c>
      <c r="BT13" s="45"/>
      <c r="BU13" s="31">
        <f>BT10*$G$13</f>
        <v>2</v>
      </c>
      <c r="BV13" s="45"/>
      <c r="BW13" s="31">
        <f>BV10*$G$13</f>
        <v>2</v>
      </c>
      <c r="BX13" s="45"/>
      <c r="BY13" s="31">
        <f>BX10*$G$13</f>
        <v>2</v>
      </c>
      <c r="BZ13" s="45"/>
      <c r="CA13" s="31">
        <f>BZ10*$G$13</f>
        <v>2</v>
      </c>
      <c r="CB13" s="45"/>
      <c r="CC13" s="31">
        <f>CB10*$G$13</f>
        <v>2</v>
      </c>
      <c r="CD13" s="45"/>
      <c r="CE13" s="31">
        <f>CD10*$G$13</f>
        <v>2</v>
      </c>
      <c r="CF13" s="45"/>
      <c r="CG13" s="31">
        <f>CF10*$G$13</f>
        <v>2</v>
      </c>
      <c r="CH13" s="45"/>
      <c r="CI13" s="31">
        <f>CH10*$G$13</f>
        <v>2</v>
      </c>
      <c r="CJ13" s="45"/>
      <c r="CK13" s="31">
        <f>CJ10*$G$13</f>
        <v>2</v>
      </c>
      <c r="CL13" s="45"/>
      <c r="CM13" s="31">
        <f>CL10*$G$13</f>
        <v>2</v>
      </c>
      <c r="CN13" s="45"/>
      <c r="CO13" s="31">
        <f>CN10*$G$13</f>
        <v>2</v>
      </c>
      <c r="CP13" s="45"/>
      <c r="CQ13" s="31">
        <f>CP10*$G$13</f>
        <v>2</v>
      </c>
      <c r="CR13" s="45"/>
      <c r="CS13" s="31">
        <f>CR10*$G$13</f>
        <v>2</v>
      </c>
      <c r="CT13" s="45"/>
      <c r="CU13" s="31">
        <f>CT10*$G$13</f>
        <v>2</v>
      </c>
      <c r="CV13" s="45"/>
      <c r="CW13" s="31">
        <f>CV10*$G$13</f>
        <v>2</v>
      </c>
      <c r="CX13" s="45"/>
      <c r="CY13" s="31">
        <f>CX10*$G$13</f>
        <v>2</v>
      </c>
      <c r="CZ13" s="45"/>
      <c r="DA13" s="31">
        <f>CZ10*$G$13</f>
        <v>2</v>
      </c>
      <c r="DB13" s="45"/>
      <c r="DC13" s="31">
        <f>DB10*$G$13</f>
        <v>2</v>
      </c>
      <c r="DD13" s="45"/>
      <c r="DE13" s="31">
        <f>DD10*$G$13</f>
        <v>2</v>
      </c>
      <c r="DF13" s="45"/>
      <c r="DG13" s="31">
        <f>DF10*$G$13</f>
        <v>2</v>
      </c>
      <c r="DH13" s="45"/>
      <c r="DI13" s="31">
        <f>DH10*$G$13</f>
        <v>2</v>
      </c>
      <c r="DJ13" s="45"/>
      <c r="DK13" s="31">
        <f>DJ10*$G$13</f>
        <v>2</v>
      </c>
      <c r="DL13" s="45"/>
      <c r="DM13" s="31">
        <f>DL10*$G$13</f>
        <v>2</v>
      </c>
      <c r="DN13" s="45"/>
      <c r="DO13" s="31">
        <f>DN10*$G$13</f>
        <v>2</v>
      </c>
      <c r="DP13" s="45"/>
      <c r="DQ13" s="31">
        <f>DP10*$G$13</f>
        <v>2</v>
      </c>
      <c r="DR13" s="45"/>
      <c r="DS13" s="31">
        <f>DR10*$G$13</f>
        <v>2</v>
      </c>
      <c r="DT13" s="45"/>
      <c r="DU13" s="31">
        <f>DT10*$G$13</f>
        <v>2</v>
      </c>
      <c r="DV13" s="45"/>
      <c r="DW13" s="31">
        <f>DV10*$G$13</f>
        <v>2</v>
      </c>
      <c r="DX13" s="45"/>
      <c r="DY13" s="31">
        <f>DX10*$G$13</f>
        <v>2</v>
      </c>
      <c r="DZ13" s="45"/>
      <c r="EA13" s="31">
        <f>DZ10*$G$13</f>
        <v>2</v>
      </c>
      <c r="EB13" s="45"/>
      <c r="EC13" s="31">
        <f>EB10*$G$13</f>
        <v>2</v>
      </c>
      <c r="ED13" s="45"/>
      <c r="EE13" s="31">
        <f>ED10*$G$13</f>
        <v>2</v>
      </c>
      <c r="EF13" s="45"/>
      <c r="EG13" s="31">
        <f>EF10*$G$13</f>
        <v>2</v>
      </c>
      <c r="EH13" s="45"/>
      <c r="EI13" s="31">
        <f>EH10*$G$13</f>
        <v>2</v>
      </c>
      <c r="EJ13" s="45"/>
      <c r="EK13" s="31">
        <f>EJ10*$G$13</f>
        <v>2</v>
      </c>
      <c r="EL13" s="45"/>
      <c r="EM13" s="31">
        <f>EL10*$G$13</f>
        <v>2</v>
      </c>
      <c r="EN13" s="45"/>
      <c r="EO13" s="31">
        <f>EN10*$G$13</f>
        <v>2</v>
      </c>
      <c r="EP13" s="45"/>
      <c r="EQ13" s="31">
        <f>EP10*$G$13</f>
        <v>2</v>
      </c>
      <c r="ER13" s="45"/>
      <c r="ES13" s="31">
        <f>ER10*$G$13</f>
        <v>2</v>
      </c>
      <c r="ET13" s="45"/>
      <c r="EU13" s="31">
        <f>ET10*$G$13</f>
        <v>2</v>
      </c>
      <c r="EV13" s="45"/>
      <c r="EW13" s="31">
        <f>EV10*$G$13</f>
        <v>2</v>
      </c>
      <c r="EX13" s="45"/>
      <c r="EY13" s="31">
        <f>EX10*$G$13</f>
        <v>2</v>
      </c>
      <c r="EZ13" s="45"/>
      <c r="FA13" s="31">
        <f>EZ10*$G$13</f>
        <v>2</v>
      </c>
      <c r="FB13" s="45"/>
      <c r="FC13" s="31">
        <f>FB10*$G$13</f>
        <v>2</v>
      </c>
      <c r="FD13" s="45"/>
      <c r="FE13" s="31">
        <f>FD10*$G$13</f>
        <v>2</v>
      </c>
      <c r="FF13" s="45"/>
      <c r="FG13" s="31">
        <f>FF10*$G$13</f>
        <v>2</v>
      </c>
      <c r="FH13" s="45"/>
      <c r="FI13" s="31">
        <f>FH10*$G$13</f>
        <v>2</v>
      </c>
      <c r="FJ13" s="45"/>
      <c r="FK13" s="31">
        <f>FJ10*$G$13</f>
        <v>2</v>
      </c>
      <c r="FL13" s="45"/>
      <c r="FM13" s="31">
        <f>FL10*$G$13</f>
        <v>2</v>
      </c>
      <c r="FN13" s="45"/>
      <c r="FO13" s="31">
        <f>FN10*$G$13</f>
        <v>2</v>
      </c>
      <c r="FP13" s="45"/>
      <c r="FQ13" s="31">
        <f>FP10*$G$13</f>
        <v>4</v>
      </c>
    </row>
    <row r="14" spans="1:173" x14ac:dyDescent="0.35">
      <c r="A14" s="8" t="s">
        <v>96</v>
      </c>
      <c r="B14" s="8">
        <v>913</v>
      </c>
      <c r="C14" s="8" t="s">
        <v>91</v>
      </c>
      <c r="D14" s="8" t="s">
        <v>97</v>
      </c>
      <c r="E14" s="8" t="s">
        <v>111</v>
      </c>
      <c r="F14" s="8">
        <v>5</v>
      </c>
      <c r="G14" s="8">
        <v>2</v>
      </c>
      <c r="H14" s="45"/>
      <c r="I14" s="8">
        <f t="shared" si="1"/>
        <v>234</v>
      </c>
      <c r="J14" s="45"/>
      <c r="K14" s="31">
        <f>J10*G14</f>
        <v>6</v>
      </c>
      <c r="L14" s="45"/>
      <c r="M14" s="31">
        <f>L10*$G$14</f>
        <v>6</v>
      </c>
      <c r="N14" s="45"/>
      <c r="O14" s="31">
        <f>N10*$G$14</f>
        <v>6</v>
      </c>
      <c r="P14" s="45"/>
      <c r="Q14" s="31">
        <f>P10*$G$14</f>
        <v>6</v>
      </c>
      <c r="R14" s="45"/>
      <c r="S14" s="31">
        <f>R10*$G$14</f>
        <v>6</v>
      </c>
      <c r="T14" s="45"/>
      <c r="U14" s="31">
        <f>T10*$G$14</f>
        <v>6</v>
      </c>
      <c r="V14" s="45"/>
      <c r="W14" s="31">
        <f>V10*$G$14</f>
        <v>6</v>
      </c>
      <c r="X14" s="45"/>
      <c r="Y14" s="31">
        <f>X10*$G$14</f>
        <v>6</v>
      </c>
      <c r="Z14" s="45"/>
      <c r="AA14" s="31">
        <f>Z10*$G$14</f>
        <v>6</v>
      </c>
      <c r="AB14" s="45"/>
      <c r="AC14" s="31">
        <f>AB10*$G$14</f>
        <v>6</v>
      </c>
      <c r="AD14" s="45"/>
      <c r="AE14" s="31">
        <f>AD10*$G$14</f>
        <v>6</v>
      </c>
      <c r="AF14" s="45"/>
      <c r="AG14" s="31">
        <f>AF10*$G$14</f>
        <v>6</v>
      </c>
      <c r="AH14" s="45"/>
      <c r="AI14" s="31">
        <f>AH10*$G$14</f>
        <v>6</v>
      </c>
      <c r="AJ14" s="45"/>
      <c r="AK14" s="31">
        <f>AJ10*$G$14</f>
        <v>6</v>
      </c>
      <c r="AL14" s="45"/>
      <c r="AM14" s="31">
        <f>AL10*$G$14</f>
        <v>6</v>
      </c>
      <c r="AN14" s="45"/>
      <c r="AO14" s="31">
        <f>AN10*$G$14</f>
        <v>4</v>
      </c>
      <c r="AP14" s="45"/>
      <c r="AQ14" s="31">
        <f>AP10*$G$14</f>
        <v>2</v>
      </c>
      <c r="AR14" s="45"/>
      <c r="AS14" s="31">
        <f>AR10*$G$14</f>
        <v>2</v>
      </c>
      <c r="AT14" s="45"/>
      <c r="AU14" s="31">
        <f>AT10*$G$14</f>
        <v>2</v>
      </c>
      <c r="AV14" s="45"/>
      <c r="AW14" s="31">
        <f>AV10*$G$14</f>
        <v>2</v>
      </c>
      <c r="AX14" s="45"/>
      <c r="AY14" s="31">
        <f>AX10*$G$14</f>
        <v>2</v>
      </c>
      <c r="AZ14" s="45"/>
      <c r="BA14" s="31">
        <f>AZ10*$G$14</f>
        <v>2</v>
      </c>
      <c r="BB14" s="45"/>
      <c r="BC14" s="31">
        <f>BB10*$G$14</f>
        <v>2</v>
      </c>
      <c r="BD14" s="45"/>
      <c r="BE14" s="31">
        <f>BD10*$G$14</f>
        <v>2</v>
      </c>
      <c r="BF14" s="45"/>
      <c r="BG14" s="31">
        <f>BF10*$G$14</f>
        <v>2</v>
      </c>
      <c r="BH14" s="45"/>
      <c r="BI14" s="31">
        <f>BH10*$G$14</f>
        <v>2</v>
      </c>
      <c r="BJ14" s="45"/>
      <c r="BK14" s="31">
        <f>BJ10*$G$14</f>
        <v>2</v>
      </c>
      <c r="BL14" s="45"/>
      <c r="BM14" s="31">
        <f>BL10*$G$14</f>
        <v>2</v>
      </c>
      <c r="BN14" s="45"/>
      <c r="BO14" s="31">
        <f>BN10*$G$14</f>
        <v>2</v>
      </c>
      <c r="BP14" s="45"/>
      <c r="BQ14" s="31">
        <f>BP10*$G$14</f>
        <v>2</v>
      </c>
      <c r="BR14" s="45"/>
      <c r="BS14" s="31">
        <f>BR10*$G$14</f>
        <v>2</v>
      </c>
      <c r="BT14" s="45"/>
      <c r="BU14" s="31">
        <f>BT10*$G$14</f>
        <v>2</v>
      </c>
      <c r="BV14" s="45"/>
      <c r="BW14" s="31">
        <f>BV10*$G$14</f>
        <v>2</v>
      </c>
      <c r="BX14" s="45"/>
      <c r="BY14" s="31">
        <f>BX10*$G$14</f>
        <v>2</v>
      </c>
      <c r="BZ14" s="45"/>
      <c r="CA14" s="31">
        <f>BZ10*$G$14</f>
        <v>2</v>
      </c>
      <c r="CB14" s="45"/>
      <c r="CC14" s="31">
        <f>CB10*$G$14</f>
        <v>2</v>
      </c>
      <c r="CD14" s="45"/>
      <c r="CE14" s="31">
        <f>CD10*$G$14</f>
        <v>2</v>
      </c>
      <c r="CF14" s="45"/>
      <c r="CG14" s="31">
        <f>CF10*$G$14</f>
        <v>2</v>
      </c>
      <c r="CH14" s="45"/>
      <c r="CI14" s="31">
        <f>CH10*$G$14</f>
        <v>2</v>
      </c>
      <c r="CJ14" s="45"/>
      <c r="CK14" s="31">
        <f>CJ10*$G$14</f>
        <v>2</v>
      </c>
      <c r="CL14" s="45"/>
      <c r="CM14" s="31">
        <f>CL10*$G$14</f>
        <v>2</v>
      </c>
      <c r="CN14" s="45"/>
      <c r="CO14" s="31">
        <f>CN10*$G$14</f>
        <v>2</v>
      </c>
      <c r="CP14" s="45"/>
      <c r="CQ14" s="31">
        <f>CP10*$G$14</f>
        <v>2</v>
      </c>
      <c r="CR14" s="45"/>
      <c r="CS14" s="31">
        <f>CR10*$G$14</f>
        <v>2</v>
      </c>
      <c r="CT14" s="45"/>
      <c r="CU14" s="31">
        <f>CT10*$G$14</f>
        <v>2</v>
      </c>
      <c r="CV14" s="45"/>
      <c r="CW14" s="31">
        <f>CV10*$G$14</f>
        <v>2</v>
      </c>
      <c r="CX14" s="45"/>
      <c r="CY14" s="31">
        <f>CX10*$G$14</f>
        <v>2</v>
      </c>
      <c r="CZ14" s="45"/>
      <c r="DA14" s="31">
        <f>CZ10*$G$14</f>
        <v>2</v>
      </c>
      <c r="DB14" s="45"/>
      <c r="DC14" s="31">
        <f>DB10*$G$14</f>
        <v>2</v>
      </c>
      <c r="DD14" s="45"/>
      <c r="DE14" s="31">
        <f>DD10*$G$14</f>
        <v>2</v>
      </c>
      <c r="DF14" s="45"/>
      <c r="DG14" s="31">
        <f>DF10*$G$14</f>
        <v>2</v>
      </c>
      <c r="DH14" s="45"/>
      <c r="DI14" s="31">
        <f>DH10*$G$14</f>
        <v>2</v>
      </c>
      <c r="DJ14" s="45"/>
      <c r="DK14" s="31">
        <f>DJ10*$G$14</f>
        <v>2</v>
      </c>
      <c r="DL14" s="45"/>
      <c r="DM14" s="31">
        <f>DL10*$G$14</f>
        <v>2</v>
      </c>
      <c r="DN14" s="45"/>
      <c r="DO14" s="31">
        <f>DN10*$G$14</f>
        <v>2</v>
      </c>
      <c r="DP14" s="45"/>
      <c r="DQ14" s="31">
        <f>DP10*$G$14</f>
        <v>2</v>
      </c>
      <c r="DR14" s="45"/>
      <c r="DS14" s="31">
        <f>DR10*$G$14</f>
        <v>2</v>
      </c>
      <c r="DT14" s="45"/>
      <c r="DU14" s="31">
        <f>DT10*$G$14</f>
        <v>2</v>
      </c>
      <c r="DV14" s="45"/>
      <c r="DW14" s="31">
        <f>DV10*$G$14</f>
        <v>2</v>
      </c>
      <c r="DX14" s="45"/>
      <c r="DY14" s="31">
        <f>DX10*$G$14</f>
        <v>2</v>
      </c>
      <c r="DZ14" s="45"/>
      <c r="EA14" s="31">
        <f>DZ10*$G$14</f>
        <v>2</v>
      </c>
      <c r="EB14" s="45"/>
      <c r="EC14" s="31">
        <f>EB10*$G$14</f>
        <v>2</v>
      </c>
      <c r="ED14" s="45"/>
      <c r="EE14" s="31">
        <f>ED10*$G$14</f>
        <v>2</v>
      </c>
      <c r="EF14" s="45"/>
      <c r="EG14" s="31">
        <f>EF10*$G$14</f>
        <v>2</v>
      </c>
      <c r="EH14" s="45"/>
      <c r="EI14" s="31">
        <f>EH10*$G$14</f>
        <v>2</v>
      </c>
      <c r="EJ14" s="45"/>
      <c r="EK14" s="31">
        <f>EJ10*$G$14</f>
        <v>2</v>
      </c>
      <c r="EL14" s="45"/>
      <c r="EM14" s="31">
        <f>EL10*$G$14</f>
        <v>2</v>
      </c>
      <c r="EN14" s="45"/>
      <c r="EO14" s="31">
        <f>EN10*$G$14</f>
        <v>2</v>
      </c>
      <c r="EP14" s="45"/>
      <c r="EQ14" s="31">
        <f>EP10*$G$14</f>
        <v>2</v>
      </c>
      <c r="ER14" s="45"/>
      <c r="ES14" s="31">
        <f>ER10*$G$14</f>
        <v>2</v>
      </c>
      <c r="ET14" s="45"/>
      <c r="EU14" s="31">
        <f>ET10*$G$14</f>
        <v>2</v>
      </c>
      <c r="EV14" s="45"/>
      <c r="EW14" s="31">
        <f>EV10*$G$14</f>
        <v>2</v>
      </c>
      <c r="EX14" s="45"/>
      <c r="EY14" s="31">
        <f>EX10*$G$14</f>
        <v>2</v>
      </c>
      <c r="EZ14" s="45"/>
      <c r="FA14" s="31">
        <f>EZ10*$G$14</f>
        <v>2</v>
      </c>
      <c r="FB14" s="45"/>
      <c r="FC14" s="31">
        <f>FB10*$G$14</f>
        <v>2</v>
      </c>
      <c r="FD14" s="45"/>
      <c r="FE14" s="31">
        <f>FD10*$G$14</f>
        <v>2</v>
      </c>
      <c r="FF14" s="45"/>
      <c r="FG14" s="31">
        <f>FF10*$G$14</f>
        <v>2</v>
      </c>
      <c r="FH14" s="45"/>
      <c r="FI14" s="31">
        <f>FH10*$G$14</f>
        <v>2</v>
      </c>
      <c r="FJ14" s="45"/>
      <c r="FK14" s="31">
        <f>FJ10*$G$14</f>
        <v>2</v>
      </c>
      <c r="FL14" s="45"/>
      <c r="FM14" s="31">
        <f>FL10*$G$14</f>
        <v>2</v>
      </c>
      <c r="FN14" s="45"/>
      <c r="FO14" s="31">
        <f>FN10*$G$14</f>
        <v>2</v>
      </c>
      <c r="FP14" s="45"/>
      <c r="FQ14" s="31">
        <f>FP10*$G$14</f>
        <v>4</v>
      </c>
    </row>
    <row r="15" spans="1:173" x14ac:dyDescent="0.35">
      <c r="A15" s="8" t="s">
        <v>96</v>
      </c>
      <c r="B15" s="8">
        <v>913</v>
      </c>
      <c r="C15" s="8" t="s">
        <v>91</v>
      </c>
      <c r="D15" s="8" t="s">
        <v>97</v>
      </c>
      <c r="E15" s="8" t="s">
        <v>112</v>
      </c>
      <c r="F15" s="8">
        <v>6</v>
      </c>
      <c r="G15" s="8">
        <v>0</v>
      </c>
      <c r="H15" s="45"/>
      <c r="I15" s="8">
        <f t="shared" si="1"/>
        <v>0</v>
      </c>
      <c r="J15" s="45"/>
      <c r="K15" s="31">
        <f>J10*G15</f>
        <v>0</v>
      </c>
      <c r="L15" s="45"/>
      <c r="M15" s="31">
        <f>L10*$G$15</f>
        <v>0</v>
      </c>
      <c r="N15" s="45"/>
      <c r="O15" s="31">
        <f>N10*$G$15</f>
        <v>0</v>
      </c>
      <c r="P15" s="45"/>
      <c r="Q15" s="31">
        <f>P10*$G$15</f>
        <v>0</v>
      </c>
      <c r="R15" s="45"/>
      <c r="S15" s="31">
        <f>R10*$G$15</f>
        <v>0</v>
      </c>
      <c r="T15" s="45"/>
      <c r="U15" s="31">
        <f>T10*$G$15</f>
        <v>0</v>
      </c>
      <c r="V15" s="45"/>
      <c r="W15" s="31">
        <f>V10*$G$15</f>
        <v>0</v>
      </c>
      <c r="X15" s="45"/>
      <c r="Y15" s="31">
        <f>X10*$G$15</f>
        <v>0</v>
      </c>
      <c r="Z15" s="45"/>
      <c r="AA15" s="31">
        <f>Z10*$G$15</f>
        <v>0</v>
      </c>
      <c r="AB15" s="45"/>
      <c r="AC15" s="31">
        <f>AB10*$G$15</f>
        <v>0</v>
      </c>
      <c r="AD15" s="45"/>
      <c r="AE15" s="31">
        <f>AD10*$G$15</f>
        <v>0</v>
      </c>
      <c r="AF15" s="45"/>
      <c r="AG15" s="31">
        <f>AF10*$G$15</f>
        <v>0</v>
      </c>
      <c r="AH15" s="45"/>
      <c r="AI15" s="31">
        <f>AH10*$G$15</f>
        <v>0</v>
      </c>
      <c r="AJ15" s="45"/>
      <c r="AK15" s="31">
        <f>AJ10*$G$15</f>
        <v>0</v>
      </c>
      <c r="AL15" s="45"/>
      <c r="AM15" s="31">
        <f>AL10*$G$15</f>
        <v>0</v>
      </c>
      <c r="AN15" s="45"/>
      <c r="AO15" s="31">
        <f>AN10*$G$15</f>
        <v>0</v>
      </c>
      <c r="AP15" s="45"/>
      <c r="AQ15" s="31">
        <f>AP10*$G$15</f>
        <v>0</v>
      </c>
      <c r="AR15" s="45"/>
      <c r="AS15" s="31">
        <f>AR10*$G$15</f>
        <v>0</v>
      </c>
      <c r="AT15" s="45"/>
      <c r="AU15" s="31">
        <f>AT10*$G$15</f>
        <v>0</v>
      </c>
      <c r="AV15" s="45"/>
      <c r="AW15" s="31">
        <f>AV10*$G$15</f>
        <v>0</v>
      </c>
      <c r="AX15" s="45"/>
      <c r="AY15" s="31">
        <f>AX10*$G$15</f>
        <v>0</v>
      </c>
      <c r="AZ15" s="45"/>
      <c r="BA15" s="31">
        <f>AZ10*$G$15</f>
        <v>0</v>
      </c>
      <c r="BB15" s="45"/>
      <c r="BC15" s="31">
        <f>BB10*$G$15</f>
        <v>0</v>
      </c>
      <c r="BD15" s="45"/>
      <c r="BE15" s="31">
        <f>BD10*$G$15</f>
        <v>0</v>
      </c>
      <c r="BF15" s="45"/>
      <c r="BG15" s="31">
        <f>BF10*$G$15</f>
        <v>0</v>
      </c>
      <c r="BH15" s="45"/>
      <c r="BI15" s="31">
        <f>BH10*$G$15</f>
        <v>0</v>
      </c>
      <c r="BJ15" s="45"/>
      <c r="BK15" s="31">
        <f>BJ10*$G$15</f>
        <v>0</v>
      </c>
      <c r="BL15" s="45"/>
      <c r="BM15" s="31">
        <f>BL10*$G$15</f>
        <v>0</v>
      </c>
      <c r="BN15" s="45"/>
      <c r="BO15" s="31">
        <f>BN10*$G$15</f>
        <v>0</v>
      </c>
      <c r="BP15" s="45"/>
      <c r="BQ15" s="31">
        <f>BP10*$G$15</f>
        <v>0</v>
      </c>
      <c r="BR15" s="45"/>
      <c r="BS15" s="31">
        <f>BR10*$G$15</f>
        <v>0</v>
      </c>
      <c r="BT15" s="45"/>
      <c r="BU15" s="31">
        <f>BT10*$G$15</f>
        <v>0</v>
      </c>
      <c r="BV15" s="45"/>
      <c r="BW15" s="31">
        <f>BV10*$G$15</f>
        <v>0</v>
      </c>
      <c r="BX15" s="45"/>
      <c r="BY15" s="31">
        <f>BX10*$G$15</f>
        <v>0</v>
      </c>
      <c r="BZ15" s="45"/>
      <c r="CA15" s="31">
        <f>BZ10*$G$15</f>
        <v>0</v>
      </c>
      <c r="CB15" s="45"/>
      <c r="CC15" s="31">
        <f>CB10*$G$15</f>
        <v>0</v>
      </c>
      <c r="CD15" s="45"/>
      <c r="CE15" s="31">
        <f>CD10*$G$15</f>
        <v>0</v>
      </c>
      <c r="CF15" s="45"/>
      <c r="CG15" s="31">
        <f>CF10*$G$15</f>
        <v>0</v>
      </c>
      <c r="CH15" s="45"/>
      <c r="CI15" s="31">
        <f>CH10*$G$15</f>
        <v>0</v>
      </c>
      <c r="CJ15" s="45"/>
      <c r="CK15" s="31">
        <f>CJ10*$G$15</f>
        <v>0</v>
      </c>
      <c r="CL15" s="45"/>
      <c r="CM15" s="31">
        <f>CL10*$G$15</f>
        <v>0</v>
      </c>
      <c r="CN15" s="45"/>
      <c r="CO15" s="31">
        <f>CN10*$G$15</f>
        <v>0</v>
      </c>
      <c r="CP15" s="45"/>
      <c r="CQ15" s="31">
        <f>CP10*$G$15</f>
        <v>0</v>
      </c>
      <c r="CR15" s="45"/>
      <c r="CS15" s="31">
        <f>CR10*$G$15</f>
        <v>0</v>
      </c>
      <c r="CT15" s="45"/>
      <c r="CU15" s="31">
        <f>CT10*$G$15</f>
        <v>0</v>
      </c>
      <c r="CV15" s="45"/>
      <c r="CW15" s="31">
        <f>CV10*$G$15</f>
        <v>0</v>
      </c>
      <c r="CX15" s="45"/>
      <c r="CY15" s="31">
        <f>CX10*$G$15</f>
        <v>0</v>
      </c>
      <c r="CZ15" s="45"/>
      <c r="DA15" s="31">
        <f>CZ10*$G$15</f>
        <v>0</v>
      </c>
      <c r="DB15" s="45"/>
      <c r="DC15" s="31">
        <f>DB10*$G$15</f>
        <v>0</v>
      </c>
      <c r="DD15" s="45"/>
      <c r="DE15" s="31">
        <f>DD10*$G$15</f>
        <v>0</v>
      </c>
      <c r="DF15" s="45"/>
      <c r="DG15" s="31">
        <f>DF10*$G$15</f>
        <v>0</v>
      </c>
      <c r="DH15" s="45"/>
      <c r="DI15" s="31">
        <f>DH10*$G$15</f>
        <v>0</v>
      </c>
      <c r="DJ15" s="45"/>
      <c r="DK15" s="31">
        <f>DJ10*$G$15</f>
        <v>0</v>
      </c>
      <c r="DL15" s="45"/>
      <c r="DM15" s="31">
        <f>DL10*$G$15</f>
        <v>0</v>
      </c>
      <c r="DN15" s="45"/>
      <c r="DO15" s="31">
        <f>DN10*$G$15</f>
        <v>0</v>
      </c>
      <c r="DP15" s="45"/>
      <c r="DQ15" s="31">
        <f>DP10*$G$15</f>
        <v>0</v>
      </c>
      <c r="DR15" s="45"/>
      <c r="DS15" s="31">
        <f>DR10*$G$15</f>
        <v>0</v>
      </c>
      <c r="DT15" s="45"/>
      <c r="DU15" s="31">
        <f>DT10*$G$15</f>
        <v>0</v>
      </c>
      <c r="DV15" s="45"/>
      <c r="DW15" s="31">
        <f>DV10*$G$15</f>
        <v>0</v>
      </c>
      <c r="DX15" s="45"/>
      <c r="DY15" s="31">
        <f>DX10*$G$15</f>
        <v>0</v>
      </c>
      <c r="DZ15" s="45"/>
      <c r="EA15" s="31">
        <f>DZ10*$G$15</f>
        <v>0</v>
      </c>
      <c r="EB15" s="45"/>
      <c r="EC15" s="31">
        <f>EB10*$G$15</f>
        <v>0</v>
      </c>
      <c r="ED15" s="45"/>
      <c r="EE15" s="31">
        <f>ED10*$G$15</f>
        <v>0</v>
      </c>
      <c r="EF15" s="45"/>
      <c r="EG15" s="31">
        <f>EF10*$G$15</f>
        <v>0</v>
      </c>
      <c r="EH15" s="45"/>
      <c r="EI15" s="31">
        <f>EH10*$G$15</f>
        <v>0</v>
      </c>
      <c r="EJ15" s="45"/>
      <c r="EK15" s="31">
        <f>EJ10*$G$15</f>
        <v>0</v>
      </c>
      <c r="EL15" s="45"/>
      <c r="EM15" s="31">
        <f>EL10*$G$15</f>
        <v>0</v>
      </c>
      <c r="EN15" s="45"/>
      <c r="EO15" s="31">
        <f>EN10*$G$15</f>
        <v>0</v>
      </c>
      <c r="EP15" s="45"/>
      <c r="EQ15" s="31">
        <f>EP10*$G$15</f>
        <v>0</v>
      </c>
      <c r="ER15" s="45"/>
      <c r="ES15" s="31">
        <f>ER10*$G$15</f>
        <v>0</v>
      </c>
      <c r="ET15" s="45"/>
      <c r="EU15" s="31">
        <f>ET10*$G$15</f>
        <v>0</v>
      </c>
      <c r="EV15" s="45"/>
      <c r="EW15" s="31">
        <f>EV10*$G$15</f>
        <v>0</v>
      </c>
      <c r="EX15" s="45"/>
      <c r="EY15" s="31">
        <f>EX10*$G$15</f>
        <v>0</v>
      </c>
      <c r="EZ15" s="45"/>
      <c r="FA15" s="31">
        <f>EZ10*$G$15</f>
        <v>0</v>
      </c>
      <c r="FB15" s="45"/>
      <c r="FC15" s="31">
        <f>FB10*$G$15</f>
        <v>0</v>
      </c>
      <c r="FD15" s="45"/>
      <c r="FE15" s="31">
        <f>FD10*$G$15</f>
        <v>0</v>
      </c>
      <c r="FF15" s="45"/>
      <c r="FG15" s="31">
        <f>FF10*$G$15</f>
        <v>0</v>
      </c>
      <c r="FH15" s="45"/>
      <c r="FI15" s="31">
        <f>FH10*$G$15</f>
        <v>0</v>
      </c>
      <c r="FJ15" s="45"/>
      <c r="FK15" s="31">
        <f>FJ10*$G$15</f>
        <v>0</v>
      </c>
      <c r="FL15" s="45"/>
      <c r="FM15" s="31">
        <f>FL10*$G$15</f>
        <v>0</v>
      </c>
      <c r="FN15" s="45"/>
      <c r="FO15" s="31">
        <f>FN10*$G$15</f>
        <v>0</v>
      </c>
      <c r="FP15" s="45"/>
      <c r="FQ15" s="31">
        <f>FP10*$G$15</f>
        <v>0</v>
      </c>
    </row>
    <row r="16" spans="1:173" x14ac:dyDescent="0.35">
      <c r="A16" s="9" t="s">
        <v>96</v>
      </c>
      <c r="B16" s="9">
        <v>913</v>
      </c>
      <c r="C16" s="9" t="s">
        <v>14</v>
      </c>
      <c r="D16" s="9" t="s">
        <v>97</v>
      </c>
      <c r="E16" s="32" t="s">
        <v>113</v>
      </c>
      <c r="F16" s="9">
        <v>1</v>
      </c>
      <c r="G16" s="9">
        <v>0</v>
      </c>
      <c r="H16" s="46">
        <v>136</v>
      </c>
      <c r="I16" s="9">
        <f>H16*G16</f>
        <v>0</v>
      </c>
      <c r="J16" s="46">
        <v>3</v>
      </c>
      <c r="K16" s="33">
        <f>J16*$G$16</f>
        <v>0</v>
      </c>
      <c r="L16" s="46">
        <v>3</v>
      </c>
      <c r="M16" s="33">
        <f>L16*$G$16</f>
        <v>0</v>
      </c>
      <c r="N16" s="46">
        <v>3</v>
      </c>
      <c r="O16" s="33">
        <f>N16*$G$16</f>
        <v>0</v>
      </c>
      <c r="P16" s="46">
        <v>3</v>
      </c>
      <c r="Q16" s="33">
        <f>P16*$G$16</f>
        <v>0</v>
      </c>
      <c r="R16" s="46">
        <v>3</v>
      </c>
      <c r="S16" s="33">
        <f>R16*$G$16</f>
        <v>0</v>
      </c>
      <c r="T16" s="46">
        <v>3</v>
      </c>
      <c r="U16" s="33">
        <f>T16*$G$16</f>
        <v>0</v>
      </c>
      <c r="V16" s="46">
        <v>3</v>
      </c>
      <c r="W16" s="33">
        <f>V16*$G$16</f>
        <v>0</v>
      </c>
      <c r="X16" s="46">
        <v>3</v>
      </c>
      <c r="Y16" s="33">
        <f>X16*$G$16</f>
        <v>0</v>
      </c>
      <c r="Z16" s="46">
        <v>3</v>
      </c>
      <c r="AA16" s="33">
        <f>Z16*$G$16</f>
        <v>0</v>
      </c>
      <c r="AB16" s="46">
        <v>3</v>
      </c>
      <c r="AC16" s="33">
        <f>AB16*$G$16</f>
        <v>0</v>
      </c>
      <c r="AD16" s="46">
        <v>3</v>
      </c>
      <c r="AE16" s="33">
        <f>AD16*$G$16</f>
        <v>0</v>
      </c>
      <c r="AF16" s="46">
        <v>3</v>
      </c>
      <c r="AG16" s="33">
        <f>AF16*$G$16</f>
        <v>0</v>
      </c>
      <c r="AH16" s="46">
        <v>2</v>
      </c>
      <c r="AI16" s="33">
        <f t="shared" ref="AI16" si="2">AH16*$G$16</f>
        <v>0</v>
      </c>
      <c r="AJ16" s="46">
        <v>2</v>
      </c>
      <c r="AK16" s="33">
        <f t="shared" ref="AK16" si="3">AJ16*$G$16</f>
        <v>0</v>
      </c>
      <c r="AL16" s="46">
        <v>2</v>
      </c>
      <c r="AM16" s="33">
        <f t="shared" ref="AM16" si="4">AL16*$G$16</f>
        <v>0</v>
      </c>
      <c r="AN16" s="46">
        <v>2</v>
      </c>
      <c r="AO16" s="33">
        <f t="shared" ref="AO16" si="5">AN16*$G$16</f>
        <v>0</v>
      </c>
      <c r="AP16" s="46">
        <v>2</v>
      </c>
      <c r="AQ16" s="33">
        <f t="shared" ref="AQ16" si="6">AP16*$G$16</f>
        <v>0</v>
      </c>
      <c r="AR16" s="46">
        <v>2</v>
      </c>
      <c r="AS16" s="33">
        <f t="shared" ref="AS16" si="7">AR16*$G$16</f>
        <v>0</v>
      </c>
      <c r="AT16" s="46">
        <v>2</v>
      </c>
      <c r="AU16" s="33">
        <f t="shared" ref="AU16" si="8">AT16*$G$16</f>
        <v>0</v>
      </c>
      <c r="AV16" s="46">
        <v>2</v>
      </c>
      <c r="AW16" s="33">
        <f t="shared" ref="AW16" si="9">AV16*$G$16</f>
        <v>0</v>
      </c>
      <c r="AX16" s="46">
        <v>2</v>
      </c>
      <c r="AY16" s="33">
        <f t="shared" ref="AY16" si="10">AX16*$G$16</f>
        <v>0</v>
      </c>
      <c r="AZ16" s="46">
        <v>2</v>
      </c>
      <c r="BA16" s="33">
        <f t="shared" ref="BA16" si="11">AZ16*$G$16</f>
        <v>0</v>
      </c>
      <c r="BB16" s="46">
        <v>2</v>
      </c>
      <c r="BC16" s="33">
        <f t="shared" ref="BC16" si="12">BB16*$G$16</f>
        <v>0</v>
      </c>
      <c r="BD16" s="46">
        <v>2</v>
      </c>
      <c r="BE16" s="33">
        <f t="shared" ref="BE16" si="13">BD16*$G$16</f>
        <v>0</v>
      </c>
      <c r="BF16" s="46">
        <v>2</v>
      </c>
      <c r="BG16" s="33">
        <f t="shared" ref="BG16" si="14">BF16*$G$16</f>
        <v>0</v>
      </c>
      <c r="BH16" s="46">
        <v>2</v>
      </c>
      <c r="BI16" s="33">
        <f t="shared" ref="BI16" si="15">BH16*$G$16</f>
        <v>0</v>
      </c>
      <c r="BJ16" s="46">
        <v>2</v>
      </c>
      <c r="BK16" s="33">
        <f t="shared" ref="BK16" si="16">BJ16*$G$16</f>
        <v>0</v>
      </c>
      <c r="BL16" s="46">
        <v>2</v>
      </c>
      <c r="BM16" s="33">
        <f t="shared" ref="BM16" si="17">BL16*$G$16</f>
        <v>0</v>
      </c>
      <c r="BN16" s="46">
        <v>2</v>
      </c>
      <c r="BO16" s="33">
        <f t="shared" ref="BO16" si="18">BN16*$G$16</f>
        <v>0</v>
      </c>
      <c r="BP16" s="46">
        <v>2</v>
      </c>
      <c r="BQ16" s="33">
        <f t="shared" ref="BQ16" si="19">BP16*$G$16</f>
        <v>0</v>
      </c>
      <c r="BR16" s="46">
        <v>2</v>
      </c>
      <c r="BS16" s="33">
        <f t="shared" ref="BS16" si="20">BR16*$G$16</f>
        <v>0</v>
      </c>
      <c r="BT16" s="46">
        <v>2</v>
      </c>
      <c r="BU16" s="33">
        <f t="shared" ref="BU16" si="21">BT16*$G$16</f>
        <v>0</v>
      </c>
      <c r="BV16" s="46">
        <v>2</v>
      </c>
      <c r="BW16" s="33">
        <f t="shared" ref="BW16" si="22">BV16*$G$16</f>
        <v>0</v>
      </c>
      <c r="BX16" s="46">
        <v>2</v>
      </c>
      <c r="BY16" s="33">
        <f t="shared" ref="BY16" si="23">BX16*$G$16</f>
        <v>0</v>
      </c>
      <c r="BZ16" s="46">
        <v>2</v>
      </c>
      <c r="CA16" s="33">
        <f t="shared" ref="CA16" si="24">BZ16*$G$16</f>
        <v>0</v>
      </c>
      <c r="CB16" s="46">
        <v>2</v>
      </c>
      <c r="CC16" s="33">
        <f t="shared" ref="CC16" si="25">CB16*$G$16</f>
        <v>0</v>
      </c>
      <c r="CD16" s="46">
        <v>2</v>
      </c>
      <c r="CE16" s="33">
        <f t="shared" ref="CE16" si="26">CD16*$G$16</f>
        <v>0</v>
      </c>
      <c r="CF16" s="46">
        <v>2</v>
      </c>
      <c r="CG16" s="33">
        <f t="shared" ref="CG16" si="27">CF16*$G$16</f>
        <v>0</v>
      </c>
      <c r="CH16" s="46">
        <v>2</v>
      </c>
      <c r="CI16" s="33">
        <f t="shared" ref="CI16" si="28">CH16*$G$16</f>
        <v>0</v>
      </c>
      <c r="CJ16" s="46">
        <v>1</v>
      </c>
      <c r="CK16" s="33">
        <f t="shared" ref="CK16" si="29">CJ16*$G$16</f>
        <v>0</v>
      </c>
      <c r="CL16" s="46">
        <v>1</v>
      </c>
      <c r="CM16" s="33">
        <f t="shared" ref="CM16" si="30">CL16*$G$16</f>
        <v>0</v>
      </c>
      <c r="CN16" s="46">
        <v>1</v>
      </c>
      <c r="CO16" s="33">
        <f t="shared" ref="CO16" si="31">CN16*$G$16</f>
        <v>0</v>
      </c>
      <c r="CP16" s="46">
        <v>1</v>
      </c>
      <c r="CQ16" s="33">
        <f t="shared" ref="CQ16" si="32">CP16*$G$16</f>
        <v>0</v>
      </c>
      <c r="CR16" s="46">
        <v>1</v>
      </c>
      <c r="CS16" s="33">
        <f t="shared" ref="CS16" si="33">CR16*$G$16</f>
        <v>0</v>
      </c>
      <c r="CT16" s="46">
        <v>1</v>
      </c>
      <c r="CU16" s="33">
        <f t="shared" ref="CU16" si="34">CT16*$G$16</f>
        <v>0</v>
      </c>
      <c r="CV16" s="46">
        <v>1</v>
      </c>
      <c r="CW16" s="33">
        <f t="shared" ref="CW16" si="35">CV16*$G$16</f>
        <v>0</v>
      </c>
      <c r="CX16" s="46">
        <v>1</v>
      </c>
      <c r="CY16" s="33">
        <f t="shared" ref="CY16" si="36">CX16*$G$16</f>
        <v>0</v>
      </c>
      <c r="CZ16" s="46">
        <v>1</v>
      </c>
      <c r="DA16" s="33">
        <f t="shared" ref="DA16" si="37">CZ16*$G$16</f>
        <v>0</v>
      </c>
      <c r="DB16" s="46">
        <v>1</v>
      </c>
      <c r="DC16" s="33">
        <f t="shared" ref="DC16" si="38">DB16*$G$16</f>
        <v>0</v>
      </c>
      <c r="DD16" s="46">
        <v>1</v>
      </c>
      <c r="DE16" s="33">
        <f t="shared" ref="DE16" si="39">DD16*$G$16</f>
        <v>0</v>
      </c>
      <c r="DF16" s="46">
        <v>1</v>
      </c>
      <c r="DG16" s="33">
        <f t="shared" ref="DG16" si="40">DF16*$G$16</f>
        <v>0</v>
      </c>
      <c r="DH16" s="46">
        <v>1</v>
      </c>
      <c r="DI16" s="33">
        <f t="shared" ref="DI16" si="41">DH16*$G$16</f>
        <v>0</v>
      </c>
      <c r="DJ16" s="46">
        <v>1</v>
      </c>
      <c r="DK16" s="33">
        <f t="shared" ref="DK16" si="42">DJ16*$G$16</f>
        <v>0</v>
      </c>
      <c r="DL16" s="46">
        <v>1</v>
      </c>
      <c r="DM16" s="33">
        <f t="shared" ref="DM16" si="43">DL16*$G$16</f>
        <v>0</v>
      </c>
      <c r="DN16" s="46">
        <v>1</v>
      </c>
      <c r="DO16" s="33">
        <f t="shared" ref="DO16" si="44">DN16*$G$16</f>
        <v>0</v>
      </c>
      <c r="DP16" s="46">
        <v>1</v>
      </c>
      <c r="DQ16" s="33">
        <f t="shared" ref="DQ16" si="45">DP16*$G$16</f>
        <v>0</v>
      </c>
      <c r="DR16" s="46">
        <v>1</v>
      </c>
      <c r="DS16" s="33">
        <f t="shared" ref="DS16" si="46">DR16*$G$16</f>
        <v>0</v>
      </c>
      <c r="DT16" s="46">
        <v>1</v>
      </c>
      <c r="DU16" s="33">
        <f t="shared" ref="DU16" si="47">DT16*$G$16</f>
        <v>0</v>
      </c>
      <c r="DV16" s="46">
        <v>1</v>
      </c>
      <c r="DW16" s="33">
        <f t="shared" ref="DW16" si="48">DV16*$G$16</f>
        <v>0</v>
      </c>
      <c r="DX16" s="46">
        <v>1</v>
      </c>
      <c r="DY16" s="33">
        <f t="shared" ref="DY16" si="49">DX16*$G$16</f>
        <v>0</v>
      </c>
      <c r="DZ16" s="46">
        <v>1</v>
      </c>
      <c r="EA16" s="33">
        <f t="shared" ref="EA16" si="50">DZ16*$G$16</f>
        <v>0</v>
      </c>
      <c r="EB16" s="46">
        <v>1</v>
      </c>
      <c r="EC16" s="33">
        <f t="shared" ref="EC16" si="51">EB16*$G$16</f>
        <v>0</v>
      </c>
      <c r="ED16" s="46">
        <v>1</v>
      </c>
      <c r="EE16" s="33">
        <f t="shared" ref="EE16" si="52">ED16*$G$16</f>
        <v>0</v>
      </c>
      <c r="EF16" s="46">
        <v>1</v>
      </c>
      <c r="EG16" s="33">
        <f t="shared" ref="EG16" si="53">EF16*$G$16</f>
        <v>0</v>
      </c>
      <c r="EH16" s="46">
        <v>1</v>
      </c>
      <c r="EI16" s="33">
        <f t="shared" ref="EI16" si="54">EH16*$G$16</f>
        <v>0</v>
      </c>
      <c r="EJ16" s="46">
        <v>1</v>
      </c>
      <c r="EK16" s="33">
        <f t="shared" ref="EK16" si="55">EJ16*$G$16</f>
        <v>0</v>
      </c>
      <c r="EL16" s="46">
        <v>1</v>
      </c>
      <c r="EM16" s="33">
        <f t="shared" ref="EM16" si="56">EL16*$G$16</f>
        <v>0</v>
      </c>
      <c r="EN16" s="46">
        <v>1</v>
      </c>
      <c r="EO16" s="33">
        <f t="shared" ref="EO16" si="57">EN16*$G$16</f>
        <v>0</v>
      </c>
      <c r="EP16" s="46">
        <v>1</v>
      </c>
      <c r="EQ16" s="33">
        <f t="shared" ref="EQ16" si="58">EP16*$G$16</f>
        <v>0</v>
      </c>
      <c r="ER16" s="46">
        <v>1</v>
      </c>
      <c r="ES16" s="33">
        <f t="shared" ref="ES16" si="59">ER16*$G$16</f>
        <v>0</v>
      </c>
      <c r="ET16" s="46">
        <v>1</v>
      </c>
      <c r="EU16" s="33">
        <f t="shared" ref="EU16" si="60">ET16*$G$16</f>
        <v>0</v>
      </c>
      <c r="EV16" s="46">
        <v>1</v>
      </c>
      <c r="EW16" s="33">
        <f t="shared" ref="EW16" si="61">EV16*$G$16</f>
        <v>0</v>
      </c>
      <c r="EX16" s="46">
        <v>1</v>
      </c>
      <c r="EY16" s="33">
        <f t="shared" ref="EY16" si="62">EX16*$G$16</f>
        <v>0</v>
      </c>
      <c r="EZ16" s="46">
        <v>1</v>
      </c>
      <c r="FA16" s="33">
        <f t="shared" ref="FA16" si="63">EZ16*$G$16</f>
        <v>0</v>
      </c>
      <c r="FB16" s="46">
        <v>1</v>
      </c>
      <c r="FC16" s="33">
        <f t="shared" ref="FC16" si="64">FB16*$G$16</f>
        <v>0</v>
      </c>
      <c r="FD16" s="46">
        <v>1</v>
      </c>
      <c r="FE16" s="33">
        <f t="shared" ref="FE16" si="65">FD16*$G$16</f>
        <v>0</v>
      </c>
      <c r="FF16" s="46">
        <v>1</v>
      </c>
      <c r="FG16" s="33">
        <f t="shared" ref="FG16" si="66">FF16*$G$16</f>
        <v>0</v>
      </c>
      <c r="FH16" s="46">
        <v>1</v>
      </c>
      <c r="FI16" s="33">
        <f t="shared" ref="FI16" si="67">FH16*$G$16</f>
        <v>0</v>
      </c>
      <c r="FJ16" s="46">
        <v>1</v>
      </c>
      <c r="FK16" s="33">
        <f t="shared" ref="FK16" si="68">FJ16*$G$16</f>
        <v>0</v>
      </c>
      <c r="FL16" s="46">
        <v>1</v>
      </c>
      <c r="FM16" s="33">
        <f t="shared" ref="FM16" si="69">FL16*$G$16</f>
        <v>0</v>
      </c>
      <c r="FN16" s="46">
        <v>1</v>
      </c>
      <c r="FO16" s="33">
        <f t="shared" ref="FO16" si="70">FN16*$G$16</f>
        <v>0</v>
      </c>
      <c r="FP16" s="46">
        <v>1</v>
      </c>
      <c r="FQ16" s="33">
        <f t="shared" ref="FQ16" si="71">FP16*$G$16</f>
        <v>0</v>
      </c>
    </row>
    <row r="17" spans="1:174" x14ac:dyDescent="0.35">
      <c r="A17" s="9" t="s">
        <v>96</v>
      </c>
      <c r="B17" s="9">
        <v>913</v>
      </c>
      <c r="C17" s="9" t="s">
        <v>14</v>
      </c>
      <c r="D17" s="9" t="s">
        <v>97</v>
      </c>
      <c r="E17" s="32" t="s">
        <v>114</v>
      </c>
      <c r="F17" s="9">
        <v>2</v>
      </c>
      <c r="G17" s="9">
        <v>3</v>
      </c>
      <c r="H17" s="46"/>
      <c r="I17" s="9">
        <f>H16*G17</f>
        <v>408</v>
      </c>
      <c r="J17" s="46"/>
      <c r="K17" s="33">
        <f>J16*$G$17</f>
        <v>9</v>
      </c>
      <c r="L17" s="46"/>
      <c r="M17" s="33">
        <f>L16*$G$17</f>
        <v>9</v>
      </c>
      <c r="N17" s="46"/>
      <c r="O17" s="33">
        <f>N16*$G$17</f>
        <v>9</v>
      </c>
      <c r="P17" s="46"/>
      <c r="Q17" s="33">
        <f>P16*$G$17</f>
        <v>9</v>
      </c>
      <c r="R17" s="46"/>
      <c r="S17" s="33">
        <f>R16*$G$17</f>
        <v>9</v>
      </c>
      <c r="T17" s="46"/>
      <c r="U17" s="33">
        <f>T16*$G$17</f>
        <v>9</v>
      </c>
      <c r="V17" s="46"/>
      <c r="W17" s="33">
        <f>V16*$G$17</f>
        <v>9</v>
      </c>
      <c r="X17" s="46"/>
      <c r="Y17" s="33">
        <f>X16*$G$17</f>
        <v>9</v>
      </c>
      <c r="Z17" s="46"/>
      <c r="AA17" s="33">
        <f>Z16*$G$17</f>
        <v>9</v>
      </c>
      <c r="AB17" s="46"/>
      <c r="AC17" s="33">
        <f>AB16*$G$17</f>
        <v>9</v>
      </c>
      <c r="AD17" s="46"/>
      <c r="AE17" s="33">
        <f>AD16*$G$17</f>
        <v>9</v>
      </c>
      <c r="AF17" s="46"/>
      <c r="AG17" s="33">
        <f>AF16*$G$17</f>
        <v>9</v>
      </c>
      <c r="AH17" s="46"/>
      <c r="AI17" s="33">
        <f t="shared" ref="AI17" si="72">AH16*$G$17</f>
        <v>6</v>
      </c>
      <c r="AJ17" s="46"/>
      <c r="AK17" s="33">
        <f t="shared" ref="AK17" si="73">AJ16*$G$17</f>
        <v>6</v>
      </c>
      <c r="AL17" s="46"/>
      <c r="AM17" s="33">
        <f t="shared" ref="AM17" si="74">AL16*$G$17</f>
        <v>6</v>
      </c>
      <c r="AN17" s="46"/>
      <c r="AO17" s="33">
        <f t="shared" ref="AO17" si="75">AN16*$G$17</f>
        <v>6</v>
      </c>
      <c r="AP17" s="46"/>
      <c r="AQ17" s="33">
        <f t="shared" ref="AQ17" si="76">AP16*$G$17</f>
        <v>6</v>
      </c>
      <c r="AR17" s="46"/>
      <c r="AS17" s="33">
        <f t="shared" ref="AS17" si="77">AR16*$G$17</f>
        <v>6</v>
      </c>
      <c r="AT17" s="46"/>
      <c r="AU17" s="33">
        <f t="shared" ref="AU17" si="78">AT16*$G$17</f>
        <v>6</v>
      </c>
      <c r="AV17" s="46"/>
      <c r="AW17" s="33">
        <f t="shared" ref="AW17" si="79">AV16*$G$17</f>
        <v>6</v>
      </c>
      <c r="AX17" s="46"/>
      <c r="AY17" s="33">
        <f t="shared" ref="AY17" si="80">AX16*$G$17</f>
        <v>6</v>
      </c>
      <c r="AZ17" s="46"/>
      <c r="BA17" s="33">
        <f t="shared" ref="BA17" si="81">AZ16*$G$17</f>
        <v>6</v>
      </c>
      <c r="BB17" s="46"/>
      <c r="BC17" s="33">
        <f t="shared" ref="BC17" si="82">BB16*$G$17</f>
        <v>6</v>
      </c>
      <c r="BD17" s="46"/>
      <c r="BE17" s="33">
        <f t="shared" ref="BE17" si="83">BD16*$G$17</f>
        <v>6</v>
      </c>
      <c r="BF17" s="46"/>
      <c r="BG17" s="33">
        <f t="shared" ref="BG17" si="84">BF16*$G$17</f>
        <v>6</v>
      </c>
      <c r="BH17" s="46"/>
      <c r="BI17" s="33">
        <f t="shared" ref="BI17" si="85">BH16*$G$17</f>
        <v>6</v>
      </c>
      <c r="BJ17" s="46"/>
      <c r="BK17" s="33">
        <f t="shared" ref="BK17" si="86">BJ16*$G$17</f>
        <v>6</v>
      </c>
      <c r="BL17" s="46"/>
      <c r="BM17" s="33">
        <f t="shared" ref="BM17" si="87">BL16*$G$17</f>
        <v>6</v>
      </c>
      <c r="BN17" s="46"/>
      <c r="BO17" s="33">
        <f t="shared" ref="BO17" si="88">BN16*$G$17</f>
        <v>6</v>
      </c>
      <c r="BP17" s="46"/>
      <c r="BQ17" s="33">
        <f t="shared" ref="BQ17" si="89">BP16*$G$17</f>
        <v>6</v>
      </c>
      <c r="BR17" s="46"/>
      <c r="BS17" s="33">
        <f t="shared" ref="BS17" si="90">BR16*$G$17</f>
        <v>6</v>
      </c>
      <c r="BT17" s="46"/>
      <c r="BU17" s="33">
        <f t="shared" ref="BU17" si="91">BT16*$G$17</f>
        <v>6</v>
      </c>
      <c r="BV17" s="46"/>
      <c r="BW17" s="33">
        <f t="shared" ref="BW17" si="92">BV16*$G$17</f>
        <v>6</v>
      </c>
      <c r="BX17" s="46"/>
      <c r="BY17" s="33">
        <f t="shared" ref="BY17" si="93">BX16*$G$17</f>
        <v>6</v>
      </c>
      <c r="BZ17" s="46"/>
      <c r="CA17" s="33">
        <f t="shared" ref="CA17" si="94">BZ16*$G$17</f>
        <v>6</v>
      </c>
      <c r="CB17" s="46"/>
      <c r="CC17" s="33">
        <f t="shared" ref="CC17" si="95">CB16*$G$17</f>
        <v>6</v>
      </c>
      <c r="CD17" s="46"/>
      <c r="CE17" s="33">
        <f t="shared" ref="CE17" si="96">CD16*$G$17</f>
        <v>6</v>
      </c>
      <c r="CF17" s="46"/>
      <c r="CG17" s="33">
        <f t="shared" ref="CG17" si="97">CF16*$G$17</f>
        <v>6</v>
      </c>
      <c r="CH17" s="46"/>
      <c r="CI17" s="33">
        <f t="shared" ref="CI17" si="98">CH16*$G$17</f>
        <v>6</v>
      </c>
      <c r="CJ17" s="46"/>
      <c r="CK17" s="33">
        <f t="shared" ref="CK17" si="99">CJ16*$G$17</f>
        <v>3</v>
      </c>
      <c r="CL17" s="46"/>
      <c r="CM17" s="33">
        <f t="shared" ref="CM17" si="100">CL16*$G$17</f>
        <v>3</v>
      </c>
      <c r="CN17" s="46"/>
      <c r="CO17" s="33">
        <f t="shared" ref="CO17" si="101">CN16*$G$17</f>
        <v>3</v>
      </c>
      <c r="CP17" s="46"/>
      <c r="CQ17" s="33">
        <f t="shared" ref="CQ17" si="102">CP16*$G$17</f>
        <v>3</v>
      </c>
      <c r="CR17" s="46"/>
      <c r="CS17" s="33">
        <f t="shared" ref="CS17" si="103">CR16*$G$17</f>
        <v>3</v>
      </c>
      <c r="CT17" s="46"/>
      <c r="CU17" s="33">
        <f t="shared" ref="CU17" si="104">CT16*$G$17</f>
        <v>3</v>
      </c>
      <c r="CV17" s="46"/>
      <c r="CW17" s="33">
        <f t="shared" ref="CW17" si="105">CV16*$G$17</f>
        <v>3</v>
      </c>
      <c r="CX17" s="46"/>
      <c r="CY17" s="33">
        <f t="shared" ref="CY17" si="106">CX16*$G$17</f>
        <v>3</v>
      </c>
      <c r="CZ17" s="46"/>
      <c r="DA17" s="33">
        <f t="shared" ref="DA17" si="107">CZ16*$G$17</f>
        <v>3</v>
      </c>
      <c r="DB17" s="46"/>
      <c r="DC17" s="33">
        <f t="shared" ref="DC17" si="108">DB16*$G$17</f>
        <v>3</v>
      </c>
      <c r="DD17" s="46"/>
      <c r="DE17" s="33">
        <f t="shared" ref="DE17" si="109">DD16*$G$17</f>
        <v>3</v>
      </c>
      <c r="DF17" s="46"/>
      <c r="DG17" s="33">
        <f t="shared" ref="DG17" si="110">DF16*$G$17</f>
        <v>3</v>
      </c>
      <c r="DH17" s="46"/>
      <c r="DI17" s="33">
        <f t="shared" ref="DI17" si="111">DH16*$G$17</f>
        <v>3</v>
      </c>
      <c r="DJ17" s="46"/>
      <c r="DK17" s="33">
        <f t="shared" ref="DK17" si="112">DJ16*$G$17</f>
        <v>3</v>
      </c>
      <c r="DL17" s="46"/>
      <c r="DM17" s="33">
        <f t="shared" ref="DM17" si="113">DL16*$G$17</f>
        <v>3</v>
      </c>
      <c r="DN17" s="46"/>
      <c r="DO17" s="33">
        <f t="shared" ref="DO17" si="114">DN16*$G$17</f>
        <v>3</v>
      </c>
      <c r="DP17" s="46"/>
      <c r="DQ17" s="33">
        <f t="shared" ref="DQ17" si="115">DP16*$G$17</f>
        <v>3</v>
      </c>
      <c r="DR17" s="46"/>
      <c r="DS17" s="33">
        <f t="shared" ref="DS17" si="116">DR16*$G$17</f>
        <v>3</v>
      </c>
      <c r="DT17" s="46"/>
      <c r="DU17" s="33">
        <f t="shared" ref="DU17" si="117">DT16*$G$17</f>
        <v>3</v>
      </c>
      <c r="DV17" s="46"/>
      <c r="DW17" s="33">
        <f t="shared" ref="DW17" si="118">DV16*$G$17</f>
        <v>3</v>
      </c>
      <c r="DX17" s="46"/>
      <c r="DY17" s="33">
        <f t="shared" ref="DY17" si="119">DX16*$G$17</f>
        <v>3</v>
      </c>
      <c r="DZ17" s="46"/>
      <c r="EA17" s="33">
        <f t="shared" ref="EA17" si="120">DZ16*$G$17</f>
        <v>3</v>
      </c>
      <c r="EB17" s="46"/>
      <c r="EC17" s="33">
        <f t="shared" ref="EC17" si="121">EB16*$G$17</f>
        <v>3</v>
      </c>
      <c r="ED17" s="46"/>
      <c r="EE17" s="33">
        <f t="shared" ref="EE17" si="122">ED16*$G$17</f>
        <v>3</v>
      </c>
      <c r="EF17" s="46"/>
      <c r="EG17" s="33">
        <f t="shared" ref="EG17" si="123">EF16*$G$17</f>
        <v>3</v>
      </c>
      <c r="EH17" s="46"/>
      <c r="EI17" s="33">
        <f t="shared" ref="EI17" si="124">EH16*$G$17</f>
        <v>3</v>
      </c>
      <c r="EJ17" s="46"/>
      <c r="EK17" s="33">
        <f t="shared" ref="EK17" si="125">EJ16*$G$17</f>
        <v>3</v>
      </c>
      <c r="EL17" s="46"/>
      <c r="EM17" s="33">
        <f t="shared" ref="EM17" si="126">EL16*$G$17</f>
        <v>3</v>
      </c>
      <c r="EN17" s="46"/>
      <c r="EO17" s="33">
        <f t="shared" ref="EO17" si="127">EN16*$G$17</f>
        <v>3</v>
      </c>
      <c r="EP17" s="46"/>
      <c r="EQ17" s="33">
        <f t="shared" ref="EQ17" si="128">EP16*$G$17</f>
        <v>3</v>
      </c>
      <c r="ER17" s="46"/>
      <c r="ES17" s="33">
        <f t="shared" ref="ES17" si="129">ER16*$G$17</f>
        <v>3</v>
      </c>
      <c r="ET17" s="46"/>
      <c r="EU17" s="33">
        <f t="shared" ref="EU17" si="130">ET16*$G$17</f>
        <v>3</v>
      </c>
      <c r="EV17" s="46"/>
      <c r="EW17" s="33">
        <f t="shared" ref="EW17" si="131">EV16*$G$17</f>
        <v>3</v>
      </c>
      <c r="EX17" s="46"/>
      <c r="EY17" s="33">
        <f t="shared" ref="EY17" si="132">EX16*$G$17</f>
        <v>3</v>
      </c>
      <c r="EZ17" s="46"/>
      <c r="FA17" s="33">
        <f t="shared" ref="FA17" si="133">EZ16*$G$17</f>
        <v>3</v>
      </c>
      <c r="FB17" s="46"/>
      <c r="FC17" s="33">
        <f t="shared" ref="FC17" si="134">FB16*$G$17</f>
        <v>3</v>
      </c>
      <c r="FD17" s="46"/>
      <c r="FE17" s="33">
        <f t="shared" ref="FE17" si="135">FD16*$G$17</f>
        <v>3</v>
      </c>
      <c r="FF17" s="46"/>
      <c r="FG17" s="33">
        <f t="shared" ref="FG17" si="136">FF16*$G$17</f>
        <v>3</v>
      </c>
      <c r="FH17" s="46"/>
      <c r="FI17" s="33">
        <f t="shared" ref="FI17" si="137">FH16*$G$17</f>
        <v>3</v>
      </c>
      <c r="FJ17" s="46"/>
      <c r="FK17" s="33">
        <f t="shared" ref="FK17" si="138">FJ16*$G$17</f>
        <v>3</v>
      </c>
      <c r="FL17" s="46"/>
      <c r="FM17" s="33">
        <f t="shared" ref="FM17" si="139">FL16*$G$17</f>
        <v>3</v>
      </c>
      <c r="FN17" s="46"/>
      <c r="FO17" s="33">
        <f t="shared" ref="FO17" si="140">FN16*$G$17</f>
        <v>3</v>
      </c>
      <c r="FP17" s="46"/>
      <c r="FQ17" s="33">
        <f t="shared" ref="FQ17" si="141">FP16*$G$17</f>
        <v>3</v>
      </c>
    </row>
    <row r="18" spans="1:174" x14ac:dyDescent="0.35">
      <c r="A18" s="9" t="s">
        <v>96</v>
      </c>
      <c r="B18" s="9">
        <v>913</v>
      </c>
      <c r="C18" s="9" t="s">
        <v>14</v>
      </c>
      <c r="D18" s="9" t="s">
        <v>97</v>
      </c>
      <c r="E18" s="32" t="s">
        <v>115</v>
      </c>
      <c r="F18" s="9">
        <v>3</v>
      </c>
      <c r="G18" s="9">
        <v>4</v>
      </c>
      <c r="H18" s="46"/>
      <c r="I18" s="9">
        <f>H16*G18</f>
        <v>544</v>
      </c>
      <c r="J18" s="46"/>
      <c r="K18" s="33">
        <f>J16*$G$18</f>
        <v>12</v>
      </c>
      <c r="L18" s="46"/>
      <c r="M18" s="33">
        <f>L16*$G$18</f>
        <v>12</v>
      </c>
      <c r="N18" s="46"/>
      <c r="O18" s="33">
        <f>N16*$G$18</f>
        <v>12</v>
      </c>
      <c r="P18" s="46"/>
      <c r="Q18" s="33">
        <f>P16*$G$18</f>
        <v>12</v>
      </c>
      <c r="R18" s="46"/>
      <c r="S18" s="33">
        <f>R16*$G$18</f>
        <v>12</v>
      </c>
      <c r="T18" s="46"/>
      <c r="U18" s="33">
        <f>T16*$G$18</f>
        <v>12</v>
      </c>
      <c r="V18" s="46"/>
      <c r="W18" s="33">
        <f>V16*$G$18</f>
        <v>12</v>
      </c>
      <c r="X18" s="46"/>
      <c r="Y18" s="33">
        <f>X16*$G$18</f>
        <v>12</v>
      </c>
      <c r="Z18" s="46"/>
      <c r="AA18" s="33">
        <f>Z16*$G$18</f>
        <v>12</v>
      </c>
      <c r="AB18" s="46"/>
      <c r="AC18" s="33">
        <f>AB16*$G$18</f>
        <v>12</v>
      </c>
      <c r="AD18" s="46"/>
      <c r="AE18" s="33">
        <f>AD16*$G$18</f>
        <v>12</v>
      </c>
      <c r="AF18" s="46"/>
      <c r="AG18" s="33">
        <f>AF16*$G$18</f>
        <v>12</v>
      </c>
      <c r="AH18" s="46"/>
      <c r="AI18" s="33">
        <f t="shared" ref="AI18" si="142">AH16*$G$18</f>
        <v>8</v>
      </c>
      <c r="AJ18" s="46"/>
      <c r="AK18" s="33">
        <f t="shared" ref="AK18" si="143">AJ16*$G$18</f>
        <v>8</v>
      </c>
      <c r="AL18" s="46"/>
      <c r="AM18" s="33">
        <f t="shared" ref="AM18" si="144">AL16*$G$18</f>
        <v>8</v>
      </c>
      <c r="AN18" s="46"/>
      <c r="AO18" s="33">
        <f t="shared" ref="AO18" si="145">AN16*$G$18</f>
        <v>8</v>
      </c>
      <c r="AP18" s="46"/>
      <c r="AQ18" s="33">
        <f t="shared" ref="AQ18" si="146">AP16*$G$18</f>
        <v>8</v>
      </c>
      <c r="AR18" s="46"/>
      <c r="AS18" s="33">
        <f t="shared" ref="AS18" si="147">AR16*$G$18</f>
        <v>8</v>
      </c>
      <c r="AT18" s="46"/>
      <c r="AU18" s="33">
        <f t="shared" ref="AU18" si="148">AT16*$G$18</f>
        <v>8</v>
      </c>
      <c r="AV18" s="46"/>
      <c r="AW18" s="33">
        <f t="shared" ref="AW18" si="149">AV16*$G$18</f>
        <v>8</v>
      </c>
      <c r="AX18" s="46"/>
      <c r="AY18" s="33">
        <f t="shared" ref="AY18" si="150">AX16*$G$18</f>
        <v>8</v>
      </c>
      <c r="AZ18" s="46"/>
      <c r="BA18" s="33">
        <f t="shared" ref="BA18" si="151">AZ16*$G$18</f>
        <v>8</v>
      </c>
      <c r="BB18" s="46"/>
      <c r="BC18" s="33">
        <f t="shared" ref="BC18" si="152">BB16*$G$18</f>
        <v>8</v>
      </c>
      <c r="BD18" s="46"/>
      <c r="BE18" s="33">
        <f t="shared" ref="BE18" si="153">BD16*$G$18</f>
        <v>8</v>
      </c>
      <c r="BF18" s="46"/>
      <c r="BG18" s="33">
        <f t="shared" ref="BG18" si="154">BF16*$G$18</f>
        <v>8</v>
      </c>
      <c r="BH18" s="46"/>
      <c r="BI18" s="33">
        <f t="shared" ref="BI18" si="155">BH16*$G$18</f>
        <v>8</v>
      </c>
      <c r="BJ18" s="46"/>
      <c r="BK18" s="33">
        <f t="shared" ref="BK18" si="156">BJ16*$G$18</f>
        <v>8</v>
      </c>
      <c r="BL18" s="46"/>
      <c r="BM18" s="33">
        <f t="shared" ref="BM18" si="157">BL16*$G$18</f>
        <v>8</v>
      </c>
      <c r="BN18" s="46"/>
      <c r="BO18" s="33">
        <f t="shared" ref="BO18" si="158">BN16*$G$18</f>
        <v>8</v>
      </c>
      <c r="BP18" s="46"/>
      <c r="BQ18" s="33">
        <f t="shared" ref="BQ18" si="159">BP16*$G$18</f>
        <v>8</v>
      </c>
      <c r="BR18" s="46"/>
      <c r="BS18" s="33">
        <f t="shared" ref="BS18" si="160">BR16*$G$18</f>
        <v>8</v>
      </c>
      <c r="BT18" s="46"/>
      <c r="BU18" s="33">
        <f t="shared" ref="BU18" si="161">BT16*$G$18</f>
        <v>8</v>
      </c>
      <c r="BV18" s="46"/>
      <c r="BW18" s="33">
        <f t="shared" ref="BW18" si="162">BV16*$G$18</f>
        <v>8</v>
      </c>
      <c r="BX18" s="46"/>
      <c r="BY18" s="33">
        <f t="shared" ref="BY18" si="163">BX16*$G$18</f>
        <v>8</v>
      </c>
      <c r="BZ18" s="46"/>
      <c r="CA18" s="33">
        <f t="shared" ref="CA18" si="164">BZ16*$G$18</f>
        <v>8</v>
      </c>
      <c r="CB18" s="46"/>
      <c r="CC18" s="33">
        <f t="shared" ref="CC18" si="165">CB16*$G$18</f>
        <v>8</v>
      </c>
      <c r="CD18" s="46"/>
      <c r="CE18" s="33">
        <f t="shared" ref="CE18" si="166">CD16*$G$18</f>
        <v>8</v>
      </c>
      <c r="CF18" s="46"/>
      <c r="CG18" s="33">
        <f t="shared" ref="CG18" si="167">CF16*$G$18</f>
        <v>8</v>
      </c>
      <c r="CH18" s="46"/>
      <c r="CI18" s="33">
        <f t="shared" ref="CI18" si="168">CH16*$G$18</f>
        <v>8</v>
      </c>
      <c r="CJ18" s="46"/>
      <c r="CK18" s="33">
        <f t="shared" ref="CK18" si="169">CJ16*$G$18</f>
        <v>4</v>
      </c>
      <c r="CL18" s="46"/>
      <c r="CM18" s="33">
        <f t="shared" ref="CM18" si="170">CL16*$G$18</f>
        <v>4</v>
      </c>
      <c r="CN18" s="46"/>
      <c r="CO18" s="33">
        <f t="shared" ref="CO18" si="171">CN16*$G$18</f>
        <v>4</v>
      </c>
      <c r="CP18" s="46"/>
      <c r="CQ18" s="33">
        <f t="shared" ref="CQ18" si="172">CP16*$G$18</f>
        <v>4</v>
      </c>
      <c r="CR18" s="46"/>
      <c r="CS18" s="33">
        <f t="shared" ref="CS18" si="173">CR16*$G$18</f>
        <v>4</v>
      </c>
      <c r="CT18" s="46"/>
      <c r="CU18" s="33">
        <f t="shared" ref="CU18" si="174">CT16*$G$18</f>
        <v>4</v>
      </c>
      <c r="CV18" s="46"/>
      <c r="CW18" s="33">
        <f t="shared" ref="CW18" si="175">CV16*$G$18</f>
        <v>4</v>
      </c>
      <c r="CX18" s="46"/>
      <c r="CY18" s="33">
        <f t="shared" ref="CY18" si="176">CX16*$G$18</f>
        <v>4</v>
      </c>
      <c r="CZ18" s="46"/>
      <c r="DA18" s="33">
        <f t="shared" ref="DA18" si="177">CZ16*$G$18</f>
        <v>4</v>
      </c>
      <c r="DB18" s="46"/>
      <c r="DC18" s="33">
        <f t="shared" ref="DC18" si="178">DB16*$G$18</f>
        <v>4</v>
      </c>
      <c r="DD18" s="46"/>
      <c r="DE18" s="33">
        <f t="shared" ref="DE18" si="179">DD16*$G$18</f>
        <v>4</v>
      </c>
      <c r="DF18" s="46"/>
      <c r="DG18" s="33">
        <f t="shared" ref="DG18" si="180">DF16*$G$18</f>
        <v>4</v>
      </c>
      <c r="DH18" s="46"/>
      <c r="DI18" s="33">
        <f t="shared" ref="DI18" si="181">DH16*$G$18</f>
        <v>4</v>
      </c>
      <c r="DJ18" s="46"/>
      <c r="DK18" s="33">
        <f t="shared" ref="DK18" si="182">DJ16*$G$18</f>
        <v>4</v>
      </c>
      <c r="DL18" s="46"/>
      <c r="DM18" s="33">
        <f t="shared" ref="DM18" si="183">DL16*$G$18</f>
        <v>4</v>
      </c>
      <c r="DN18" s="46"/>
      <c r="DO18" s="33">
        <f t="shared" ref="DO18" si="184">DN16*$G$18</f>
        <v>4</v>
      </c>
      <c r="DP18" s="46"/>
      <c r="DQ18" s="33">
        <f t="shared" ref="DQ18" si="185">DP16*$G$18</f>
        <v>4</v>
      </c>
      <c r="DR18" s="46"/>
      <c r="DS18" s="33">
        <f t="shared" ref="DS18" si="186">DR16*$G$18</f>
        <v>4</v>
      </c>
      <c r="DT18" s="46"/>
      <c r="DU18" s="33">
        <f t="shared" ref="DU18" si="187">DT16*$G$18</f>
        <v>4</v>
      </c>
      <c r="DV18" s="46"/>
      <c r="DW18" s="33">
        <f t="shared" ref="DW18" si="188">DV16*$G$18</f>
        <v>4</v>
      </c>
      <c r="DX18" s="46"/>
      <c r="DY18" s="33">
        <f t="shared" ref="DY18" si="189">DX16*$G$18</f>
        <v>4</v>
      </c>
      <c r="DZ18" s="46"/>
      <c r="EA18" s="33">
        <f t="shared" ref="EA18" si="190">DZ16*$G$18</f>
        <v>4</v>
      </c>
      <c r="EB18" s="46"/>
      <c r="EC18" s="33">
        <f t="shared" ref="EC18" si="191">EB16*$G$18</f>
        <v>4</v>
      </c>
      <c r="ED18" s="46"/>
      <c r="EE18" s="33">
        <f t="shared" ref="EE18" si="192">ED16*$G$18</f>
        <v>4</v>
      </c>
      <c r="EF18" s="46"/>
      <c r="EG18" s="33">
        <f t="shared" ref="EG18" si="193">EF16*$G$18</f>
        <v>4</v>
      </c>
      <c r="EH18" s="46"/>
      <c r="EI18" s="33">
        <f t="shared" ref="EI18" si="194">EH16*$G$18</f>
        <v>4</v>
      </c>
      <c r="EJ18" s="46"/>
      <c r="EK18" s="33">
        <f t="shared" ref="EK18" si="195">EJ16*$G$18</f>
        <v>4</v>
      </c>
      <c r="EL18" s="46"/>
      <c r="EM18" s="33">
        <f t="shared" ref="EM18" si="196">EL16*$G$18</f>
        <v>4</v>
      </c>
      <c r="EN18" s="46"/>
      <c r="EO18" s="33">
        <f t="shared" ref="EO18" si="197">EN16*$G$18</f>
        <v>4</v>
      </c>
      <c r="EP18" s="46"/>
      <c r="EQ18" s="33">
        <f t="shared" ref="EQ18" si="198">EP16*$G$18</f>
        <v>4</v>
      </c>
      <c r="ER18" s="46"/>
      <c r="ES18" s="33">
        <f t="shared" ref="ES18" si="199">ER16*$G$18</f>
        <v>4</v>
      </c>
      <c r="ET18" s="46"/>
      <c r="EU18" s="33">
        <f t="shared" ref="EU18" si="200">ET16*$G$18</f>
        <v>4</v>
      </c>
      <c r="EV18" s="46"/>
      <c r="EW18" s="33">
        <f t="shared" ref="EW18" si="201">EV16*$G$18</f>
        <v>4</v>
      </c>
      <c r="EX18" s="46"/>
      <c r="EY18" s="33">
        <f t="shared" ref="EY18" si="202">EX16*$G$18</f>
        <v>4</v>
      </c>
      <c r="EZ18" s="46"/>
      <c r="FA18" s="33">
        <f t="shared" ref="FA18" si="203">EZ16*$G$18</f>
        <v>4</v>
      </c>
      <c r="FB18" s="46"/>
      <c r="FC18" s="33">
        <f t="shared" ref="FC18" si="204">FB16*$G$18</f>
        <v>4</v>
      </c>
      <c r="FD18" s="46"/>
      <c r="FE18" s="33">
        <f t="shared" ref="FE18" si="205">FD16*$G$18</f>
        <v>4</v>
      </c>
      <c r="FF18" s="46"/>
      <c r="FG18" s="33">
        <f t="shared" ref="FG18" si="206">FF16*$G$18</f>
        <v>4</v>
      </c>
      <c r="FH18" s="46"/>
      <c r="FI18" s="33">
        <f t="shared" ref="FI18" si="207">FH16*$G$18</f>
        <v>4</v>
      </c>
      <c r="FJ18" s="46"/>
      <c r="FK18" s="33">
        <f t="shared" ref="FK18" si="208">FJ16*$G$18</f>
        <v>4</v>
      </c>
      <c r="FL18" s="46"/>
      <c r="FM18" s="33">
        <f t="shared" ref="FM18" si="209">FL16*$G$18</f>
        <v>4</v>
      </c>
      <c r="FN18" s="46"/>
      <c r="FO18" s="33">
        <f t="shared" ref="FO18" si="210">FN16*$G$18</f>
        <v>4</v>
      </c>
      <c r="FP18" s="46"/>
      <c r="FQ18" s="33">
        <f t="shared" ref="FQ18" si="211">FP16*$G$18</f>
        <v>4</v>
      </c>
    </row>
    <row r="19" spans="1:174" x14ac:dyDescent="0.35">
      <c r="A19" s="9" t="s">
        <v>96</v>
      </c>
      <c r="B19" s="9">
        <v>913</v>
      </c>
      <c r="C19" s="9" t="s">
        <v>14</v>
      </c>
      <c r="D19" s="9" t="s">
        <v>97</v>
      </c>
      <c r="E19" s="32" t="s">
        <v>116</v>
      </c>
      <c r="F19" s="9">
        <v>4</v>
      </c>
      <c r="G19" s="9">
        <v>2</v>
      </c>
      <c r="H19" s="46"/>
      <c r="I19" s="9">
        <f>H16*G19</f>
        <v>272</v>
      </c>
      <c r="J19" s="46"/>
      <c r="K19" s="33">
        <f>J16*$G$19</f>
        <v>6</v>
      </c>
      <c r="L19" s="46"/>
      <c r="M19" s="33">
        <f>L16*$G$19</f>
        <v>6</v>
      </c>
      <c r="N19" s="46"/>
      <c r="O19" s="33">
        <f>N16*$G$19</f>
        <v>6</v>
      </c>
      <c r="P19" s="46"/>
      <c r="Q19" s="33">
        <f>P16*$G$19</f>
        <v>6</v>
      </c>
      <c r="R19" s="46"/>
      <c r="S19" s="33">
        <f>R16*$G$19</f>
        <v>6</v>
      </c>
      <c r="T19" s="46"/>
      <c r="U19" s="33">
        <f>T16*$G$19</f>
        <v>6</v>
      </c>
      <c r="V19" s="46"/>
      <c r="W19" s="33">
        <f>V16*$G$19</f>
        <v>6</v>
      </c>
      <c r="X19" s="46"/>
      <c r="Y19" s="33">
        <f>X16*$G$19</f>
        <v>6</v>
      </c>
      <c r="Z19" s="46"/>
      <c r="AA19" s="33">
        <f>Z16*$G$19</f>
        <v>6</v>
      </c>
      <c r="AB19" s="46"/>
      <c r="AC19" s="33">
        <f>AB16*$G$19</f>
        <v>6</v>
      </c>
      <c r="AD19" s="46"/>
      <c r="AE19" s="33">
        <f>AD16*$G$19</f>
        <v>6</v>
      </c>
      <c r="AF19" s="46"/>
      <c r="AG19" s="33">
        <f>AF16*$G$19</f>
        <v>6</v>
      </c>
      <c r="AH19" s="46"/>
      <c r="AI19" s="33">
        <f t="shared" ref="AI19" si="212">AH16*$G$19</f>
        <v>4</v>
      </c>
      <c r="AJ19" s="46"/>
      <c r="AK19" s="33">
        <f t="shared" ref="AK19" si="213">AJ16*$G$19</f>
        <v>4</v>
      </c>
      <c r="AL19" s="46"/>
      <c r="AM19" s="33">
        <f t="shared" ref="AM19" si="214">AL16*$G$19</f>
        <v>4</v>
      </c>
      <c r="AN19" s="46"/>
      <c r="AO19" s="33">
        <f t="shared" ref="AO19" si="215">AN16*$G$19</f>
        <v>4</v>
      </c>
      <c r="AP19" s="46"/>
      <c r="AQ19" s="33">
        <f t="shared" ref="AQ19" si="216">AP16*$G$19</f>
        <v>4</v>
      </c>
      <c r="AR19" s="46"/>
      <c r="AS19" s="33">
        <f t="shared" ref="AS19" si="217">AR16*$G$19</f>
        <v>4</v>
      </c>
      <c r="AT19" s="46"/>
      <c r="AU19" s="33">
        <f t="shared" ref="AU19" si="218">AT16*$G$19</f>
        <v>4</v>
      </c>
      <c r="AV19" s="46"/>
      <c r="AW19" s="33">
        <f t="shared" ref="AW19" si="219">AV16*$G$19</f>
        <v>4</v>
      </c>
      <c r="AX19" s="46"/>
      <c r="AY19" s="33">
        <f t="shared" ref="AY19" si="220">AX16*$G$19</f>
        <v>4</v>
      </c>
      <c r="AZ19" s="46"/>
      <c r="BA19" s="33">
        <f t="shared" ref="BA19" si="221">AZ16*$G$19</f>
        <v>4</v>
      </c>
      <c r="BB19" s="46"/>
      <c r="BC19" s="33">
        <f t="shared" ref="BC19" si="222">BB16*$G$19</f>
        <v>4</v>
      </c>
      <c r="BD19" s="46"/>
      <c r="BE19" s="33">
        <f t="shared" ref="BE19" si="223">BD16*$G$19</f>
        <v>4</v>
      </c>
      <c r="BF19" s="46"/>
      <c r="BG19" s="33">
        <f t="shared" ref="BG19" si="224">BF16*$G$19</f>
        <v>4</v>
      </c>
      <c r="BH19" s="46"/>
      <c r="BI19" s="33">
        <f t="shared" ref="BI19" si="225">BH16*$G$19</f>
        <v>4</v>
      </c>
      <c r="BJ19" s="46"/>
      <c r="BK19" s="33">
        <f t="shared" ref="BK19" si="226">BJ16*$G$19</f>
        <v>4</v>
      </c>
      <c r="BL19" s="46"/>
      <c r="BM19" s="33">
        <f t="shared" ref="BM19" si="227">BL16*$G$19</f>
        <v>4</v>
      </c>
      <c r="BN19" s="46"/>
      <c r="BO19" s="33">
        <f t="shared" ref="BO19" si="228">BN16*$G$19</f>
        <v>4</v>
      </c>
      <c r="BP19" s="46"/>
      <c r="BQ19" s="33">
        <f t="shared" ref="BQ19" si="229">BP16*$G$19</f>
        <v>4</v>
      </c>
      <c r="BR19" s="46"/>
      <c r="BS19" s="33">
        <f t="shared" ref="BS19" si="230">BR16*$G$19</f>
        <v>4</v>
      </c>
      <c r="BT19" s="46"/>
      <c r="BU19" s="33">
        <f t="shared" ref="BU19" si="231">BT16*$G$19</f>
        <v>4</v>
      </c>
      <c r="BV19" s="46"/>
      <c r="BW19" s="33">
        <f t="shared" ref="BW19" si="232">BV16*$G$19</f>
        <v>4</v>
      </c>
      <c r="BX19" s="46"/>
      <c r="BY19" s="33">
        <f t="shared" ref="BY19" si="233">BX16*$G$19</f>
        <v>4</v>
      </c>
      <c r="BZ19" s="46"/>
      <c r="CA19" s="33">
        <f t="shared" ref="CA19" si="234">BZ16*$G$19</f>
        <v>4</v>
      </c>
      <c r="CB19" s="46"/>
      <c r="CC19" s="33">
        <f t="shared" ref="CC19" si="235">CB16*$G$19</f>
        <v>4</v>
      </c>
      <c r="CD19" s="46"/>
      <c r="CE19" s="33">
        <f t="shared" ref="CE19" si="236">CD16*$G$19</f>
        <v>4</v>
      </c>
      <c r="CF19" s="46"/>
      <c r="CG19" s="33">
        <f t="shared" ref="CG19" si="237">CF16*$G$19</f>
        <v>4</v>
      </c>
      <c r="CH19" s="46"/>
      <c r="CI19" s="33">
        <f t="shared" ref="CI19" si="238">CH16*$G$19</f>
        <v>4</v>
      </c>
      <c r="CJ19" s="46"/>
      <c r="CK19" s="33">
        <f t="shared" ref="CK19" si="239">CJ16*$G$19</f>
        <v>2</v>
      </c>
      <c r="CL19" s="46"/>
      <c r="CM19" s="33">
        <f t="shared" ref="CM19" si="240">CL16*$G$19</f>
        <v>2</v>
      </c>
      <c r="CN19" s="46"/>
      <c r="CO19" s="33">
        <f t="shared" ref="CO19" si="241">CN16*$G$19</f>
        <v>2</v>
      </c>
      <c r="CP19" s="46"/>
      <c r="CQ19" s="33">
        <f t="shared" ref="CQ19" si="242">CP16*$G$19</f>
        <v>2</v>
      </c>
      <c r="CR19" s="46"/>
      <c r="CS19" s="33">
        <f t="shared" ref="CS19" si="243">CR16*$G$19</f>
        <v>2</v>
      </c>
      <c r="CT19" s="46"/>
      <c r="CU19" s="33">
        <f t="shared" ref="CU19" si="244">CT16*$G$19</f>
        <v>2</v>
      </c>
      <c r="CV19" s="46"/>
      <c r="CW19" s="33">
        <f t="shared" ref="CW19" si="245">CV16*$G$19</f>
        <v>2</v>
      </c>
      <c r="CX19" s="46"/>
      <c r="CY19" s="33">
        <f t="shared" ref="CY19" si="246">CX16*$G$19</f>
        <v>2</v>
      </c>
      <c r="CZ19" s="46"/>
      <c r="DA19" s="33">
        <f t="shared" ref="DA19" si="247">CZ16*$G$19</f>
        <v>2</v>
      </c>
      <c r="DB19" s="46"/>
      <c r="DC19" s="33">
        <f t="shared" ref="DC19" si="248">DB16*$G$19</f>
        <v>2</v>
      </c>
      <c r="DD19" s="46"/>
      <c r="DE19" s="33">
        <f t="shared" ref="DE19" si="249">DD16*$G$19</f>
        <v>2</v>
      </c>
      <c r="DF19" s="46"/>
      <c r="DG19" s="33">
        <f t="shared" ref="DG19" si="250">DF16*$G$19</f>
        <v>2</v>
      </c>
      <c r="DH19" s="46"/>
      <c r="DI19" s="33">
        <f t="shared" ref="DI19" si="251">DH16*$G$19</f>
        <v>2</v>
      </c>
      <c r="DJ19" s="46"/>
      <c r="DK19" s="33">
        <f t="shared" ref="DK19" si="252">DJ16*$G$19</f>
        <v>2</v>
      </c>
      <c r="DL19" s="46"/>
      <c r="DM19" s="33">
        <f t="shared" ref="DM19" si="253">DL16*$G$19</f>
        <v>2</v>
      </c>
      <c r="DN19" s="46"/>
      <c r="DO19" s="33">
        <f t="shared" ref="DO19" si="254">DN16*$G$19</f>
        <v>2</v>
      </c>
      <c r="DP19" s="46"/>
      <c r="DQ19" s="33">
        <f t="shared" ref="DQ19" si="255">DP16*$G$19</f>
        <v>2</v>
      </c>
      <c r="DR19" s="46"/>
      <c r="DS19" s="33">
        <f t="shared" ref="DS19" si="256">DR16*$G$19</f>
        <v>2</v>
      </c>
      <c r="DT19" s="46"/>
      <c r="DU19" s="33">
        <f t="shared" ref="DU19" si="257">DT16*$G$19</f>
        <v>2</v>
      </c>
      <c r="DV19" s="46"/>
      <c r="DW19" s="33">
        <f t="shared" ref="DW19" si="258">DV16*$G$19</f>
        <v>2</v>
      </c>
      <c r="DX19" s="46"/>
      <c r="DY19" s="33">
        <f t="shared" ref="DY19" si="259">DX16*$G$19</f>
        <v>2</v>
      </c>
      <c r="DZ19" s="46"/>
      <c r="EA19" s="33">
        <f t="shared" ref="EA19" si="260">DZ16*$G$19</f>
        <v>2</v>
      </c>
      <c r="EB19" s="46"/>
      <c r="EC19" s="33">
        <f t="shared" ref="EC19" si="261">EB16*$G$19</f>
        <v>2</v>
      </c>
      <c r="ED19" s="46"/>
      <c r="EE19" s="33">
        <f t="shared" ref="EE19" si="262">ED16*$G$19</f>
        <v>2</v>
      </c>
      <c r="EF19" s="46"/>
      <c r="EG19" s="33">
        <f t="shared" ref="EG19" si="263">EF16*$G$19</f>
        <v>2</v>
      </c>
      <c r="EH19" s="46"/>
      <c r="EI19" s="33">
        <f t="shared" ref="EI19" si="264">EH16*$G$19</f>
        <v>2</v>
      </c>
      <c r="EJ19" s="46"/>
      <c r="EK19" s="33">
        <f t="shared" ref="EK19" si="265">EJ16*$G$19</f>
        <v>2</v>
      </c>
      <c r="EL19" s="46"/>
      <c r="EM19" s="33">
        <f t="shared" ref="EM19" si="266">EL16*$G$19</f>
        <v>2</v>
      </c>
      <c r="EN19" s="46"/>
      <c r="EO19" s="33">
        <f t="shared" ref="EO19" si="267">EN16*$G$19</f>
        <v>2</v>
      </c>
      <c r="EP19" s="46"/>
      <c r="EQ19" s="33">
        <f t="shared" ref="EQ19" si="268">EP16*$G$19</f>
        <v>2</v>
      </c>
      <c r="ER19" s="46"/>
      <c r="ES19" s="33">
        <f t="shared" ref="ES19" si="269">ER16*$G$19</f>
        <v>2</v>
      </c>
      <c r="ET19" s="46"/>
      <c r="EU19" s="33">
        <f t="shared" ref="EU19" si="270">ET16*$G$19</f>
        <v>2</v>
      </c>
      <c r="EV19" s="46"/>
      <c r="EW19" s="33">
        <f t="shared" ref="EW19" si="271">EV16*$G$19</f>
        <v>2</v>
      </c>
      <c r="EX19" s="46"/>
      <c r="EY19" s="33">
        <f t="shared" ref="EY19" si="272">EX16*$G$19</f>
        <v>2</v>
      </c>
      <c r="EZ19" s="46"/>
      <c r="FA19" s="33">
        <f t="shared" ref="FA19" si="273">EZ16*$G$19</f>
        <v>2</v>
      </c>
      <c r="FB19" s="46"/>
      <c r="FC19" s="33">
        <f t="shared" ref="FC19" si="274">FB16*$G$19</f>
        <v>2</v>
      </c>
      <c r="FD19" s="46"/>
      <c r="FE19" s="33">
        <f t="shared" ref="FE19" si="275">FD16*$G$19</f>
        <v>2</v>
      </c>
      <c r="FF19" s="46"/>
      <c r="FG19" s="33">
        <f t="shared" ref="FG19" si="276">FF16*$G$19</f>
        <v>2</v>
      </c>
      <c r="FH19" s="46"/>
      <c r="FI19" s="33">
        <f t="shared" ref="FI19" si="277">FH16*$G$19</f>
        <v>2</v>
      </c>
      <c r="FJ19" s="46"/>
      <c r="FK19" s="33">
        <f t="shared" ref="FK19" si="278">FJ16*$G$19</f>
        <v>2</v>
      </c>
      <c r="FL19" s="46"/>
      <c r="FM19" s="33">
        <f t="shared" ref="FM19" si="279">FL16*$G$19</f>
        <v>2</v>
      </c>
      <c r="FN19" s="46"/>
      <c r="FO19" s="33">
        <f t="shared" ref="FO19" si="280">FN16*$G$19</f>
        <v>2</v>
      </c>
      <c r="FP19" s="46"/>
      <c r="FQ19" s="33">
        <f t="shared" ref="FQ19" si="281">FP16*$G$19</f>
        <v>2</v>
      </c>
    </row>
    <row r="20" spans="1:174" x14ac:dyDescent="0.35">
      <c r="A20" s="9" t="s">
        <v>96</v>
      </c>
      <c r="B20" s="9">
        <v>913</v>
      </c>
      <c r="C20" s="9" t="s">
        <v>14</v>
      </c>
      <c r="D20" s="9" t="s">
        <v>97</v>
      </c>
      <c r="E20" s="32" t="s">
        <v>117</v>
      </c>
      <c r="F20" s="9">
        <v>5</v>
      </c>
      <c r="G20" s="9">
        <v>1</v>
      </c>
      <c r="H20" s="46"/>
      <c r="I20" s="9">
        <f>H16*G20</f>
        <v>136</v>
      </c>
      <c r="J20" s="46"/>
      <c r="K20" s="33">
        <f>J16*$G$20</f>
        <v>3</v>
      </c>
      <c r="L20" s="46"/>
      <c r="M20" s="33">
        <f>L16*$G$20</f>
        <v>3</v>
      </c>
      <c r="N20" s="46"/>
      <c r="O20" s="33">
        <f>N16*$G$20</f>
        <v>3</v>
      </c>
      <c r="P20" s="46"/>
      <c r="Q20" s="33">
        <f>P16*$G$20</f>
        <v>3</v>
      </c>
      <c r="R20" s="46"/>
      <c r="S20" s="33">
        <f>R16*$G$20</f>
        <v>3</v>
      </c>
      <c r="T20" s="46"/>
      <c r="U20" s="33">
        <f>T16*$G$20</f>
        <v>3</v>
      </c>
      <c r="V20" s="46"/>
      <c r="W20" s="33">
        <f>V16*$G$20</f>
        <v>3</v>
      </c>
      <c r="X20" s="46"/>
      <c r="Y20" s="33">
        <f>X16*$G$20</f>
        <v>3</v>
      </c>
      <c r="Z20" s="46"/>
      <c r="AA20" s="33">
        <f>Z16*$G$20</f>
        <v>3</v>
      </c>
      <c r="AB20" s="46"/>
      <c r="AC20" s="33">
        <f>AB16*$G$20</f>
        <v>3</v>
      </c>
      <c r="AD20" s="46"/>
      <c r="AE20" s="33">
        <f>AD16*$G$20</f>
        <v>3</v>
      </c>
      <c r="AF20" s="46"/>
      <c r="AG20" s="33">
        <f>AF16*$G$20</f>
        <v>3</v>
      </c>
      <c r="AH20" s="46"/>
      <c r="AI20" s="33">
        <f t="shared" ref="AI20" si="282">AH16*$G$20</f>
        <v>2</v>
      </c>
      <c r="AJ20" s="46"/>
      <c r="AK20" s="33">
        <f t="shared" ref="AK20" si="283">AJ16*$G$20</f>
        <v>2</v>
      </c>
      <c r="AL20" s="46"/>
      <c r="AM20" s="33">
        <f t="shared" ref="AM20" si="284">AL16*$G$20</f>
        <v>2</v>
      </c>
      <c r="AN20" s="46"/>
      <c r="AO20" s="33">
        <f t="shared" ref="AO20" si="285">AN16*$G$20</f>
        <v>2</v>
      </c>
      <c r="AP20" s="46"/>
      <c r="AQ20" s="33">
        <f t="shared" ref="AQ20" si="286">AP16*$G$20</f>
        <v>2</v>
      </c>
      <c r="AR20" s="46"/>
      <c r="AS20" s="33">
        <f t="shared" ref="AS20" si="287">AR16*$G$20</f>
        <v>2</v>
      </c>
      <c r="AT20" s="46"/>
      <c r="AU20" s="33">
        <f t="shared" ref="AU20" si="288">AT16*$G$20</f>
        <v>2</v>
      </c>
      <c r="AV20" s="46"/>
      <c r="AW20" s="33">
        <f t="shared" ref="AW20" si="289">AV16*$G$20</f>
        <v>2</v>
      </c>
      <c r="AX20" s="46"/>
      <c r="AY20" s="33">
        <f t="shared" ref="AY20" si="290">AX16*$G$20</f>
        <v>2</v>
      </c>
      <c r="AZ20" s="46"/>
      <c r="BA20" s="33">
        <f t="shared" ref="BA20" si="291">AZ16*$G$20</f>
        <v>2</v>
      </c>
      <c r="BB20" s="46"/>
      <c r="BC20" s="33">
        <f t="shared" ref="BC20" si="292">BB16*$G$20</f>
        <v>2</v>
      </c>
      <c r="BD20" s="46"/>
      <c r="BE20" s="33">
        <f t="shared" ref="BE20" si="293">BD16*$G$20</f>
        <v>2</v>
      </c>
      <c r="BF20" s="46"/>
      <c r="BG20" s="33">
        <f t="shared" ref="BG20" si="294">BF16*$G$20</f>
        <v>2</v>
      </c>
      <c r="BH20" s="46"/>
      <c r="BI20" s="33">
        <f t="shared" ref="BI20" si="295">BH16*$G$20</f>
        <v>2</v>
      </c>
      <c r="BJ20" s="46"/>
      <c r="BK20" s="33">
        <f t="shared" ref="BK20" si="296">BJ16*$G$20</f>
        <v>2</v>
      </c>
      <c r="BL20" s="46"/>
      <c r="BM20" s="33">
        <f t="shared" ref="BM20" si="297">BL16*$G$20</f>
        <v>2</v>
      </c>
      <c r="BN20" s="46"/>
      <c r="BO20" s="33">
        <f t="shared" ref="BO20" si="298">BN16*$G$20</f>
        <v>2</v>
      </c>
      <c r="BP20" s="46"/>
      <c r="BQ20" s="33">
        <f t="shared" ref="BQ20" si="299">BP16*$G$20</f>
        <v>2</v>
      </c>
      <c r="BR20" s="46"/>
      <c r="BS20" s="33">
        <f t="shared" ref="BS20" si="300">BR16*$G$20</f>
        <v>2</v>
      </c>
      <c r="BT20" s="46"/>
      <c r="BU20" s="33">
        <f t="shared" ref="BU20" si="301">BT16*$G$20</f>
        <v>2</v>
      </c>
      <c r="BV20" s="46"/>
      <c r="BW20" s="33">
        <f t="shared" ref="BW20" si="302">BV16*$G$20</f>
        <v>2</v>
      </c>
      <c r="BX20" s="46"/>
      <c r="BY20" s="33">
        <f t="shared" ref="BY20" si="303">BX16*$G$20</f>
        <v>2</v>
      </c>
      <c r="BZ20" s="46"/>
      <c r="CA20" s="33">
        <f t="shared" ref="CA20" si="304">BZ16*$G$20</f>
        <v>2</v>
      </c>
      <c r="CB20" s="46"/>
      <c r="CC20" s="33">
        <f t="shared" ref="CC20" si="305">CB16*$G$20</f>
        <v>2</v>
      </c>
      <c r="CD20" s="46"/>
      <c r="CE20" s="33">
        <f t="shared" ref="CE20" si="306">CD16*$G$20</f>
        <v>2</v>
      </c>
      <c r="CF20" s="46"/>
      <c r="CG20" s="33">
        <f t="shared" ref="CG20" si="307">CF16*$G$20</f>
        <v>2</v>
      </c>
      <c r="CH20" s="46"/>
      <c r="CI20" s="33">
        <f t="shared" ref="CI20" si="308">CH16*$G$20</f>
        <v>2</v>
      </c>
      <c r="CJ20" s="46"/>
      <c r="CK20" s="33">
        <f t="shared" ref="CK20" si="309">CJ16*$G$20</f>
        <v>1</v>
      </c>
      <c r="CL20" s="46"/>
      <c r="CM20" s="33">
        <f t="shared" ref="CM20" si="310">CL16*$G$20</f>
        <v>1</v>
      </c>
      <c r="CN20" s="46"/>
      <c r="CO20" s="33">
        <f t="shared" ref="CO20" si="311">CN16*$G$20</f>
        <v>1</v>
      </c>
      <c r="CP20" s="46"/>
      <c r="CQ20" s="33">
        <f t="shared" ref="CQ20" si="312">CP16*$G$20</f>
        <v>1</v>
      </c>
      <c r="CR20" s="46"/>
      <c r="CS20" s="33">
        <f t="shared" ref="CS20" si="313">CR16*$G$20</f>
        <v>1</v>
      </c>
      <c r="CT20" s="46"/>
      <c r="CU20" s="33">
        <f t="shared" ref="CU20" si="314">CT16*$G$20</f>
        <v>1</v>
      </c>
      <c r="CV20" s="46"/>
      <c r="CW20" s="33">
        <f t="shared" ref="CW20" si="315">CV16*$G$20</f>
        <v>1</v>
      </c>
      <c r="CX20" s="46"/>
      <c r="CY20" s="33">
        <f t="shared" ref="CY20" si="316">CX16*$G$20</f>
        <v>1</v>
      </c>
      <c r="CZ20" s="46"/>
      <c r="DA20" s="33">
        <f t="shared" ref="DA20" si="317">CZ16*$G$20</f>
        <v>1</v>
      </c>
      <c r="DB20" s="46"/>
      <c r="DC20" s="33">
        <f t="shared" ref="DC20" si="318">DB16*$G$20</f>
        <v>1</v>
      </c>
      <c r="DD20" s="46"/>
      <c r="DE20" s="33">
        <f t="shared" ref="DE20" si="319">DD16*$G$20</f>
        <v>1</v>
      </c>
      <c r="DF20" s="46"/>
      <c r="DG20" s="33">
        <f t="shared" ref="DG20" si="320">DF16*$G$20</f>
        <v>1</v>
      </c>
      <c r="DH20" s="46"/>
      <c r="DI20" s="33">
        <f t="shared" ref="DI20" si="321">DH16*$G$20</f>
        <v>1</v>
      </c>
      <c r="DJ20" s="46"/>
      <c r="DK20" s="33">
        <f t="shared" ref="DK20" si="322">DJ16*$G$20</f>
        <v>1</v>
      </c>
      <c r="DL20" s="46"/>
      <c r="DM20" s="33">
        <f t="shared" ref="DM20" si="323">DL16*$G$20</f>
        <v>1</v>
      </c>
      <c r="DN20" s="46"/>
      <c r="DO20" s="33">
        <f t="shared" ref="DO20" si="324">DN16*$G$20</f>
        <v>1</v>
      </c>
      <c r="DP20" s="46"/>
      <c r="DQ20" s="33">
        <f t="shared" ref="DQ20" si="325">DP16*$G$20</f>
        <v>1</v>
      </c>
      <c r="DR20" s="46"/>
      <c r="DS20" s="33">
        <f t="shared" ref="DS20" si="326">DR16*$G$20</f>
        <v>1</v>
      </c>
      <c r="DT20" s="46"/>
      <c r="DU20" s="33">
        <f t="shared" ref="DU20" si="327">DT16*$G$20</f>
        <v>1</v>
      </c>
      <c r="DV20" s="46"/>
      <c r="DW20" s="33">
        <f t="shared" ref="DW20" si="328">DV16*$G$20</f>
        <v>1</v>
      </c>
      <c r="DX20" s="46"/>
      <c r="DY20" s="33">
        <f t="shared" ref="DY20" si="329">DX16*$G$20</f>
        <v>1</v>
      </c>
      <c r="DZ20" s="46"/>
      <c r="EA20" s="33">
        <f t="shared" ref="EA20" si="330">DZ16*$G$20</f>
        <v>1</v>
      </c>
      <c r="EB20" s="46"/>
      <c r="EC20" s="33">
        <f t="shared" ref="EC20" si="331">EB16*$G$20</f>
        <v>1</v>
      </c>
      <c r="ED20" s="46"/>
      <c r="EE20" s="33">
        <f t="shared" ref="EE20" si="332">ED16*$G$20</f>
        <v>1</v>
      </c>
      <c r="EF20" s="46"/>
      <c r="EG20" s="33">
        <f t="shared" ref="EG20" si="333">EF16*$G$20</f>
        <v>1</v>
      </c>
      <c r="EH20" s="46"/>
      <c r="EI20" s="33">
        <f t="shared" ref="EI20" si="334">EH16*$G$20</f>
        <v>1</v>
      </c>
      <c r="EJ20" s="46"/>
      <c r="EK20" s="33">
        <f t="shared" ref="EK20" si="335">EJ16*$G$20</f>
        <v>1</v>
      </c>
      <c r="EL20" s="46"/>
      <c r="EM20" s="33">
        <f t="shared" ref="EM20" si="336">EL16*$G$20</f>
        <v>1</v>
      </c>
      <c r="EN20" s="46"/>
      <c r="EO20" s="33">
        <f t="shared" ref="EO20" si="337">EN16*$G$20</f>
        <v>1</v>
      </c>
      <c r="EP20" s="46"/>
      <c r="EQ20" s="33">
        <f t="shared" ref="EQ20" si="338">EP16*$G$20</f>
        <v>1</v>
      </c>
      <c r="ER20" s="46"/>
      <c r="ES20" s="33">
        <f t="shared" ref="ES20" si="339">ER16*$G$20</f>
        <v>1</v>
      </c>
      <c r="ET20" s="46"/>
      <c r="EU20" s="33">
        <f t="shared" ref="EU20" si="340">ET16*$G$20</f>
        <v>1</v>
      </c>
      <c r="EV20" s="46"/>
      <c r="EW20" s="33">
        <f t="shared" ref="EW20" si="341">EV16*$G$20</f>
        <v>1</v>
      </c>
      <c r="EX20" s="46"/>
      <c r="EY20" s="33">
        <f t="shared" ref="EY20" si="342">EX16*$G$20</f>
        <v>1</v>
      </c>
      <c r="EZ20" s="46"/>
      <c r="FA20" s="33">
        <f t="shared" ref="FA20" si="343">EZ16*$G$20</f>
        <v>1</v>
      </c>
      <c r="FB20" s="46"/>
      <c r="FC20" s="33">
        <f t="shared" ref="FC20" si="344">FB16*$G$20</f>
        <v>1</v>
      </c>
      <c r="FD20" s="46"/>
      <c r="FE20" s="33">
        <f t="shared" ref="FE20" si="345">FD16*$G$20</f>
        <v>1</v>
      </c>
      <c r="FF20" s="46"/>
      <c r="FG20" s="33">
        <f t="shared" ref="FG20" si="346">FF16*$G$20</f>
        <v>1</v>
      </c>
      <c r="FH20" s="46"/>
      <c r="FI20" s="33">
        <f t="shared" ref="FI20" si="347">FH16*$G$20</f>
        <v>1</v>
      </c>
      <c r="FJ20" s="46"/>
      <c r="FK20" s="33">
        <f t="shared" ref="FK20" si="348">FJ16*$G$20</f>
        <v>1</v>
      </c>
      <c r="FL20" s="46"/>
      <c r="FM20" s="33">
        <f t="shared" ref="FM20" si="349">FL16*$G$20</f>
        <v>1</v>
      </c>
      <c r="FN20" s="46"/>
      <c r="FO20" s="33">
        <f t="shared" ref="FO20" si="350">FN16*$G$20</f>
        <v>1</v>
      </c>
      <c r="FP20" s="46"/>
      <c r="FQ20" s="33">
        <f t="shared" ref="FQ20" si="351">FP16*$G$20</f>
        <v>1</v>
      </c>
    </row>
    <row r="21" spans="1:174" x14ac:dyDescent="0.35">
      <c r="A21" s="9" t="s">
        <v>96</v>
      </c>
      <c r="B21" s="9">
        <v>913</v>
      </c>
      <c r="C21" s="9" t="s">
        <v>14</v>
      </c>
      <c r="D21" s="9" t="s">
        <v>97</v>
      </c>
      <c r="E21" s="32" t="s">
        <v>118</v>
      </c>
      <c r="F21" s="9">
        <v>6</v>
      </c>
      <c r="G21" s="9">
        <v>0</v>
      </c>
      <c r="H21" s="46"/>
      <c r="I21" s="9">
        <f>H16*G21</f>
        <v>0</v>
      </c>
      <c r="J21" s="46"/>
      <c r="K21" s="33">
        <f>J16*$G$21</f>
        <v>0</v>
      </c>
      <c r="L21" s="46"/>
      <c r="M21" s="33">
        <f>L16*$G$21</f>
        <v>0</v>
      </c>
      <c r="N21" s="46"/>
      <c r="O21" s="33">
        <f>N16*$G$21</f>
        <v>0</v>
      </c>
      <c r="P21" s="46"/>
      <c r="Q21" s="33">
        <f>P16*$G$21</f>
        <v>0</v>
      </c>
      <c r="R21" s="46"/>
      <c r="S21" s="33">
        <f>R16*$G$21</f>
        <v>0</v>
      </c>
      <c r="T21" s="46"/>
      <c r="U21" s="33">
        <f>T16*$G$21</f>
        <v>0</v>
      </c>
      <c r="V21" s="46"/>
      <c r="W21" s="33">
        <f>V16*$G$21</f>
        <v>0</v>
      </c>
      <c r="X21" s="46"/>
      <c r="Y21" s="33">
        <f>X16*$G$21</f>
        <v>0</v>
      </c>
      <c r="Z21" s="46"/>
      <c r="AA21" s="33">
        <f>Z16*$G$21</f>
        <v>0</v>
      </c>
      <c r="AB21" s="46"/>
      <c r="AC21" s="33">
        <f>AB16*$G$21</f>
        <v>0</v>
      </c>
      <c r="AD21" s="46"/>
      <c r="AE21" s="33">
        <f>AD16*$G$21</f>
        <v>0</v>
      </c>
      <c r="AF21" s="46"/>
      <c r="AG21" s="33">
        <f>AF16*$G$21</f>
        <v>0</v>
      </c>
      <c r="AH21" s="46"/>
      <c r="AI21" s="33">
        <f t="shared" ref="AI21" si="352">AH16*$G$21</f>
        <v>0</v>
      </c>
      <c r="AJ21" s="46"/>
      <c r="AK21" s="33">
        <f t="shared" ref="AK21" si="353">AJ16*$G$21</f>
        <v>0</v>
      </c>
      <c r="AL21" s="46"/>
      <c r="AM21" s="33">
        <f t="shared" ref="AM21" si="354">AL16*$G$21</f>
        <v>0</v>
      </c>
      <c r="AN21" s="46"/>
      <c r="AO21" s="33">
        <f t="shared" ref="AO21" si="355">AN16*$G$21</f>
        <v>0</v>
      </c>
      <c r="AP21" s="46"/>
      <c r="AQ21" s="33">
        <f t="shared" ref="AQ21" si="356">AP16*$G$21</f>
        <v>0</v>
      </c>
      <c r="AR21" s="46"/>
      <c r="AS21" s="33">
        <f t="shared" ref="AS21" si="357">AR16*$G$21</f>
        <v>0</v>
      </c>
      <c r="AT21" s="46"/>
      <c r="AU21" s="33">
        <f t="shared" ref="AU21" si="358">AT16*$G$21</f>
        <v>0</v>
      </c>
      <c r="AV21" s="46"/>
      <c r="AW21" s="33">
        <f t="shared" ref="AW21" si="359">AV16*$G$21</f>
        <v>0</v>
      </c>
      <c r="AX21" s="46"/>
      <c r="AY21" s="33">
        <f t="shared" ref="AY21" si="360">AX16*$G$21</f>
        <v>0</v>
      </c>
      <c r="AZ21" s="46"/>
      <c r="BA21" s="33">
        <f t="shared" ref="BA21" si="361">AZ16*$G$21</f>
        <v>0</v>
      </c>
      <c r="BB21" s="46"/>
      <c r="BC21" s="33">
        <f t="shared" ref="BC21" si="362">BB16*$G$21</f>
        <v>0</v>
      </c>
      <c r="BD21" s="46"/>
      <c r="BE21" s="33">
        <f t="shared" ref="BE21" si="363">BD16*$G$21</f>
        <v>0</v>
      </c>
      <c r="BF21" s="46"/>
      <c r="BG21" s="33">
        <f t="shared" ref="BG21" si="364">BF16*$G$21</f>
        <v>0</v>
      </c>
      <c r="BH21" s="46"/>
      <c r="BI21" s="33">
        <f t="shared" ref="BI21" si="365">BH16*$G$21</f>
        <v>0</v>
      </c>
      <c r="BJ21" s="46"/>
      <c r="BK21" s="33">
        <f t="shared" ref="BK21" si="366">BJ16*$G$21</f>
        <v>0</v>
      </c>
      <c r="BL21" s="46"/>
      <c r="BM21" s="33">
        <f t="shared" ref="BM21" si="367">BL16*$G$21</f>
        <v>0</v>
      </c>
      <c r="BN21" s="46"/>
      <c r="BO21" s="33">
        <f t="shared" ref="BO21" si="368">BN16*$G$21</f>
        <v>0</v>
      </c>
      <c r="BP21" s="46"/>
      <c r="BQ21" s="33">
        <f t="shared" ref="BQ21" si="369">BP16*$G$21</f>
        <v>0</v>
      </c>
      <c r="BR21" s="46"/>
      <c r="BS21" s="33">
        <f t="shared" ref="BS21" si="370">BR16*$G$21</f>
        <v>0</v>
      </c>
      <c r="BT21" s="46"/>
      <c r="BU21" s="33">
        <f t="shared" ref="BU21" si="371">BT16*$G$21</f>
        <v>0</v>
      </c>
      <c r="BV21" s="46"/>
      <c r="BW21" s="33">
        <f t="shared" ref="BW21" si="372">BV16*$G$21</f>
        <v>0</v>
      </c>
      <c r="BX21" s="46"/>
      <c r="BY21" s="33">
        <f t="shared" ref="BY21" si="373">BX16*$G$21</f>
        <v>0</v>
      </c>
      <c r="BZ21" s="46"/>
      <c r="CA21" s="33">
        <f t="shared" ref="CA21" si="374">BZ16*$G$21</f>
        <v>0</v>
      </c>
      <c r="CB21" s="46"/>
      <c r="CC21" s="33">
        <f t="shared" ref="CC21" si="375">CB16*$G$21</f>
        <v>0</v>
      </c>
      <c r="CD21" s="46"/>
      <c r="CE21" s="33">
        <f t="shared" ref="CE21" si="376">CD16*$G$21</f>
        <v>0</v>
      </c>
      <c r="CF21" s="46"/>
      <c r="CG21" s="33">
        <f t="shared" ref="CG21" si="377">CF16*$G$21</f>
        <v>0</v>
      </c>
      <c r="CH21" s="46"/>
      <c r="CI21" s="33">
        <f t="shared" ref="CI21" si="378">CH16*$G$21</f>
        <v>0</v>
      </c>
      <c r="CJ21" s="46"/>
      <c r="CK21" s="33">
        <f t="shared" ref="CK21" si="379">CJ16*$G$21</f>
        <v>0</v>
      </c>
      <c r="CL21" s="46"/>
      <c r="CM21" s="33">
        <f t="shared" ref="CM21" si="380">CL16*$G$21</f>
        <v>0</v>
      </c>
      <c r="CN21" s="46"/>
      <c r="CO21" s="33">
        <f t="shared" ref="CO21" si="381">CN16*$G$21</f>
        <v>0</v>
      </c>
      <c r="CP21" s="46"/>
      <c r="CQ21" s="33">
        <f t="shared" ref="CQ21" si="382">CP16*$G$21</f>
        <v>0</v>
      </c>
      <c r="CR21" s="46"/>
      <c r="CS21" s="33">
        <f t="shared" ref="CS21" si="383">CR16*$G$21</f>
        <v>0</v>
      </c>
      <c r="CT21" s="46"/>
      <c r="CU21" s="33">
        <f t="shared" ref="CU21" si="384">CT16*$G$21</f>
        <v>0</v>
      </c>
      <c r="CV21" s="46"/>
      <c r="CW21" s="33">
        <f t="shared" ref="CW21" si="385">CV16*$G$21</f>
        <v>0</v>
      </c>
      <c r="CX21" s="46"/>
      <c r="CY21" s="33">
        <f t="shared" ref="CY21" si="386">CX16*$G$21</f>
        <v>0</v>
      </c>
      <c r="CZ21" s="46"/>
      <c r="DA21" s="33">
        <f t="shared" ref="DA21" si="387">CZ16*$G$21</f>
        <v>0</v>
      </c>
      <c r="DB21" s="46"/>
      <c r="DC21" s="33">
        <f t="shared" ref="DC21" si="388">DB16*$G$21</f>
        <v>0</v>
      </c>
      <c r="DD21" s="46"/>
      <c r="DE21" s="33">
        <f t="shared" ref="DE21" si="389">DD16*$G$21</f>
        <v>0</v>
      </c>
      <c r="DF21" s="46"/>
      <c r="DG21" s="33">
        <f t="shared" ref="DG21" si="390">DF16*$G$21</f>
        <v>0</v>
      </c>
      <c r="DH21" s="46"/>
      <c r="DI21" s="33">
        <f t="shared" ref="DI21" si="391">DH16*$G$21</f>
        <v>0</v>
      </c>
      <c r="DJ21" s="46"/>
      <c r="DK21" s="33">
        <f t="shared" ref="DK21" si="392">DJ16*$G$21</f>
        <v>0</v>
      </c>
      <c r="DL21" s="46"/>
      <c r="DM21" s="33">
        <f t="shared" ref="DM21" si="393">DL16*$G$21</f>
        <v>0</v>
      </c>
      <c r="DN21" s="46"/>
      <c r="DO21" s="33">
        <f t="shared" ref="DO21" si="394">DN16*$G$21</f>
        <v>0</v>
      </c>
      <c r="DP21" s="46"/>
      <c r="DQ21" s="33">
        <f t="shared" ref="DQ21" si="395">DP16*$G$21</f>
        <v>0</v>
      </c>
      <c r="DR21" s="46"/>
      <c r="DS21" s="33">
        <f t="shared" ref="DS21" si="396">DR16*$G$21</f>
        <v>0</v>
      </c>
      <c r="DT21" s="46"/>
      <c r="DU21" s="33">
        <f t="shared" ref="DU21" si="397">DT16*$G$21</f>
        <v>0</v>
      </c>
      <c r="DV21" s="46"/>
      <c r="DW21" s="33">
        <f t="shared" ref="DW21" si="398">DV16*$G$21</f>
        <v>0</v>
      </c>
      <c r="DX21" s="46"/>
      <c r="DY21" s="33">
        <f t="shared" ref="DY21" si="399">DX16*$G$21</f>
        <v>0</v>
      </c>
      <c r="DZ21" s="46"/>
      <c r="EA21" s="33">
        <f t="shared" ref="EA21" si="400">DZ16*$G$21</f>
        <v>0</v>
      </c>
      <c r="EB21" s="46"/>
      <c r="EC21" s="33">
        <f t="shared" ref="EC21" si="401">EB16*$G$21</f>
        <v>0</v>
      </c>
      <c r="ED21" s="46"/>
      <c r="EE21" s="33">
        <f t="shared" ref="EE21" si="402">ED16*$G$21</f>
        <v>0</v>
      </c>
      <c r="EF21" s="46"/>
      <c r="EG21" s="33">
        <f t="shared" ref="EG21" si="403">EF16*$G$21</f>
        <v>0</v>
      </c>
      <c r="EH21" s="46"/>
      <c r="EI21" s="33">
        <f t="shared" ref="EI21" si="404">EH16*$G$21</f>
        <v>0</v>
      </c>
      <c r="EJ21" s="46"/>
      <c r="EK21" s="33">
        <f t="shared" ref="EK21" si="405">EJ16*$G$21</f>
        <v>0</v>
      </c>
      <c r="EL21" s="46"/>
      <c r="EM21" s="33">
        <f t="shared" ref="EM21" si="406">EL16*$G$21</f>
        <v>0</v>
      </c>
      <c r="EN21" s="46"/>
      <c r="EO21" s="33">
        <f t="shared" ref="EO21" si="407">EN16*$G$21</f>
        <v>0</v>
      </c>
      <c r="EP21" s="46"/>
      <c r="EQ21" s="33">
        <f t="shared" ref="EQ21" si="408">EP16*$G$21</f>
        <v>0</v>
      </c>
      <c r="ER21" s="46"/>
      <c r="ES21" s="33">
        <f t="shared" ref="ES21" si="409">ER16*$G$21</f>
        <v>0</v>
      </c>
      <c r="ET21" s="46"/>
      <c r="EU21" s="33">
        <f t="shared" ref="EU21" si="410">ET16*$G$21</f>
        <v>0</v>
      </c>
      <c r="EV21" s="46"/>
      <c r="EW21" s="33">
        <f t="shared" ref="EW21" si="411">EV16*$G$21</f>
        <v>0</v>
      </c>
      <c r="EX21" s="46"/>
      <c r="EY21" s="33">
        <f t="shared" ref="EY21" si="412">EX16*$G$21</f>
        <v>0</v>
      </c>
      <c r="EZ21" s="46"/>
      <c r="FA21" s="33">
        <f t="shared" ref="FA21" si="413">EZ16*$G$21</f>
        <v>0</v>
      </c>
      <c r="FB21" s="46"/>
      <c r="FC21" s="33">
        <f t="shared" ref="FC21" si="414">FB16*$G$21</f>
        <v>0</v>
      </c>
      <c r="FD21" s="46"/>
      <c r="FE21" s="33">
        <f t="shared" ref="FE21" si="415">FD16*$G$21</f>
        <v>0</v>
      </c>
      <c r="FF21" s="46"/>
      <c r="FG21" s="33">
        <f t="shared" ref="FG21" si="416">FF16*$G$21</f>
        <v>0</v>
      </c>
      <c r="FH21" s="46"/>
      <c r="FI21" s="33">
        <f t="shared" ref="FI21" si="417">FH16*$G$21</f>
        <v>0</v>
      </c>
      <c r="FJ21" s="46"/>
      <c r="FK21" s="33">
        <f t="shared" ref="FK21" si="418">FJ16*$G$21</f>
        <v>0</v>
      </c>
      <c r="FL21" s="46"/>
      <c r="FM21" s="33">
        <f t="shared" ref="FM21" si="419">FL16*$G$21</f>
        <v>0</v>
      </c>
      <c r="FN21" s="46"/>
      <c r="FO21" s="33">
        <f t="shared" ref="FO21" si="420">FN16*$G$21</f>
        <v>0</v>
      </c>
      <c r="FP21" s="46"/>
      <c r="FQ21" s="33">
        <f t="shared" ref="FQ21" si="421">FP16*$G$21</f>
        <v>0</v>
      </c>
    </row>
    <row r="22" spans="1:174" x14ac:dyDescent="0.35">
      <c r="A22" s="10" t="s">
        <v>96</v>
      </c>
      <c r="B22" s="10">
        <v>913</v>
      </c>
      <c r="C22" s="10" t="s">
        <v>92</v>
      </c>
      <c r="D22" s="10" t="s">
        <v>97</v>
      </c>
      <c r="E22" s="10" t="s">
        <v>119</v>
      </c>
      <c r="F22" s="10">
        <v>1</v>
      </c>
      <c r="G22" s="10">
        <v>0</v>
      </c>
      <c r="H22" s="52">
        <v>1305</v>
      </c>
      <c r="I22" s="10">
        <f t="shared" ref="I22" si="422">H22*G22</f>
        <v>0</v>
      </c>
      <c r="J22" s="52">
        <v>10</v>
      </c>
      <c r="K22" s="34">
        <f>J22*$G$22</f>
        <v>0</v>
      </c>
      <c r="L22" s="52">
        <v>10</v>
      </c>
      <c r="M22" s="34">
        <f t="shared" ref="M22" si="423">L22*$G$22</f>
        <v>0</v>
      </c>
      <c r="N22" s="52">
        <v>10</v>
      </c>
      <c r="O22" s="34">
        <f t="shared" ref="O22" si="424">N22*$G$22</f>
        <v>0</v>
      </c>
      <c r="P22" s="52">
        <v>10</v>
      </c>
      <c r="Q22" s="34">
        <f t="shared" ref="Q22" si="425">P22*$G$22</f>
        <v>0</v>
      </c>
      <c r="R22" s="52">
        <v>10</v>
      </c>
      <c r="S22" s="34">
        <f t="shared" ref="S22" si="426">R22*$G$22</f>
        <v>0</v>
      </c>
      <c r="T22" s="52">
        <v>10</v>
      </c>
      <c r="U22" s="34">
        <f t="shared" ref="U22" si="427">T22*$G$22</f>
        <v>0</v>
      </c>
      <c r="V22" s="52">
        <v>10</v>
      </c>
      <c r="W22" s="34">
        <f t="shared" ref="W22" si="428">V22*$G$22</f>
        <v>0</v>
      </c>
      <c r="X22" s="52">
        <v>10</v>
      </c>
      <c r="Y22" s="34">
        <f t="shared" ref="Y22" si="429">X22*$G$22</f>
        <v>0</v>
      </c>
      <c r="Z22" s="52">
        <v>10</v>
      </c>
      <c r="AA22" s="34">
        <f t="shared" ref="AA22" si="430">Z22*$G$22</f>
        <v>0</v>
      </c>
      <c r="AB22" s="52">
        <v>10</v>
      </c>
      <c r="AC22" s="34">
        <f t="shared" ref="AC22" si="431">AB22*$G$22</f>
        <v>0</v>
      </c>
      <c r="AD22" s="52">
        <v>10</v>
      </c>
      <c r="AE22" s="34">
        <f t="shared" ref="AE22" si="432">AD22*$G$22</f>
        <v>0</v>
      </c>
      <c r="AF22" s="52">
        <v>10</v>
      </c>
      <c r="AG22" s="34">
        <f t="shared" ref="AG22" si="433">AF22*$G$22</f>
        <v>0</v>
      </c>
      <c r="AH22" s="52">
        <v>10</v>
      </c>
      <c r="AI22" s="34">
        <f t="shared" ref="AI22" si="434">AH22*$G$22</f>
        <v>0</v>
      </c>
      <c r="AJ22" s="52">
        <v>8</v>
      </c>
      <c r="AK22" s="34">
        <f t="shared" ref="AK22" si="435">AJ22*$G$22</f>
        <v>0</v>
      </c>
      <c r="AL22" s="52">
        <v>8</v>
      </c>
      <c r="AM22" s="34">
        <f t="shared" ref="AM22" si="436">AL22*$G$22</f>
        <v>0</v>
      </c>
      <c r="AN22" s="52">
        <v>8</v>
      </c>
      <c r="AO22" s="34">
        <f t="shared" ref="AO22" si="437">AN22*$G$22</f>
        <v>0</v>
      </c>
      <c r="AP22" s="52">
        <v>8</v>
      </c>
      <c r="AQ22" s="34">
        <f t="shared" ref="AQ22" si="438">AP22*$G$22</f>
        <v>0</v>
      </c>
      <c r="AR22" s="52">
        <v>8</v>
      </c>
      <c r="AS22" s="34">
        <f t="shared" ref="AS22" si="439">AR22*$G$22</f>
        <v>0</v>
      </c>
      <c r="AT22" s="52">
        <v>8</v>
      </c>
      <c r="AU22" s="34">
        <f t="shared" ref="AU22" si="440">AT22*$G$22</f>
        <v>0</v>
      </c>
      <c r="AV22" s="52">
        <v>8</v>
      </c>
      <c r="AW22" s="34">
        <f t="shared" ref="AW22" si="441">AV22*$G$22</f>
        <v>0</v>
      </c>
      <c r="AX22" s="52">
        <v>8</v>
      </c>
      <c r="AY22" s="34">
        <f t="shared" ref="AY22" si="442">AX22*$G$22</f>
        <v>0</v>
      </c>
      <c r="AZ22" s="52">
        <v>8</v>
      </c>
      <c r="BA22" s="34">
        <f t="shared" ref="BA22" si="443">AZ22*$G$22</f>
        <v>0</v>
      </c>
      <c r="BB22" s="52">
        <v>8</v>
      </c>
      <c r="BC22" s="34">
        <f t="shared" ref="BC22" si="444">BB22*$G$22</f>
        <v>0</v>
      </c>
      <c r="BD22" s="52">
        <v>8</v>
      </c>
      <c r="BE22" s="34">
        <f t="shared" ref="BE22" si="445">BD22*$G$22</f>
        <v>0</v>
      </c>
      <c r="BF22" s="52">
        <v>8</v>
      </c>
      <c r="BG22" s="34">
        <f t="shared" ref="BG22" si="446">BF22*$G$22</f>
        <v>0</v>
      </c>
      <c r="BH22" s="52">
        <v>8</v>
      </c>
      <c r="BI22" s="34">
        <f t="shared" ref="BI22" si="447">BH22*$G$22</f>
        <v>0</v>
      </c>
      <c r="BJ22" s="52">
        <v>8</v>
      </c>
      <c r="BK22" s="34">
        <f t="shared" ref="BK22" si="448">BJ22*$G$22</f>
        <v>0</v>
      </c>
      <c r="BL22" s="52">
        <v>8</v>
      </c>
      <c r="BM22" s="34">
        <f t="shared" ref="BM22" si="449">BL22*$G$22</f>
        <v>0</v>
      </c>
      <c r="BN22" s="52">
        <v>8</v>
      </c>
      <c r="BO22" s="34">
        <f t="shared" ref="BO22" si="450">BN22*$G$22</f>
        <v>0</v>
      </c>
      <c r="BP22" s="52">
        <v>8</v>
      </c>
      <c r="BQ22" s="34">
        <f t="shared" ref="BQ22" si="451">BP22*$G$22</f>
        <v>0</v>
      </c>
      <c r="BR22" s="52">
        <v>8</v>
      </c>
      <c r="BS22" s="34">
        <f t="shared" ref="BS22" si="452">BR22*$G$22</f>
        <v>0</v>
      </c>
      <c r="BT22" s="52">
        <v>8</v>
      </c>
      <c r="BU22" s="34">
        <f t="shared" ref="BU22" si="453">BT22*$G$22</f>
        <v>0</v>
      </c>
      <c r="BV22" s="52">
        <v>8</v>
      </c>
      <c r="BW22" s="34">
        <f t="shared" ref="BW22" si="454">BV22*$G$22</f>
        <v>0</v>
      </c>
      <c r="BX22" s="52">
        <v>8</v>
      </c>
      <c r="BY22" s="34">
        <f t="shared" ref="BY22" si="455">BX22*$G$22</f>
        <v>0</v>
      </c>
      <c r="BZ22" s="52">
        <v>8</v>
      </c>
      <c r="CA22" s="34">
        <f t="shared" ref="CA22" si="456">BZ22*$G$22</f>
        <v>0</v>
      </c>
      <c r="CB22" s="52">
        <v>8</v>
      </c>
      <c r="CC22" s="34">
        <f t="shared" ref="CC22" si="457">CB22*$G$22</f>
        <v>0</v>
      </c>
      <c r="CD22" s="52">
        <v>8</v>
      </c>
      <c r="CE22" s="34">
        <f t="shared" ref="CE22" si="458">CD22*$G$22</f>
        <v>0</v>
      </c>
      <c r="CF22" s="52">
        <v>8</v>
      </c>
      <c r="CG22" s="34">
        <f t="shared" ref="CG22" si="459">CF22*$G$22</f>
        <v>0</v>
      </c>
      <c r="CH22" s="52">
        <v>8</v>
      </c>
      <c r="CI22" s="34">
        <f t="shared" ref="CI22" si="460">CH22*$G$22</f>
        <v>0</v>
      </c>
      <c r="CJ22" s="52">
        <v>8</v>
      </c>
      <c r="CK22" s="34">
        <f t="shared" ref="CK22" si="461">CJ22*$G$22</f>
        <v>0</v>
      </c>
      <c r="CL22" s="52">
        <v>8</v>
      </c>
      <c r="CM22" s="34">
        <f t="shared" ref="CM22" si="462">CL22*$G$22</f>
        <v>0</v>
      </c>
      <c r="CN22" s="52">
        <v>8</v>
      </c>
      <c r="CO22" s="34">
        <f t="shared" ref="CO22" si="463">CN22*$G$22</f>
        <v>0</v>
      </c>
      <c r="CP22" s="52">
        <v>8</v>
      </c>
      <c r="CQ22" s="34">
        <f t="shared" ref="CQ22" si="464">CP22*$G$22</f>
        <v>0</v>
      </c>
      <c r="CR22" s="52">
        <v>8</v>
      </c>
      <c r="CS22" s="34">
        <f t="shared" ref="CS22" si="465">CR22*$G$22</f>
        <v>0</v>
      </c>
      <c r="CT22" s="52">
        <v>8</v>
      </c>
      <c r="CU22" s="34">
        <f t="shared" ref="CU22" si="466">CT22*$G$22</f>
        <v>0</v>
      </c>
      <c r="CV22" s="52">
        <v>8</v>
      </c>
      <c r="CW22" s="34">
        <f t="shared" ref="CW22" si="467">CV22*$G$22</f>
        <v>0</v>
      </c>
      <c r="CX22" s="52">
        <v>8</v>
      </c>
      <c r="CY22" s="34">
        <f t="shared" ref="CY22" si="468">CX22*$G$22</f>
        <v>0</v>
      </c>
      <c r="CZ22" s="52">
        <v>8</v>
      </c>
      <c r="DA22" s="34">
        <f t="shared" ref="DA22" si="469">CZ22*$G$22</f>
        <v>0</v>
      </c>
      <c r="DB22" s="52">
        <v>8</v>
      </c>
      <c r="DC22" s="34">
        <f t="shared" ref="DC22" si="470">DB22*$G$22</f>
        <v>0</v>
      </c>
      <c r="DD22" s="52">
        <v>8</v>
      </c>
      <c r="DE22" s="34">
        <f t="shared" ref="DE22" si="471">DD22*$G$22</f>
        <v>0</v>
      </c>
      <c r="DF22" s="52">
        <v>8</v>
      </c>
      <c r="DG22" s="34">
        <f t="shared" ref="DG22" si="472">DF22*$G$22</f>
        <v>0</v>
      </c>
      <c r="DH22" s="52">
        <v>8</v>
      </c>
      <c r="DI22" s="34">
        <f t="shared" ref="DI22" si="473">DH22*$G$22</f>
        <v>0</v>
      </c>
      <c r="DJ22" s="52">
        <v>8</v>
      </c>
      <c r="DK22" s="34">
        <f t="shared" ref="DK22" si="474">DJ22*$G$22</f>
        <v>0</v>
      </c>
      <c r="DL22" s="52">
        <v>8</v>
      </c>
      <c r="DM22" s="34">
        <f t="shared" ref="DM22" si="475">DL22*$G$22</f>
        <v>0</v>
      </c>
      <c r="DN22" s="52">
        <v>8</v>
      </c>
      <c r="DO22" s="34">
        <f t="shared" ref="DO22" si="476">DN22*$G$22</f>
        <v>0</v>
      </c>
      <c r="DP22" s="52">
        <v>8</v>
      </c>
      <c r="DQ22" s="34">
        <f t="shared" ref="DQ22" si="477">DP22*$G$22</f>
        <v>0</v>
      </c>
      <c r="DR22" s="52">
        <v>8</v>
      </c>
      <c r="DS22" s="34">
        <f t="shared" ref="DS22" si="478">DR22*$G$22</f>
        <v>0</v>
      </c>
      <c r="DT22" s="52">
        <v>8</v>
      </c>
      <c r="DU22" s="34">
        <f t="shared" ref="DU22" si="479">DT22*$G$22</f>
        <v>0</v>
      </c>
      <c r="DV22" s="52">
        <v>8</v>
      </c>
      <c r="DW22" s="34">
        <f t="shared" ref="DW22" si="480">DV22*$G$22</f>
        <v>0</v>
      </c>
      <c r="DX22" s="52">
        <v>8</v>
      </c>
      <c r="DY22" s="34">
        <f t="shared" ref="DY22" si="481">DX22*$G$22</f>
        <v>0</v>
      </c>
      <c r="DZ22" s="52">
        <v>8</v>
      </c>
      <c r="EA22" s="34">
        <f t="shared" ref="EA22" si="482">DZ22*$G$22</f>
        <v>0</v>
      </c>
      <c r="EB22" s="52">
        <v>8</v>
      </c>
      <c r="EC22" s="34">
        <f t="shared" ref="EC22" si="483">EB22*$G$22</f>
        <v>0</v>
      </c>
      <c r="ED22" s="52">
        <v>8</v>
      </c>
      <c r="EE22" s="34">
        <f t="shared" ref="EE22" si="484">ED22*$G$22</f>
        <v>0</v>
      </c>
      <c r="EF22" s="52">
        <v>8</v>
      </c>
      <c r="EG22" s="34">
        <f t="shared" ref="EG22" si="485">EF22*$G$22</f>
        <v>0</v>
      </c>
      <c r="EH22" s="52">
        <v>8</v>
      </c>
      <c r="EI22" s="34">
        <f t="shared" ref="EI22" si="486">EH22*$G$22</f>
        <v>0</v>
      </c>
      <c r="EJ22" s="52">
        <v>8</v>
      </c>
      <c r="EK22" s="34">
        <f t="shared" ref="EK22" si="487">EJ22*$G$22</f>
        <v>0</v>
      </c>
      <c r="EL22" s="52">
        <v>8</v>
      </c>
      <c r="EM22" s="34">
        <f t="shared" ref="EM22" si="488">EL22*$G$22</f>
        <v>0</v>
      </c>
      <c r="EN22" s="52">
        <v>8</v>
      </c>
      <c r="EO22" s="34">
        <f t="shared" ref="EO22" si="489">EN22*$G$22</f>
        <v>0</v>
      </c>
      <c r="EP22" s="52">
        <v>8</v>
      </c>
      <c r="EQ22" s="34">
        <f t="shared" ref="EQ22" si="490">EP22*$G$22</f>
        <v>0</v>
      </c>
      <c r="ER22" s="52">
        <v>8</v>
      </c>
      <c r="ES22" s="34">
        <f t="shared" ref="ES22" si="491">ER22*$G$22</f>
        <v>0</v>
      </c>
      <c r="ET22" s="52">
        <v>8</v>
      </c>
      <c r="EU22" s="34">
        <f t="shared" ref="EU22" si="492">ET22*$G$22</f>
        <v>0</v>
      </c>
      <c r="EV22" s="52">
        <v>8</v>
      </c>
      <c r="EW22" s="34">
        <f t="shared" ref="EW22" si="493">EV22*$G$22</f>
        <v>0</v>
      </c>
      <c r="EX22" s="52">
        <v>8</v>
      </c>
      <c r="EY22" s="34">
        <f t="shared" ref="EY22" si="494">EX22*$G$22</f>
        <v>0</v>
      </c>
      <c r="EZ22" s="52">
        <v>8</v>
      </c>
      <c r="FA22" s="34">
        <f t="shared" ref="FA22" si="495">EZ22*$G$22</f>
        <v>0</v>
      </c>
      <c r="FB22" s="52">
        <v>8</v>
      </c>
      <c r="FC22" s="34">
        <f t="shared" ref="FC22" si="496">FB22*$G$22</f>
        <v>0</v>
      </c>
      <c r="FD22" s="52">
        <v>8</v>
      </c>
      <c r="FE22" s="34">
        <f t="shared" ref="FE22" si="497">FD22*$G$22</f>
        <v>0</v>
      </c>
      <c r="FF22" s="52">
        <v>8</v>
      </c>
      <c r="FG22" s="34">
        <f t="shared" ref="FG22" si="498">FF22*$G$22</f>
        <v>0</v>
      </c>
      <c r="FH22" s="52">
        <v>8</v>
      </c>
      <c r="FI22" s="34">
        <f t="shared" ref="FI22" si="499">FH22*$G$22</f>
        <v>0</v>
      </c>
      <c r="FJ22" s="52">
        <v>8</v>
      </c>
      <c r="FK22" s="34">
        <f t="shared" ref="FK22" si="500">FJ22*$G$22</f>
        <v>0</v>
      </c>
      <c r="FL22" s="52">
        <v>8</v>
      </c>
      <c r="FM22" s="34">
        <f t="shared" ref="FM22" si="501">FL22*$G$22</f>
        <v>0</v>
      </c>
      <c r="FN22" s="52">
        <v>8</v>
      </c>
      <c r="FO22" s="34">
        <f t="shared" ref="FO22" si="502">FN22*$G$22</f>
        <v>0</v>
      </c>
      <c r="FP22" s="52">
        <v>8</v>
      </c>
      <c r="FQ22" s="34">
        <f t="shared" ref="FQ22" si="503">FP22*$G$22</f>
        <v>0</v>
      </c>
    </row>
    <row r="23" spans="1:174" x14ac:dyDescent="0.35">
      <c r="A23" s="10" t="s">
        <v>96</v>
      </c>
      <c r="B23" s="10">
        <v>913</v>
      </c>
      <c r="C23" s="10" t="s">
        <v>92</v>
      </c>
      <c r="D23" s="10" t="s">
        <v>97</v>
      </c>
      <c r="E23" s="10" t="s">
        <v>120</v>
      </c>
      <c r="F23" s="10">
        <v>2</v>
      </c>
      <c r="G23" s="10">
        <v>6</v>
      </c>
      <c r="H23" s="52"/>
      <c r="I23" s="10">
        <f t="shared" ref="I23" si="504">H22*G23</f>
        <v>7830</v>
      </c>
      <c r="J23" s="52"/>
      <c r="K23" s="34">
        <f>J22*$G$23</f>
        <v>60</v>
      </c>
      <c r="L23" s="52"/>
      <c r="M23" s="34">
        <f t="shared" ref="M23" si="505">L22*$G$23</f>
        <v>60</v>
      </c>
      <c r="N23" s="52"/>
      <c r="O23" s="34">
        <f t="shared" ref="O23" si="506">N22*$G$23</f>
        <v>60</v>
      </c>
      <c r="P23" s="52"/>
      <c r="Q23" s="34">
        <f t="shared" ref="Q23" si="507">P22*$G$23</f>
        <v>60</v>
      </c>
      <c r="R23" s="52"/>
      <c r="S23" s="34">
        <f t="shared" ref="S23" si="508">R22*$G$23</f>
        <v>60</v>
      </c>
      <c r="T23" s="52"/>
      <c r="U23" s="34">
        <f t="shared" ref="U23" si="509">T22*$G$23</f>
        <v>60</v>
      </c>
      <c r="V23" s="52"/>
      <c r="W23" s="34">
        <f t="shared" ref="W23" si="510">V22*$G$23</f>
        <v>60</v>
      </c>
      <c r="X23" s="52"/>
      <c r="Y23" s="34">
        <f t="shared" ref="Y23" si="511">X22*$G$23</f>
        <v>60</v>
      </c>
      <c r="Z23" s="52"/>
      <c r="AA23" s="34">
        <f t="shared" ref="AA23" si="512">Z22*$G$23</f>
        <v>60</v>
      </c>
      <c r="AB23" s="52"/>
      <c r="AC23" s="34">
        <f t="shared" ref="AC23" si="513">AB22*$G$23</f>
        <v>60</v>
      </c>
      <c r="AD23" s="52"/>
      <c r="AE23" s="34">
        <f t="shared" ref="AE23" si="514">AD22*$G$23</f>
        <v>60</v>
      </c>
      <c r="AF23" s="52"/>
      <c r="AG23" s="34">
        <f t="shared" ref="AG23" si="515">AF22*$G$23</f>
        <v>60</v>
      </c>
      <c r="AH23" s="52"/>
      <c r="AI23" s="34">
        <f t="shared" ref="AI23" si="516">AH22*$G$23</f>
        <v>60</v>
      </c>
      <c r="AJ23" s="52"/>
      <c r="AK23" s="34">
        <f t="shared" ref="AK23" si="517">AJ22*$G$23</f>
        <v>48</v>
      </c>
      <c r="AL23" s="52"/>
      <c r="AM23" s="34">
        <f t="shared" ref="AM23" si="518">AL22*$G$23</f>
        <v>48</v>
      </c>
      <c r="AN23" s="52"/>
      <c r="AO23" s="34">
        <f t="shared" ref="AO23" si="519">AN22*$G$23</f>
        <v>48</v>
      </c>
      <c r="AP23" s="52"/>
      <c r="AQ23" s="34">
        <f t="shared" ref="AQ23" si="520">AP22*$G$23</f>
        <v>48</v>
      </c>
      <c r="AR23" s="52"/>
      <c r="AS23" s="34">
        <f t="shared" ref="AS23" si="521">AR22*$G$23</f>
        <v>48</v>
      </c>
      <c r="AT23" s="52"/>
      <c r="AU23" s="34">
        <f t="shared" ref="AU23" si="522">AT22*$G$23</f>
        <v>48</v>
      </c>
      <c r="AV23" s="52"/>
      <c r="AW23" s="34">
        <f t="shared" ref="AW23" si="523">AV22*$G$23</f>
        <v>48</v>
      </c>
      <c r="AX23" s="52"/>
      <c r="AY23" s="34">
        <f t="shared" ref="AY23" si="524">AX22*$G$23</f>
        <v>48</v>
      </c>
      <c r="AZ23" s="52"/>
      <c r="BA23" s="34">
        <f t="shared" ref="BA23" si="525">AZ22*$G$23</f>
        <v>48</v>
      </c>
      <c r="BB23" s="52"/>
      <c r="BC23" s="34">
        <f t="shared" ref="BC23" si="526">BB22*$G$23</f>
        <v>48</v>
      </c>
      <c r="BD23" s="52"/>
      <c r="BE23" s="34">
        <f t="shared" ref="BE23" si="527">BD22*$G$23</f>
        <v>48</v>
      </c>
      <c r="BF23" s="52"/>
      <c r="BG23" s="34">
        <f t="shared" ref="BG23" si="528">BF22*$G$23</f>
        <v>48</v>
      </c>
      <c r="BH23" s="52"/>
      <c r="BI23" s="34">
        <f t="shared" ref="BI23" si="529">BH22*$G$23</f>
        <v>48</v>
      </c>
      <c r="BJ23" s="52"/>
      <c r="BK23" s="34">
        <f t="shared" ref="BK23" si="530">BJ22*$G$23</f>
        <v>48</v>
      </c>
      <c r="BL23" s="52"/>
      <c r="BM23" s="34">
        <f t="shared" ref="BM23" si="531">BL22*$G$23</f>
        <v>48</v>
      </c>
      <c r="BN23" s="52"/>
      <c r="BO23" s="34">
        <f t="shared" ref="BO23" si="532">BN22*$G$23</f>
        <v>48</v>
      </c>
      <c r="BP23" s="52"/>
      <c r="BQ23" s="34">
        <f t="shared" ref="BQ23" si="533">BP22*$G$23</f>
        <v>48</v>
      </c>
      <c r="BR23" s="52"/>
      <c r="BS23" s="34">
        <f t="shared" ref="BS23" si="534">BR22*$G$23</f>
        <v>48</v>
      </c>
      <c r="BT23" s="52"/>
      <c r="BU23" s="34">
        <f t="shared" ref="BU23" si="535">BT22*$G$23</f>
        <v>48</v>
      </c>
      <c r="BV23" s="52"/>
      <c r="BW23" s="34">
        <f t="shared" ref="BW23" si="536">BV22*$G$23</f>
        <v>48</v>
      </c>
      <c r="BX23" s="52"/>
      <c r="BY23" s="34">
        <f t="shared" ref="BY23" si="537">BX22*$G$23</f>
        <v>48</v>
      </c>
      <c r="BZ23" s="52"/>
      <c r="CA23" s="34">
        <f t="shared" ref="CA23" si="538">BZ22*$G$23</f>
        <v>48</v>
      </c>
      <c r="CB23" s="52"/>
      <c r="CC23" s="34">
        <f t="shared" ref="CC23" si="539">CB22*$G$23</f>
        <v>48</v>
      </c>
      <c r="CD23" s="52"/>
      <c r="CE23" s="34">
        <f t="shared" ref="CE23" si="540">CD22*$G$23</f>
        <v>48</v>
      </c>
      <c r="CF23" s="52"/>
      <c r="CG23" s="34">
        <f t="shared" ref="CG23" si="541">CF22*$G$23</f>
        <v>48</v>
      </c>
      <c r="CH23" s="52"/>
      <c r="CI23" s="34">
        <f t="shared" ref="CI23" si="542">CH22*$G$23</f>
        <v>48</v>
      </c>
      <c r="CJ23" s="52"/>
      <c r="CK23" s="34">
        <f t="shared" ref="CK23" si="543">CJ22*$G$23</f>
        <v>48</v>
      </c>
      <c r="CL23" s="52"/>
      <c r="CM23" s="34">
        <f t="shared" ref="CM23" si="544">CL22*$G$23</f>
        <v>48</v>
      </c>
      <c r="CN23" s="52"/>
      <c r="CO23" s="34">
        <f t="shared" ref="CO23" si="545">CN22*$G$23</f>
        <v>48</v>
      </c>
      <c r="CP23" s="52"/>
      <c r="CQ23" s="34">
        <f t="shared" ref="CQ23" si="546">CP22*$G$23</f>
        <v>48</v>
      </c>
      <c r="CR23" s="52"/>
      <c r="CS23" s="34">
        <f t="shared" ref="CS23" si="547">CR22*$G$23</f>
        <v>48</v>
      </c>
      <c r="CT23" s="52"/>
      <c r="CU23" s="34">
        <f t="shared" ref="CU23" si="548">CT22*$G$23</f>
        <v>48</v>
      </c>
      <c r="CV23" s="52"/>
      <c r="CW23" s="34">
        <f t="shared" ref="CW23" si="549">CV22*$G$23</f>
        <v>48</v>
      </c>
      <c r="CX23" s="52"/>
      <c r="CY23" s="34">
        <f t="shared" ref="CY23" si="550">CX22*$G$23</f>
        <v>48</v>
      </c>
      <c r="CZ23" s="52"/>
      <c r="DA23" s="34">
        <f t="shared" ref="DA23" si="551">CZ22*$G$23</f>
        <v>48</v>
      </c>
      <c r="DB23" s="52"/>
      <c r="DC23" s="34">
        <f t="shared" ref="DC23" si="552">DB22*$G$23</f>
        <v>48</v>
      </c>
      <c r="DD23" s="52"/>
      <c r="DE23" s="34">
        <f t="shared" ref="DE23" si="553">DD22*$G$23</f>
        <v>48</v>
      </c>
      <c r="DF23" s="52"/>
      <c r="DG23" s="34">
        <f t="shared" ref="DG23" si="554">DF22*$G$23</f>
        <v>48</v>
      </c>
      <c r="DH23" s="52"/>
      <c r="DI23" s="34">
        <f t="shared" ref="DI23" si="555">DH22*$G$23</f>
        <v>48</v>
      </c>
      <c r="DJ23" s="52"/>
      <c r="DK23" s="34">
        <f t="shared" ref="DK23" si="556">DJ22*$G$23</f>
        <v>48</v>
      </c>
      <c r="DL23" s="52"/>
      <c r="DM23" s="34">
        <f t="shared" ref="DM23" si="557">DL22*$G$23</f>
        <v>48</v>
      </c>
      <c r="DN23" s="52"/>
      <c r="DO23" s="34">
        <f t="shared" ref="DO23" si="558">DN22*$G$23</f>
        <v>48</v>
      </c>
      <c r="DP23" s="52"/>
      <c r="DQ23" s="34">
        <f t="shared" ref="DQ23" si="559">DP22*$G$23</f>
        <v>48</v>
      </c>
      <c r="DR23" s="52"/>
      <c r="DS23" s="34">
        <f t="shared" ref="DS23" si="560">DR22*$G$23</f>
        <v>48</v>
      </c>
      <c r="DT23" s="52"/>
      <c r="DU23" s="34">
        <f t="shared" ref="DU23" si="561">DT22*$G$23</f>
        <v>48</v>
      </c>
      <c r="DV23" s="52"/>
      <c r="DW23" s="34">
        <f t="shared" ref="DW23" si="562">DV22*$G$23</f>
        <v>48</v>
      </c>
      <c r="DX23" s="52"/>
      <c r="DY23" s="34">
        <f t="shared" ref="DY23" si="563">DX22*$G$23</f>
        <v>48</v>
      </c>
      <c r="DZ23" s="52"/>
      <c r="EA23" s="34">
        <f t="shared" ref="EA23" si="564">DZ22*$G$23</f>
        <v>48</v>
      </c>
      <c r="EB23" s="52"/>
      <c r="EC23" s="34">
        <f t="shared" ref="EC23" si="565">EB22*$G$23</f>
        <v>48</v>
      </c>
      <c r="ED23" s="52"/>
      <c r="EE23" s="34">
        <f t="shared" ref="EE23" si="566">ED22*$G$23</f>
        <v>48</v>
      </c>
      <c r="EF23" s="52"/>
      <c r="EG23" s="34">
        <f t="shared" ref="EG23" si="567">EF22*$G$23</f>
        <v>48</v>
      </c>
      <c r="EH23" s="52"/>
      <c r="EI23" s="34">
        <f t="shared" ref="EI23" si="568">EH22*$G$23</f>
        <v>48</v>
      </c>
      <c r="EJ23" s="52"/>
      <c r="EK23" s="34">
        <f t="shared" ref="EK23" si="569">EJ22*$G$23</f>
        <v>48</v>
      </c>
      <c r="EL23" s="52"/>
      <c r="EM23" s="34">
        <f t="shared" ref="EM23" si="570">EL22*$G$23</f>
        <v>48</v>
      </c>
      <c r="EN23" s="52"/>
      <c r="EO23" s="34">
        <f t="shared" ref="EO23" si="571">EN22*$G$23</f>
        <v>48</v>
      </c>
      <c r="EP23" s="52"/>
      <c r="EQ23" s="34">
        <f t="shared" ref="EQ23" si="572">EP22*$G$23</f>
        <v>48</v>
      </c>
      <c r="ER23" s="52"/>
      <c r="ES23" s="34">
        <f t="shared" ref="ES23" si="573">ER22*$G$23</f>
        <v>48</v>
      </c>
      <c r="ET23" s="52"/>
      <c r="EU23" s="34">
        <f t="shared" ref="EU23" si="574">ET22*$G$23</f>
        <v>48</v>
      </c>
      <c r="EV23" s="52"/>
      <c r="EW23" s="34">
        <f t="shared" ref="EW23" si="575">EV22*$G$23</f>
        <v>48</v>
      </c>
      <c r="EX23" s="52"/>
      <c r="EY23" s="34">
        <f t="shared" ref="EY23" si="576">EX22*$G$23</f>
        <v>48</v>
      </c>
      <c r="EZ23" s="52"/>
      <c r="FA23" s="34">
        <f t="shared" ref="FA23" si="577">EZ22*$G$23</f>
        <v>48</v>
      </c>
      <c r="FB23" s="52"/>
      <c r="FC23" s="34">
        <f t="shared" ref="FC23" si="578">FB22*$G$23</f>
        <v>48</v>
      </c>
      <c r="FD23" s="52"/>
      <c r="FE23" s="34">
        <f t="shared" ref="FE23" si="579">FD22*$G$23</f>
        <v>48</v>
      </c>
      <c r="FF23" s="52"/>
      <c r="FG23" s="34">
        <f t="shared" ref="FG23" si="580">FF22*$G$23</f>
        <v>48</v>
      </c>
      <c r="FH23" s="52"/>
      <c r="FI23" s="34">
        <f t="shared" ref="FI23" si="581">FH22*$G$23</f>
        <v>48</v>
      </c>
      <c r="FJ23" s="52"/>
      <c r="FK23" s="34">
        <f t="shared" ref="FK23" si="582">FJ22*$G$23</f>
        <v>48</v>
      </c>
      <c r="FL23" s="52"/>
      <c r="FM23" s="34">
        <f t="shared" ref="FM23" si="583">FL22*$G$23</f>
        <v>48</v>
      </c>
      <c r="FN23" s="52"/>
      <c r="FO23" s="34">
        <f t="shared" ref="FO23" si="584">FN22*$G$23</f>
        <v>48</v>
      </c>
      <c r="FP23" s="52"/>
      <c r="FQ23" s="34">
        <f t="shared" ref="FQ23" si="585">FP22*$G$23</f>
        <v>48</v>
      </c>
    </row>
    <row r="24" spans="1:174" x14ac:dyDescent="0.35">
      <c r="A24" s="10" t="s">
        <v>96</v>
      </c>
      <c r="B24" s="10">
        <v>913</v>
      </c>
      <c r="C24" s="10" t="s">
        <v>92</v>
      </c>
      <c r="D24" s="10" t="s">
        <v>97</v>
      </c>
      <c r="E24" s="10" t="s">
        <v>121</v>
      </c>
      <c r="F24" s="10">
        <v>3</v>
      </c>
      <c r="G24" s="10">
        <v>2</v>
      </c>
      <c r="H24" s="52"/>
      <c r="I24" s="10">
        <f t="shared" ref="I24" si="586">H22*G24</f>
        <v>2610</v>
      </c>
      <c r="J24" s="52"/>
      <c r="K24" s="34">
        <f>J22*$G$24</f>
        <v>20</v>
      </c>
      <c r="L24" s="52"/>
      <c r="M24" s="34">
        <f t="shared" ref="M24" si="587">L22*$G$24</f>
        <v>20</v>
      </c>
      <c r="N24" s="52"/>
      <c r="O24" s="34">
        <f t="shared" ref="O24" si="588">N22*$G$24</f>
        <v>20</v>
      </c>
      <c r="P24" s="52"/>
      <c r="Q24" s="34">
        <f t="shared" ref="Q24" si="589">P22*$G$24</f>
        <v>20</v>
      </c>
      <c r="R24" s="52"/>
      <c r="S24" s="34">
        <f t="shared" ref="S24" si="590">R22*$G$24</f>
        <v>20</v>
      </c>
      <c r="T24" s="52"/>
      <c r="U24" s="34">
        <f t="shared" ref="U24" si="591">T22*$G$24</f>
        <v>20</v>
      </c>
      <c r="V24" s="52"/>
      <c r="W24" s="34">
        <f t="shared" ref="W24" si="592">V22*$G$24</f>
        <v>20</v>
      </c>
      <c r="X24" s="52"/>
      <c r="Y24" s="34">
        <f t="shared" ref="Y24" si="593">X22*$G$24</f>
        <v>20</v>
      </c>
      <c r="Z24" s="52"/>
      <c r="AA24" s="34">
        <f t="shared" ref="AA24" si="594">Z22*$G$24</f>
        <v>20</v>
      </c>
      <c r="AB24" s="52"/>
      <c r="AC24" s="34">
        <f t="shared" ref="AC24" si="595">AB22*$G$24</f>
        <v>20</v>
      </c>
      <c r="AD24" s="52"/>
      <c r="AE24" s="34">
        <f t="shared" ref="AE24" si="596">AD22*$G$24</f>
        <v>20</v>
      </c>
      <c r="AF24" s="52"/>
      <c r="AG24" s="34">
        <f t="shared" ref="AG24" si="597">AF22*$G$24</f>
        <v>20</v>
      </c>
      <c r="AH24" s="52"/>
      <c r="AI24" s="34">
        <f t="shared" ref="AI24" si="598">AH22*$G$24</f>
        <v>20</v>
      </c>
      <c r="AJ24" s="52"/>
      <c r="AK24" s="34">
        <f t="shared" ref="AK24" si="599">AJ22*$G$24</f>
        <v>16</v>
      </c>
      <c r="AL24" s="52"/>
      <c r="AM24" s="34">
        <f t="shared" ref="AM24" si="600">AL22*$G$24</f>
        <v>16</v>
      </c>
      <c r="AN24" s="52"/>
      <c r="AO24" s="34">
        <f t="shared" ref="AO24" si="601">AN22*$G$24</f>
        <v>16</v>
      </c>
      <c r="AP24" s="52"/>
      <c r="AQ24" s="34">
        <f t="shared" ref="AQ24" si="602">AP22*$G$24</f>
        <v>16</v>
      </c>
      <c r="AR24" s="52"/>
      <c r="AS24" s="34">
        <f t="shared" ref="AS24" si="603">AR22*$G$24</f>
        <v>16</v>
      </c>
      <c r="AT24" s="52"/>
      <c r="AU24" s="34">
        <f t="shared" ref="AU24" si="604">AT22*$G$24</f>
        <v>16</v>
      </c>
      <c r="AV24" s="52"/>
      <c r="AW24" s="34">
        <f t="shared" ref="AW24" si="605">AV22*$G$24</f>
        <v>16</v>
      </c>
      <c r="AX24" s="52"/>
      <c r="AY24" s="34">
        <f t="shared" ref="AY24" si="606">AX22*$G$24</f>
        <v>16</v>
      </c>
      <c r="AZ24" s="52"/>
      <c r="BA24" s="34">
        <f t="shared" ref="BA24" si="607">AZ22*$G$24</f>
        <v>16</v>
      </c>
      <c r="BB24" s="52"/>
      <c r="BC24" s="34">
        <f t="shared" ref="BC24" si="608">BB22*$G$24</f>
        <v>16</v>
      </c>
      <c r="BD24" s="52"/>
      <c r="BE24" s="34">
        <f t="shared" ref="BE24" si="609">BD22*$G$24</f>
        <v>16</v>
      </c>
      <c r="BF24" s="52"/>
      <c r="BG24" s="34">
        <f t="shared" ref="BG24" si="610">BF22*$G$24</f>
        <v>16</v>
      </c>
      <c r="BH24" s="52"/>
      <c r="BI24" s="34">
        <f t="shared" ref="BI24" si="611">BH22*$G$24</f>
        <v>16</v>
      </c>
      <c r="BJ24" s="52"/>
      <c r="BK24" s="34">
        <f t="shared" ref="BK24" si="612">BJ22*$G$24</f>
        <v>16</v>
      </c>
      <c r="BL24" s="52"/>
      <c r="BM24" s="34">
        <f t="shared" ref="BM24" si="613">BL22*$G$24</f>
        <v>16</v>
      </c>
      <c r="BN24" s="52"/>
      <c r="BO24" s="34">
        <f t="shared" ref="BO24" si="614">BN22*$G$24</f>
        <v>16</v>
      </c>
      <c r="BP24" s="52"/>
      <c r="BQ24" s="34">
        <f t="shared" ref="BQ24" si="615">BP22*$G$24</f>
        <v>16</v>
      </c>
      <c r="BR24" s="52"/>
      <c r="BS24" s="34">
        <f t="shared" ref="BS24" si="616">BR22*$G$24</f>
        <v>16</v>
      </c>
      <c r="BT24" s="52"/>
      <c r="BU24" s="34">
        <f t="shared" ref="BU24" si="617">BT22*$G$24</f>
        <v>16</v>
      </c>
      <c r="BV24" s="52"/>
      <c r="BW24" s="34">
        <f t="shared" ref="BW24" si="618">BV22*$G$24</f>
        <v>16</v>
      </c>
      <c r="BX24" s="52"/>
      <c r="BY24" s="34">
        <f t="shared" ref="BY24" si="619">BX22*$G$24</f>
        <v>16</v>
      </c>
      <c r="BZ24" s="52"/>
      <c r="CA24" s="34">
        <f t="shared" ref="CA24" si="620">BZ22*$G$24</f>
        <v>16</v>
      </c>
      <c r="CB24" s="52"/>
      <c r="CC24" s="34">
        <f t="shared" ref="CC24" si="621">CB22*$G$24</f>
        <v>16</v>
      </c>
      <c r="CD24" s="52"/>
      <c r="CE24" s="34">
        <f t="shared" ref="CE24" si="622">CD22*$G$24</f>
        <v>16</v>
      </c>
      <c r="CF24" s="52"/>
      <c r="CG24" s="34">
        <f t="shared" ref="CG24" si="623">CF22*$G$24</f>
        <v>16</v>
      </c>
      <c r="CH24" s="52"/>
      <c r="CI24" s="34">
        <f t="shared" ref="CI24" si="624">CH22*$G$24</f>
        <v>16</v>
      </c>
      <c r="CJ24" s="52"/>
      <c r="CK24" s="34">
        <f t="shared" ref="CK24" si="625">CJ22*$G$24</f>
        <v>16</v>
      </c>
      <c r="CL24" s="52"/>
      <c r="CM24" s="34">
        <f t="shared" ref="CM24" si="626">CL22*$G$24</f>
        <v>16</v>
      </c>
      <c r="CN24" s="52"/>
      <c r="CO24" s="34">
        <f t="shared" ref="CO24" si="627">CN22*$G$24</f>
        <v>16</v>
      </c>
      <c r="CP24" s="52"/>
      <c r="CQ24" s="34">
        <f t="shared" ref="CQ24" si="628">CP22*$G$24</f>
        <v>16</v>
      </c>
      <c r="CR24" s="52"/>
      <c r="CS24" s="34">
        <f t="shared" ref="CS24" si="629">CR22*$G$24</f>
        <v>16</v>
      </c>
      <c r="CT24" s="52"/>
      <c r="CU24" s="34">
        <f t="shared" ref="CU24" si="630">CT22*$G$24</f>
        <v>16</v>
      </c>
      <c r="CV24" s="52"/>
      <c r="CW24" s="34">
        <f t="shared" ref="CW24" si="631">CV22*$G$24</f>
        <v>16</v>
      </c>
      <c r="CX24" s="52"/>
      <c r="CY24" s="34">
        <f t="shared" ref="CY24" si="632">CX22*$G$24</f>
        <v>16</v>
      </c>
      <c r="CZ24" s="52"/>
      <c r="DA24" s="34">
        <f t="shared" ref="DA24" si="633">CZ22*$G$24</f>
        <v>16</v>
      </c>
      <c r="DB24" s="52"/>
      <c r="DC24" s="34">
        <f t="shared" ref="DC24" si="634">DB22*$G$24</f>
        <v>16</v>
      </c>
      <c r="DD24" s="52"/>
      <c r="DE24" s="34">
        <f t="shared" ref="DE24" si="635">DD22*$G$24</f>
        <v>16</v>
      </c>
      <c r="DF24" s="52"/>
      <c r="DG24" s="34">
        <f t="shared" ref="DG24" si="636">DF22*$G$24</f>
        <v>16</v>
      </c>
      <c r="DH24" s="52"/>
      <c r="DI24" s="34">
        <f t="shared" ref="DI24" si="637">DH22*$G$24</f>
        <v>16</v>
      </c>
      <c r="DJ24" s="52"/>
      <c r="DK24" s="34">
        <f t="shared" ref="DK24" si="638">DJ22*$G$24</f>
        <v>16</v>
      </c>
      <c r="DL24" s="52"/>
      <c r="DM24" s="34">
        <f t="shared" ref="DM24" si="639">DL22*$G$24</f>
        <v>16</v>
      </c>
      <c r="DN24" s="52"/>
      <c r="DO24" s="34">
        <f t="shared" ref="DO24" si="640">DN22*$G$24</f>
        <v>16</v>
      </c>
      <c r="DP24" s="52"/>
      <c r="DQ24" s="34">
        <f t="shared" ref="DQ24" si="641">DP22*$G$24</f>
        <v>16</v>
      </c>
      <c r="DR24" s="52"/>
      <c r="DS24" s="34">
        <f t="shared" ref="DS24" si="642">DR22*$G$24</f>
        <v>16</v>
      </c>
      <c r="DT24" s="52"/>
      <c r="DU24" s="34">
        <f t="shared" ref="DU24" si="643">DT22*$G$24</f>
        <v>16</v>
      </c>
      <c r="DV24" s="52"/>
      <c r="DW24" s="34">
        <f t="shared" ref="DW24" si="644">DV22*$G$24</f>
        <v>16</v>
      </c>
      <c r="DX24" s="52"/>
      <c r="DY24" s="34">
        <f t="shared" ref="DY24" si="645">DX22*$G$24</f>
        <v>16</v>
      </c>
      <c r="DZ24" s="52"/>
      <c r="EA24" s="34">
        <f t="shared" ref="EA24" si="646">DZ22*$G$24</f>
        <v>16</v>
      </c>
      <c r="EB24" s="52"/>
      <c r="EC24" s="34">
        <f t="shared" ref="EC24" si="647">EB22*$G$24</f>
        <v>16</v>
      </c>
      <c r="ED24" s="52"/>
      <c r="EE24" s="34">
        <f t="shared" ref="EE24" si="648">ED22*$G$24</f>
        <v>16</v>
      </c>
      <c r="EF24" s="52"/>
      <c r="EG24" s="34">
        <f t="shared" ref="EG24" si="649">EF22*$G$24</f>
        <v>16</v>
      </c>
      <c r="EH24" s="52"/>
      <c r="EI24" s="34">
        <f t="shared" ref="EI24" si="650">EH22*$G$24</f>
        <v>16</v>
      </c>
      <c r="EJ24" s="52"/>
      <c r="EK24" s="34">
        <f t="shared" ref="EK24" si="651">EJ22*$G$24</f>
        <v>16</v>
      </c>
      <c r="EL24" s="52"/>
      <c r="EM24" s="34">
        <f t="shared" ref="EM24" si="652">EL22*$G$24</f>
        <v>16</v>
      </c>
      <c r="EN24" s="52"/>
      <c r="EO24" s="34">
        <f t="shared" ref="EO24" si="653">EN22*$G$24</f>
        <v>16</v>
      </c>
      <c r="EP24" s="52"/>
      <c r="EQ24" s="34">
        <f t="shared" ref="EQ24" si="654">EP22*$G$24</f>
        <v>16</v>
      </c>
      <c r="ER24" s="52"/>
      <c r="ES24" s="34">
        <f t="shared" ref="ES24" si="655">ER22*$G$24</f>
        <v>16</v>
      </c>
      <c r="ET24" s="52"/>
      <c r="EU24" s="34">
        <f t="shared" ref="EU24" si="656">ET22*$G$24</f>
        <v>16</v>
      </c>
      <c r="EV24" s="52"/>
      <c r="EW24" s="34">
        <f t="shared" ref="EW24" si="657">EV22*$G$24</f>
        <v>16</v>
      </c>
      <c r="EX24" s="52"/>
      <c r="EY24" s="34">
        <f t="shared" ref="EY24" si="658">EX22*$G$24</f>
        <v>16</v>
      </c>
      <c r="EZ24" s="52"/>
      <c r="FA24" s="34">
        <f t="shared" ref="FA24" si="659">EZ22*$G$24</f>
        <v>16</v>
      </c>
      <c r="FB24" s="52"/>
      <c r="FC24" s="34">
        <f t="shared" ref="FC24" si="660">FB22*$G$24</f>
        <v>16</v>
      </c>
      <c r="FD24" s="52"/>
      <c r="FE24" s="34">
        <f t="shared" ref="FE24" si="661">FD22*$G$24</f>
        <v>16</v>
      </c>
      <c r="FF24" s="52"/>
      <c r="FG24" s="34">
        <f t="shared" ref="FG24" si="662">FF22*$G$24</f>
        <v>16</v>
      </c>
      <c r="FH24" s="52"/>
      <c r="FI24" s="34">
        <f t="shared" ref="FI24" si="663">FH22*$G$24</f>
        <v>16</v>
      </c>
      <c r="FJ24" s="52"/>
      <c r="FK24" s="34">
        <f t="shared" ref="FK24" si="664">FJ22*$G$24</f>
        <v>16</v>
      </c>
      <c r="FL24" s="52"/>
      <c r="FM24" s="34">
        <f t="shared" ref="FM24" si="665">FL22*$G$24</f>
        <v>16</v>
      </c>
      <c r="FN24" s="52"/>
      <c r="FO24" s="34">
        <f t="shared" ref="FO24" si="666">FN22*$G$24</f>
        <v>16</v>
      </c>
      <c r="FP24" s="52"/>
      <c r="FQ24" s="34">
        <f t="shared" ref="FQ24" si="667">FP22*$G$24</f>
        <v>16</v>
      </c>
    </row>
    <row r="25" spans="1:174" x14ac:dyDescent="0.35">
      <c r="A25" s="10" t="s">
        <v>96</v>
      </c>
      <c r="B25" s="10">
        <v>913</v>
      </c>
      <c r="C25" s="10" t="s">
        <v>92</v>
      </c>
      <c r="D25" s="10" t="s">
        <v>97</v>
      </c>
      <c r="E25" s="10" t="s">
        <v>122</v>
      </c>
      <c r="F25" s="10">
        <v>4</v>
      </c>
      <c r="G25" s="10">
        <v>2</v>
      </c>
      <c r="H25" s="52"/>
      <c r="I25" s="10">
        <f t="shared" ref="I25" si="668">H22*G25</f>
        <v>2610</v>
      </c>
      <c r="J25" s="52"/>
      <c r="K25" s="34">
        <f>J22*$G$25</f>
        <v>20</v>
      </c>
      <c r="L25" s="52"/>
      <c r="M25" s="34">
        <f t="shared" ref="M25" si="669">L22*$G$25</f>
        <v>20</v>
      </c>
      <c r="N25" s="52"/>
      <c r="O25" s="34">
        <f t="shared" ref="O25" si="670">N22*$G$25</f>
        <v>20</v>
      </c>
      <c r="P25" s="52"/>
      <c r="Q25" s="34">
        <f t="shared" ref="Q25" si="671">P22*$G$25</f>
        <v>20</v>
      </c>
      <c r="R25" s="52"/>
      <c r="S25" s="34">
        <f t="shared" ref="S25" si="672">R22*$G$25</f>
        <v>20</v>
      </c>
      <c r="T25" s="52"/>
      <c r="U25" s="34">
        <f t="shared" ref="U25" si="673">T22*$G$25</f>
        <v>20</v>
      </c>
      <c r="V25" s="52"/>
      <c r="W25" s="34">
        <f t="shared" ref="W25" si="674">V22*$G$25</f>
        <v>20</v>
      </c>
      <c r="X25" s="52"/>
      <c r="Y25" s="34">
        <f t="shared" ref="Y25" si="675">X22*$G$25</f>
        <v>20</v>
      </c>
      <c r="Z25" s="52"/>
      <c r="AA25" s="34">
        <f t="shared" ref="AA25" si="676">Z22*$G$25</f>
        <v>20</v>
      </c>
      <c r="AB25" s="52"/>
      <c r="AC25" s="34">
        <f t="shared" ref="AC25" si="677">AB22*$G$25</f>
        <v>20</v>
      </c>
      <c r="AD25" s="52"/>
      <c r="AE25" s="34">
        <f t="shared" ref="AE25" si="678">AD22*$G$25</f>
        <v>20</v>
      </c>
      <c r="AF25" s="52"/>
      <c r="AG25" s="34">
        <f t="shared" ref="AG25" si="679">AF22*$G$25</f>
        <v>20</v>
      </c>
      <c r="AH25" s="52"/>
      <c r="AI25" s="34">
        <f t="shared" ref="AI25" si="680">AH22*$G$25</f>
        <v>20</v>
      </c>
      <c r="AJ25" s="52"/>
      <c r="AK25" s="34">
        <f t="shared" ref="AK25" si="681">AJ22*$G$25</f>
        <v>16</v>
      </c>
      <c r="AL25" s="52"/>
      <c r="AM25" s="34">
        <f t="shared" ref="AM25" si="682">AL22*$G$25</f>
        <v>16</v>
      </c>
      <c r="AN25" s="52"/>
      <c r="AO25" s="34">
        <f t="shared" ref="AO25" si="683">AN22*$G$25</f>
        <v>16</v>
      </c>
      <c r="AP25" s="52"/>
      <c r="AQ25" s="34">
        <f t="shared" ref="AQ25" si="684">AP22*$G$25</f>
        <v>16</v>
      </c>
      <c r="AR25" s="52"/>
      <c r="AS25" s="34">
        <f t="shared" ref="AS25" si="685">AR22*$G$25</f>
        <v>16</v>
      </c>
      <c r="AT25" s="52"/>
      <c r="AU25" s="34">
        <f t="shared" ref="AU25" si="686">AT22*$G$25</f>
        <v>16</v>
      </c>
      <c r="AV25" s="52"/>
      <c r="AW25" s="34">
        <f t="shared" ref="AW25" si="687">AV22*$G$25</f>
        <v>16</v>
      </c>
      <c r="AX25" s="52"/>
      <c r="AY25" s="34">
        <f t="shared" ref="AY25" si="688">AX22*$G$25</f>
        <v>16</v>
      </c>
      <c r="AZ25" s="52"/>
      <c r="BA25" s="34">
        <f t="shared" ref="BA25" si="689">AZ22*$G$25</f>
        <v>16</v>
      </c>
      <c r="BB25" s="52"/>
      <c r="BC25" s="34">
        <f t="shared" ref="BC25" si="690">BB22*$G$25</f>
        <v>16</v>
      </c>
      <c r="BD25" s="52"/>
      <c r="BE25" s="34">
        <f t="shared" ref="BE25" si="691">BD22*$G$25</f>
        <v>16</v>
      </c>
      <c r="BF25" s="52"/>
      <c r="BG25" s="34">
        <f t="shared" ref="BG25" si="692">BF22*$G$25</f>
        <v>16</v>
      </c>
      <c r="BH25" s="52"/>
      <c r="BI25" s="34">
        <f t="shared" ref="BI25" si="693">BH22*$G$25</f>
        <v>16</v>
      </c>
      <c r="BJ25" s="52"/>
      <c r="BK25" s="34">
        <f t="shared" ref="BK25" si="694">BJ22*$G$25</f>
        <v>16</v>
      </c>
      <c r="BL25" s="52"/>
      <c r="BM25" s="34">
        <f t="shared" ref="BM25" si="695">BL22*$G$25</f>
        <v>16</v>
      </c>
      <c r="BN25" s="52"/>
      <c r="BO25" s="34">
        <f t="shared" ref="BO25" si="696">BN22*$G$25</f>
        <v>16</v>
      </c>
      <c r="BP25" s="52"/>
      <c r="BQ25" s="34">
        <f t="shared" ref="BQ25" si="697">BP22*$G$25</f>
        <v>16</v>
      </c>
      <c r="BR25" s="52"/>
      <c r="BS25" s="34">
        <f t="shared" ref="BS25" si="698">BR22*$G$25</f>
        <v>16</v>
      </c>
      <c r="BT25" s="52"/>
      <c r="BU25" s="34">
        <f t="shared" ref="BU25" si="699">BT22*$G$25</f>
        <v>16</v>
      </c>
      <c r="BV25" s="52"/>
      <c r="BW25" s="34">
        <f t="shared" ref="BW25" si="700">BV22*$G$25</f>
        <v>16</v>
      </c>
      <c r="BX25" s="52"/>
      <c r="BY25" s="34">
        <f t="shared" ref="BY25" si="701">BX22*$G$25</f>
        <v>16</v>
      </c>
      <c r="BZ25" s="52"/>
      <c r="CA25" s="34">
        <f t="shared" ref="CA25" si="702">BZ22*$G$25</f>
        <v>16</v>
      </c>
      <c r="CB25" s="52"/>
      <c r="CC25" s="34">
        <f t="shared" ref="CC25" si="703">CB22*$G$25</f>
        <v>16</v>
      </c>
      <c r="CD25" s="52"/>
      <c r="CE25" s="34">
        <f t="shared" ref="CE25" si="704">CD22*$G$25</f>
        <v>16</v>
      </c>
      <c r="CF25" s="52"/>
      <c r="CG25" s="34">
        <f t="shared" ref="CG25" si="705">CF22*$G$25</f>
        <v>16</v>
      </c>
      <c r="CH25" s="52"/>
      <c r="CI25" s="34">
        <f t="shared" ref="CI25" si="706">CH22*$G$25</f>
        <v>16</v>
      </c>
      <c r="CJ25" s="52"/>
      <c r="CK25" s="34">
        <f t="shared" ref="CK25" si="707">CJ22*$G$25</f>
        <v>16</v>
      </c>
      <c r="CL25" s="52"/>
      <c r="CM25" s="34">
        <f t="shared" ref="CM25" si="708">CL22*$G$25</f>
        <v>16</v>
      </c>
      <c r="CN25" s="52"/>
      <c r="CO25" s="34">
        <f t="shared" ref="CO25" si="709">CN22*$G$25</f>
        <v>16</v>
      </c>
      <c r="CP25" s="52"/>
      <c r="CQ25" s="34">
        <f t="shared" ref="CQ25" si="710">CP22*$G$25</f>
        <v>16</v>
      </c>
      <c r="CR25" s="52"/>
      <c r="CS25" s="34">
        <f t="shared" ref="CS25" si="711">CR22*$G$25</f>
        <v>16</v>
      </c>
      <c r="CT25" s="52"/>
      <c r="CU25" s="34">
        <f t="shared" ref="CU25" si="712">CT22*$G$25</f>
        <v>16</v>
      </c>
      <c r="CV25" s="52"/>
      <c r="CW25" s="34">
        <f t="shared" ref="CW25" si="713">CV22*$G$25</f>
        <v>16</v>
      </c>
      <c r="CX25" s="52"/>
      <c r="CY25" s="34">
        <f t="shared" ref="CY25" si="714">CX22*$G$25</f>
        <v>16</v>
      </c>
      <c r="CZ25" s="52"/>
      <c r="DA25" s="34">
        <f t="shared" ref="DA25" si="715">CZ22*$G$25</f>
        <v>16</v>
      </c>
      <c r="DB25" s="52"/>
      <c r="DC25" s="34">
        <f t="shared" ref="DC25" si="716">DB22*$G$25</f>
        <v>16</v>
      </c>
      <c r="DD25" s="52"/>
      <c r="DE25" s="34">
        <f t="shared" ref="DE25" si="717">DD22*$G$25</f>
        <v>16</v>
      </c>
      <c r="DF25" s="52"/>
      <c r="DG25" s="34">
        <f t="shared" ref="DG25" si="718">DF22*$G$25</f>
        <v>16</v>
      </c>
      <c r="DH25" s="52"/>
      <c r="DI25" s="34">
        <f t="shared" ref="DI25" si="719">DH22*$G$25</f>
        <v>16</v>
      </c>
      <c r="DJ25" s="52"/>
      <c r="DK25" s="34">
        <f t="shared" ref="DK25" si="720">DJ22*$G$25</f>
        <v>16</v>
      </c>
      <c r="DL25" s="52"/>
      <c r="DM25" s="34">
        <f t="shared" ref="DM25" si="721">DL22*$G$25</f>
        <v>16</v>
      </c>
      <c r="DN25" s="52"/>
      <c r="DO25" s="34">
        <f t="shared" ref="DO25" si="722">DN22*$G$25</f>
        <v>16</v>
      </c>
      <c r="DP25" s="52"/>
      <c r="DQ25" s="34">
        <f t="shared" ref="DQ25" si="723">DP22*$G$25</f>
        <v>16</v>
      </c>
      <c r="DR25" s="52"/>
      <c r="DS25" s="34">
        <f t="shared" ref="DS25" si="724">DR22*$G$25</f>
        <v>16</v>
      </c>
      <c r="DT25" s="52"/>
      <c r="DU25" s="34">
        <f t="shared" ref="DU25" si="725">DT22*$G$25</f>
        <v>16</v>
      </c>
      <c r="DV25" s="52"/>
      <c r="DW25" s="34">
        <f t="shared" ref="DW25" si="726">DV22*$G$25</f>
        <v>16</v>
      </c>
      <c r="DX25" s="52"/>
      <c r="DY25" s="34">
        <f t="shared" ref="DY25" si="727">DX22*$G$25</f>
        <v>16</v>
      </c>
      <c r="DZ25" s="52"/>
      <c r="EA25" s="34">
        <f t="shared" ref="EA25" si="728">DZ22*$G$25</f>
        <v>16</v>
      </c>
      <c r="EB25" s="52"/>
      <c r="EC25" s="34">
        <f t="shared" ref="EC25" si="729">EB22*$G$25</f>
        <v>16</v>
      </c>
      <c r="ED25" s="52"/>
      <c r="EE25" s="34">
        <f t="shared" ref="EE25" si="730">ED22*$G$25</f>
        <v>16</v>
      </c>
      <c r="EF25" s="52"/>
      <c r="EG25" s="34">
        <f t="shared" ref="EG25" si="731">EF22*$G$25</f>
        <v>16</v>
      </c>
      <c r="EH25" s="52"/>
      <c r="EI25" s="34">
        <f t="shared" ref="EI25" si="732">EH22*$G$25</f>
        <v>16</v>
      </c>
      <c r="EJ25" s="52"/>
      <c r="EK25" s="34">
        <f t="shared" ref="EK25" si="733">EJ22*$G$25</f>
        <v>16</v>
      </c>
      <c r="EL25" s="52"/>
      <c r="EM25" s="34">
        <f t="shared" ref="EM25" si="734">EL22*$G$25</f>
        <v>16</v>
      </c>
      <c r="EN25" s="52"/>
      <c r="EO25" s="34">
        <f t="shared" ref="EO25" si="735">EN22*$G$25</f>
        <v>16</v>
      </c>
      <c r="EP25" s="52"/>
      <c r="EQ25" s="34">
        <f t="shared" ref="EQ25" si="736">EP22*$G$25</f>
        <v>16</v>
      </c>
      <c r="ER25" s="52"/>
      <c r="ES25" s="34">
        <f t="shared" ref="ES25" si="737">ER22*$G$25</f>
        <v>16</v>
      </c>
      <c r="ET25" s="52"/>
      <c r="EU25" s="34">
        <f t="shared" ref="EU25" si="738">ET22*$G$25</f>
        <v>16</v>
      </c>
      <c r="EV25" s="52"/>
      <c r="EW25" s="34">
        <f t="shared" ref="EW25" si="739">EV22*$G$25</f>
        <v>16</v>
      </c>
      <c r="EX25" s="52"/>
      <c r="EY25" s="34">
        <f t="shared" ref="EY25" si="740">EX22*$G$25</f>
        <v>16</v>
      </c>
      <c r="EZ25" s="52"/>
      <c r="FA25" s="34">
        <f t="shared" ref="FA25" si="741">EZ22*$G$25</f>
        <v>16</v>
      </c>
      <c r="FB25" s="52"/>
      <c r="FC25" s="34">
        <f t="shared" ref="FC25" si="742">FB22*$G$25</f>
        <v>16</v>
      </c>
      <c r="FD25" s="52"/>
      <c r="FE25" s="34">
        <f t="shared" ref="FE25" si="743">FD22*$G$25</f>
        <v>16</v>
      </c>
      <c r="FF25" s="52"/>
      <c r="FG25" s="34">
        <f t="shared" ref="FG25" si="744">FF22*$G$25</f>
        <v>16</v>
      </c>
      <c r="FH25" s="52"/>
      <c r="FI25" s="34">
        <f t="shared" ref="FI25" si="745">FH22*$G$25</f>
        <v>16</v>
      </c>
      <c r="FJ25" s="52"/>
      <c r="FK25" s="34">
        <f t="shared" ref="FK25" si="746">FJ22*$G$25</f>
        <v>16</v>
      </c>
      <c r="FL25" s="52"/>
      <c r="FM25" s="34">
        <f t="shared" ref="FM25" si="747">FL22*$G$25</f>
        <v>16</v>
      </c>
      <c r="FN25" s="52"/>
      <c r="FO25" s="34">
        <f t="shared" ref="FO25" si="748">FN22*$G$25</f>
        <v>16</v>
      </c>
      <c r="FP25" s="52"/>
      <c r="FQ25" s="34">
        <f t="shared" ref="FQ25" si="749">FP22*$G$25</f>
        <v>16</v>
      </c>
    </row>
    <row r="26" spans="1:174" x14ac:dyDescent="0.35">
      <c r="A26" s="10" t="s">
        <v>96</v>
      </c>
      <c r="B26" s="10">
        <v>913</v>
      </c>
      <c r="C26" s="10" t="s">
        <v>92</v>
      </c>
      <c r="D26" s="10" t="s">
        <v>97</v>
      </c>
      <c r="E26" s="10" t="s">
        <v>123</v>
      </c>
      <c r="F26" s="10">
        <v>5</v>
      </c>
      <c r="G26" s="10">
        <v>0</v>
      </c>
      <c r="H26" s="52"/>
      <c r="I26" s="10">
        <f t="shared" ref="I26" si="750">H22*G26</f>
        <v>0</v>
      </c>
      <c r="J26" s="52"/>
      <c r="K26" s="34">
        <f>J22*$G$26</f>
        <v>0</v>
      </c>
      <c r="L26" s="52"/>
      <c r="M26" s="34">
        <f t="shared" ref="M26" si="751">L22*$G$26</f>
        <v>0</v>
      </c>
      <c r="N26" s="52"/>
      <c r="O26" s="34">
        <f t="shared" ref="O26" si="752">N22*$G$26</f>
        <v>0</v>
      </c>
      <c r="P26" s="52"/>
      <c r="Q26" s="34">
        <f t="shared" ref="Q26" si="753">P22*$G$26</f>
        <v>0</v>
      </c>
      <c r="R26" s="52"/>
      <c r="S26" s="34">
        <f t="shared" ref="S26" si="754">R22*$G$26</f>
        <v>0</v>
      </c>
      <c r="T26" s="52"/>
      <c r="U26" s="34">
        <f t="shared" ref="U26" si="755">T22*$G$26</f>
        <v>0</v>
      </c>
      <c r="V26" s="52"/>
      <c r="W26" s="34">
        <f t="shared" ref="W26" si="756">V22*$G$26</f>
        <v>0</v>
      </c>
      <c r="X26" s="52"/>
      <c r="Y26" s="34">
        <f t="shared" ref="Y26" si="757">X22*$G$26</f>
        <v>0</v>
      </c>
      <c r="Z26" s="52"/>
      <c r="AA26" s="34">
        <f t="shared" ref="AA26" si="758">Z22*$G$26</f>
        <v>0</v>
      </c>
      <c r="AB26" s="52"/>
      <c r="AC26" s="34">
        <f t="shared" ref="AC26" si="759">AB22*$G$26</f>
        <v>0</v>
      </c>
      <c r="AD26" s="52"/>
      <c r="AE26" s="34">
        <f t="shared" ref="AE26" si="760">AD22*$G$26</f>
        <v>0</v>
      </c>
      <c r="AF26" s="52"/>
      <c r="AG26" s="34">
        <f t="shared" ref="AG26" si="761">AF22*$G$26</f>
        <v>0</v>
      </c>
      <c r="AH26" s="52"/>
      <c r="AI26" s="34">
        <f t="shared" ref="AI26" si="762">AH22*$G$26</f>
        <v>0</v>
      </c>
      <c r="AJ26" s="52"/>
      <c r="AK26" s="34">
        <f t="shared" ref="AK26" si="763">AJ22*$G$26</f>
        <v>0</v>
      </c>
      <c r="AL26" s="52"/>
      <c r="AM26" s="34">
        <f t="shared" ref="AM26" si="764">AL22*$G$26</f>
        <v>0</v>
      </c>
      <c r="AN26" s="52"/>
      <c r="AO26" s="34">
        <f t="shared" ref="AO26" si="765">AN22*$G$26</f>
        <v>0</v>
      </c>
      <c r="AP26" s="52"/>
      <c r="AQ26" s="34">
        <f t="shared" ref="AQ26" si="766">AP22*$G$26</f>
        <v>0</v>
      </c>
      <c r="AR26" s="52"/>
      <c r="AS26" s="34">
        <f t="shared" ref="AS26" si="767">AR22*$G$26</f>
        <v>0</v>
      </c>
      <c r="AT26" s="52"/>
      <c r="AU26" s="34">
        <f t="shared" ref="AU26" si="768">AT22*$G$26</f>
        <v>0</v>
      </c>
      <c r="AV26" s="52"/>
      <c r="AW26" s="34">
        <f t="shared" ref="AW26" si="769">AV22*$G$26</f>
        <v>0</v>
      </c>
      <c r="AX26" s="52"/>
      <c r="AY26" s="34">
        <f t="shared" ref="AY26" si="770">AX22*$G$26</f>
        <v>0</v>
      </c>
      <c r="AZ26" s="52"/>
      <c r="BA26" s="34">
        <f t="shared" ref="BA26" si="771">AZ22*$G$26</f>
        <v>0</v>
      </c>
      <c r="BB26" s="52"/>
      <c r="BC26" s="34">
        <f t="shared" ref="BC26" si="772">BB22*$G$26</f>
        <v>0</v>
      </c>
      <c r="BD26" s="52"/>
      <c r="BE26" s="34">
        <f t="shared" ref="BE26" si="773">BD22*$G$26</f>
        <v>0</v>
      </c>
      <c r="BF26" s="52"/>
      <c r="BG26" s="34">
        <f t="shared" ref="BG26" si="774">BF22*$G$26</f>
        <v>0</v>
      </c>
      <c r="BH26" s="52"/>
      <c r="BI26" s="34">
        <f t="shared" ref="BI26" si="775">BH22*$G$26</f>
        <v>0</v>
      </c>
      <c r="BJ26" s="52"/>
      <c r="BK26" s="34">
        <f t="shared" ref="BK26" si="776">BJ22*$G$26</f>
        <v>0</v>
      </c>
      <c r="BL26" s="52"/>
      <c r="BM26" s="34">
        <f t="shared" ref="BM26" si="777">BL22*$G$26</f>
        <v>0</v>
      </c>
      <c r="BN26" s="52"/>
      <c r="BO26" s="34">
        <f t="shared" ref="BO26" si="778">BN22*$G$26</f>
        <v>0</v>
      </c>
      <c r="BP26" s="52"/>
      <c r="BQ26" s="34">
        <f t="shared" ref="BQ26" si="779">BP22*$G$26</f>
        <v>0</v>
      </c>
      <c r="BR26" s="52"/>
      <c r="BS26" s="34">
        <f t="shared" ref="BS26" si="780">BR22*$G$26</f>
        <v>0</v>
      </c>
      <c r="BT26" s="52"/>
      <c r="BU26" s="34">
        <f t="shared" ref="BU26" si="781">BT22*$G$26</f>
        <v>0</v>
      </c>
      <c r="BV26" s="52"/>
      <c r="BW26" s="34">
        <f t="shared" ref="BW26" si="782">BV22*$G$26</f>
        <v>0</v>
      </c>
      <c r="BX26" s="52"/>
      <c r="BY26" s="34">
        <f t="shared" ref="BY26" si="783">BX22*$G$26</f>
        <v>0</v>
      </c>
      <c r="BZ26" s="52"/>
      <c r="CA26" s="34">
        <f t="shared" ref="CA26" si="784">BZ22*$G$26</f>
        <v>0</v>
      </c>
      <c r="CB26" s="52"/>
      <c r="CC26" s="34">
        <f t="shared" ref="CC26" si="785">CB22*$G$26</f>
        <v>0</v>
      </c>
      <c r="CD26" s="52"/>
      <c r="CE26" s="34">
        <f t="shared" ref="CE26" si="786">CD22*$G$26</f>
        <v>0</v>
      </c>
      <c r="CF26" s="52"/>
      <c r="CG26" s="34">
        <f t="shared" ref="CG26" si="787">CF22*$G$26</f>
        <v>0</v>
      </c>
      <c r="CH26" s="52"/>
      <c r="CI26" s="34">
        <f t="shared" ref="CI26" si="788">CH22*$G$26</f>
        <v>0</v>
      </c>
      <c r="CJ26" s="52"/>
      <c r="CK26" s="34">
        <f t="shared" ref="CK26" si="789">CJ22*$G$26</f>
        <v>0</v>
      </c>
      <c r="CL26" s="52"/>
      <c r="CM26" s="34">
        <f t="shared" ref="CM26" si="790">CL22*$G$26</f>
        <v>0</v>
      </c>
      <c r="CN26" s="52"/>
      <c r="CO26" s="34">
        <f t="shared" ref="CO26" si="791">CN22*$G$26</f>
        <v>0</v>
      </c>
      <c r="CP26" s="52"/>
      <c r="CQ26" s="34">
        <f t="shared" ref="CQ26" si="792">CP22*$G$26</f>
        <v>0</v>
      </c>
      <c r="CR26" s="52"/>
      <c r="CS26" s="34">
        <f t="shared" ref="CS26" si="793">CR22*$G$26</f>
        <v>0</v>
      </c>
      <c r="CT26" s="52"/>
      <c r="CU26" s="34">
        <f t="shared" ref="CU26" si="794">CT22*$G$26</f>
        <v>0</v>
      </c>
      <c r="CV26" s="52"/>
      <c r="CW26" s="34">
        <f t="shared" ref="CW26" si="795">CV22*$G$26</f>
        <v>0</v>
      </c>
      <c r="CX26" s="52"/>
      <c r="CY26" s="34">
        <f t="shared" ref="CY26" si="796">CX22*$G$26</f>
        <v>0</v>
      </c>
      <c r="CZ26" s="52"/>
      <c r="DA26" s="34">
        <f t="shared" ref="DA26" si="797">CZ22*$G$26</f>
        <v>0</v>
      </c>
      <c r="DB26" s="52"/>
      <c r="DC26" s="34">
        <f t="shared" ref="DC26" si="798">DB22*$G$26</f>
        <v>0</v>
      </c>
      <c r="DD26" s="52"/>
      <c r="DE26" s="34">
        <f t="shared" ref="DE26" si="799">DD22*$G$26</f>
        <v>0</v>
      </c>
      <c r="DF26" s="52"/>
      <c r="DG26" s="34">
        <f t="shared" ref="DG26" si="800">DF22*$G$26</f>
        <v>0</v>
      </c>
      <c r="DH26" s="52"/>
      <c r="DI26" s="34">
        <f t="shared" ref="DI26" si="801">DH22*$G$26</f>
        <v>0</v>
      </c>
      <c r="DJ26" s="52"/>
      <c r="DK26" s="34">
        <f t="shared" ref="DK26" si="802">DJ22*$G$26</f>
        <v>0</v>
      </c>
      <c r="DL26" s="52"/>
      <c r="DM26" s="34">
        <f t="shared" ref="DM26" si="803">DL22*$G$26</f>
        <v>0</v>
      </c>
      <c r="DN26" s="52"/>
      <c r="DO26" s="34">
        <f t="shared" ref="DO26" si="804">DN22*$G$26</f>
        <v>0</v>
      </c>
      <c r="DP26" s="52"/>
      <c r="DQ26" s="34">
        <f t="shared" ref="DQ26" si="805">DP22*$G$26</f>
        <v>0</v>
      </c>
      <c r="DR26" s="52"/>
      <c r="DS26" s="34">
        <f t="shared" ref="DS26" si="806">DR22*$G$26</f>
        <v>0</v>
      </c>
      <c r="DT26" s="52"/>
      <c r="DU26" s="34">
        <f t="shared" ref="DU26" si="807">DT22*$G$26</f>
        <v>0</v>
      </c>
      <c r="DV26" s="52"/>
      <c r="DW26" s="34">
        <f t="shared" ref="DW26" si="808">DV22*$G$26</f>
        <v>0</v>
      </c>
      <c r="DX26" s="52"/>
      <c r="DY26" s="34">
        <f t="shared" ref="DY26" si="809">DX22*$G$26</f>
        <v>0</v>
      </c>
      <c r="DZ26" s="52"/>
      <c r="EA26" s="34">
        <f t="shared" ref="EA26" si="810">DZ22*$G$26</f>
        <v>0</v>
      </c>
      <c r="EB26" s="52"/>
      <c r="EC26" s="34">
        <f t="shared" ref="EC26" si="811">EB22*$G$26</f>
        <v>0</v>
      </c>
      <c r="ED26" s="52"/>
      <c r="EE26" s="34">
        <f t="shared" ref="EE26" si="812">ED22*$G$26</f>
        <v>0</v>
      </c>
      <c r="EF26" s="52"/>
      <c r="EG26" s="34">
        <f t="shared" ref="EG26" si="813">EF22*$G$26</f>
        <v>0</v>
      </c>
      <c r="EH26" s="52"/>
      <c r="EI26" s="34">
        <f t="shared" ref="EI26" si="814">EH22*$G$26</f>
        <v>0</v>
      </c>
      <c r="EJ26" s="52"/>
      <c r="EK26" s="34">
        <f t="shared" ref="EK26" si="815">EJ22*$G$26</f>
        <v>0</v>
      </c>
      <c r="EL26" s="52"/>
      <c r="EM26" s="34">
        <f t="shared" ref="EM26" si="816">EL22*$G$26</f>
        <v>0</v>
      </c>
      <c r="EN26" s="52"/>
      <c r="EO26" s="34">
        <f t="shared" ref="EO26" si="817">EN22*$G$26</f>
        <v>0</v>
      </c>
      <c r="EP26" s="52"/>
      <c r="EQ26" s="34">
        <f t="shared" ref="EQ26" si="818">EP22*$G$26</f>
        <v>0</v>
      </c>
      <c r="ER26" s="52"/>
      <c r="ES26" s="34">
        <f t="shared" ref="ES26" si="819">ER22*$G$26</f>
        <v>0</v>
      </c>
      <c r="ET26" s="52"/>
      <c r="EU26" s="34">
        <f t="shared" ref="EU26" si="820">ET22*$G$26</f>
        <v>0</v>
      </c>
      <c r="EV26" s="52"/>
      <c r="EW26" s="34">
        <f t="shared" ref="EW26" si="821">EV22*$G$26</f>
        <v>0</v>
      </c>
      <c r="EX26" s="52"/>
      <c r="EY26" s="34">
        <f t="shared" ref="EY26" si="822">EX22*$G$26</f>
        <v>0</v>
      </c>
      <c r="EZ26" s="52"/>
      <c r="FA26" s="34">
        <f t="shared" ref="FA26" si="823">EZ22*$G$26</f>
        <v>0</v>
      </c>
      <c r="FB26" s="52"/>
      <c r="FC26" s="34">
        <f t="shared" ref="FC26" si="824">FB22*$G$26</f>
        <v>0</v>
      </c>
      <c r="FD26" s="52"/>
      <c r="FE26" s="34">
        <f t="shared" ref="FE26" si="825">FD22*$G$26</f>
        <v>0</v>
      </c>
      <c r="FF26" s="52"/>
      <c r="FG26" s="34">
        <f t="shared" ref="FG26" si="826">FF22*$G$26</f>
        <v>0</v>
      </c>
      <c r="FH26" s="52"/>
      <c r="FI26" s="34">
        <f t="shared" ref="FI26" si="827">FH22*$G$26</f>
        <v>0</v>
      </c>
      <c r="FJ26" s="52"/>
      <c r="FK26" s="34">
        <f t="shared" ref="FK26" si="828">FJ22*$G$26</f>
        <v>0</v>
      </c>
      <c r="FL26" s="52"/>
      <c r="FM26" s="34">
        <f t="shared" ref="FM26" si="829">FL22*$G$26</f>
        <v>0</v>
      </c>
      <c r="FN26" s="52"/>
      <c r="FO26" s="34">
        <f t="shared" ref="FO26" si="830">FN22*$G$26</f>
        <v>0</v>
      </c>
      <c r="FP26" s="52"/>
      <c r="FQ26" s="34">
        <f t="shared" ref="FQ26" si="831">FP22*$G$26</f>
        <v>0</v>
      </c>
    </row>
    <row r="27" spans="1:174" x14ac:dyDescent="0.35">
      <c r="A27" s="10" t="s">
        <v>96</v>
      </c>
      <c r="B27" s="10">
        <v>913</v>
      </c>
      <c r="C27" s="10" t="s">
        <v>92</v>
      </c>
      <c r="D27" s="10" t="s">
        <v>97</v>
      </c>
      <c r="E27" s="10" t="s">
        <v>124</v>
      </c>
      <c r="F27" s="10">
        <v>6</v>
      </c>
      <c r="G27" s="10">
        <v>0</v>
      </c>
      <c r="H27" s="52"/>
      <c r="I27" s="10">
        <f t="shared" ref="I27" si="832">H22*G27</f>
        <v>0</v>
      </c>
      <c r="J27" s="52"/>
      <c r="K27" s="34">
        <f>J22*$G$27</f>
        <v>0</v>
      </c>
      <c r="L27" s="52"/>
      <c r="M27" s="34">
        <f t="shared" ref="M27" si="833">L22*$G$27</f>
        <v>0</v>
      </c>
      <c r="N27" s="52"/>
      <c r="O27" s="34">
        <f t="shared" ref="O27" si="834">N22*$G$27</f>
        <v>0</v>
      </c>
      <c r="P27" s="52"/>
      <c r="Q27" s="34">
        <f t="shared" ref="Q27" si="835">P22*$G$27</f>
        <v>0</v>
      </c>
      <c r="R27" s="52"/>
      <c r="S27" s="34">
        <f t="shared" ref="S27" si="836">R22*$G$27</f>
        <v>0</v>
      </c>
      <c r="T27" s="52"/>
      <c r="U27" s="34">
        <f t="shared" ref="U27" si="837">T22*$G$27</f>
        <v>0</v>
      </c>
      <c r="V27" s="52"/>
      <c r="W27" s="34">
        <f t="shared" ref="W27" si="838">V22*$G$27</f>
        <v>0</v>
      </c>
      <c r="X27" s="52"/>
      <c r="Y27" s="34">
        <f t="shared" ref="Y27" si="839">X22*$G$27</f>
        <v>0</v>
      </c>
      <c r="Z27" s="52"/>
      <c r="AA27" s="34">
        <f t="shared" ref="AA27" si="840">Z22*$G$27</f>
        <v>0</v>
      </c>
      <c r="AB27" s="52"/>
      <c r="AC27" s="34">
        <f t="shared" ref="AC27" si="841">AB22*$G$27</f>
        <v>0</v>
      </c>
      <c r="AD27" s="52"/>
      <c r="AE27" s="34">
        <f t="shared" ref="AE27" si="842">AD22*$G$27</f>
        <v>0</v>
      </c>
      <c r="AF27" s="52"/>
      <c r="AG27" s="34">
        <f t="shared" ref="AG27" si="843">AF22*$G$27</f>
        <v>0</v>
      </c>
      <c r="AH27" s="52"/>
      <c r="AI27" s="34">
        <f t="shared" ref="AI27" si="844">AH22*$G$27</f>
        <v>0</v>
      </c>
      <c r="AJ27" s="52"/>
      <c r="AK27" s="34">
        <f t="shared" ref="AK27" si="845">AJ22*$G$27</f>
        <v>0</v>
      </c>
      <c r="AL27" s="52"/>
      <c r="AM27" s="34">
        <f t="shared" ref="AM27" si="846">AL22*$G$27</f>
        <v>0</v>
      </c>
      <c r="AN27" s="52"/>
      <c r="AO27" s="34">
        <f t="shared" ref="AO27" si="847">AN22*$G$27</f>
        <v>0</v>
      </c>
      <c r="AP27" s="52"/>
      <c r="AQ27" s="34">
        <f t="shared" ref="AQ27" si="848">AP22*$G$27</f>
        <v>0</v>
      </c>
      <c r="AR27" s="52"/>
      <c r="AS27" s="34">
        <f t="shared" ref="AS27" si="849">AR22*$G$27</f>
        <v>0</v>
      </c>
      <c r="AT27" s="52"/>
      <c r="AU27" s="34">
        <f t="shared" ref="AU27" si="850">AT22*$G$27</f>
        <v>0</v>
      </c>
      <c r="AV27" s="52"/>
      <c r="AW27" s="34">
        <f t="shared" ref="AW27" si="851">AV22*$G$27</f>
        <v>0</v>
      </c>
      <c r="AX27" s="52"/>
      <c r="AY27" s="34">
        <f t="shared" ref="AY27" si="852">AX22*$G$27</f>
        <v>0</v>
      </c>
      <c r="AZ27" s="52"/>
      <c r="BA27" s="34">
        <f t="shared" ref="BA27" si="853">AZ22*$G$27</f>
        <v>0</v>
      </c>
      <c r="BB27" s="52"/>
      <c r="BC27" s="34">
        <f t="shared" ref="BC27" si="854">BB22*$G$27</f>
        <v>0</v>
      </c>
      <c r="BD27" s="52"/>
      <c r="BE27" s="34">
        <f t="shared" ref="BE27" si="855">BD22*$G$27</f>
        <v>0</v>
      </c>
      <c r="BF27" s="52"/>
      <c r="BG27" s="34">
        <f t="shared" ref="BG27" si="856">BF22*$G$27</f>
        <v>0</v>
      </c>
      <c r="BH27" s="52"/>
      <c r="BI27" s="34">
        <f t="shared" ref="BI27" si="857">BH22*$G$27</f>
        <v>0</v>
      </c>
      <c r="BJ27" s="52"/>
      <c r="BK27" s="34">
        <f t="shared" ref="BK27" si="858">BJ22*$G$27</f>
        <v>0</v>
      </c>
      <c r="BL27" s="52"/>
      <c r="BM27" s="34">
        <f t="shared" ref="BM27" si="859">BL22*$G$27</f>
        <v>0</v>
      </c>
      <c r="BN27" s="52"/>
      <c r="BO27" s="34">
        <f t="shared" ref="BO27" si="860">BN22*$G$27</f>
        <v>0</v>
      </c>
      <c r="BP27" s="52"/>
      <c r="BQ27" s="34">
        <f t="shared" ref="BQ27" si="861">BP22*$G$27</f>
        <v>0</v>
      </c>
      <c r="BR27" s="52"/>
      <c r="BS27" s="34">
        <f t="shared" ref="BS27" si="862">BR22*$G$27</f>
        <v>0</v>
      </c>
      <c r="BT27" s="52"/>
      <c r="BU27" s="34">
        <f t="shared" ref="BU27" si="863">BT22*$G$27</f>
        <v>0</v>
      </c>
      <c r="BV27" s="52"/>
      <c r="BW27" s="34">
        <f t="shared" ref="BW27" si="864">BV22*$G$27</f>
        <v>0</v>
      </c>
      <c r="BX27" s="52"/>
      <c r="BY27" s="34">
        <f t="shared" ref="BY27" si="865">BX22*$G$27</f>
        <v>0</v>
      </c>
      <c r="BZ27" s="52"/>
      <c r="CA27" s="34">
        <f t="shared" ref="CA27" si="866">BZ22*$G$27</f>
        <v>0</v>
      </c>
      <c r="CB27" s="52"/>
      <c r="CC27" s="34">
        <f t="shared" ref="CC27" si="867">CB22*$G$27</f>
        <v>0</v>
      </c>
      <c r="CD27" s="52"/>
      <c r="CE27" s="34">
        <f t="shared" ref="CE27" si="868">CD22*$G$27</f>
        <v>0</v>
      </c>
      <c r="CF27" s="52"/>
      <c r="CG27" s="34">
        <f t="shared" ref="CG27" si="869">CF22*$G$27</f>
        <v>0</v>
      </c>
      <c r="CH27" s="52"/>
      <c r="CI27" s="34">
        <f t="shared" ref="CI27" si="870">CH22*$G$27</f>
        <v>0</v>
      </c>
      <c r="CJ27" s="52"/>
      <c r="CK27" s="34">
        <f t="shared" ref="CK27" si="871">CJ22*$G$27</f>
        <v>0</v>
      </c>
      <c r="CL27" s="52"/>
      <c r="CM27" s="34">
        <f t="shared" ref="CM27" si="872">CL22*$G$27</f>
        <v>0</v>
      </c>
      <c r="CN27" s="52"/>
      <c r="CO27" s="34">
        <f t="shared" ref="CO27" si="873">CN22*$G$27</f>
        <v>0</v>
      </c>
      <c r="CP27" s="52"/>
      <c r="CQ27" s="34">
        <f t="shared" ref="CQ27" si="874">CP22*$G$27</f>
        <v>0</v>
      </c>
      <c r="CR27" s="52"/>
      <c r="CS27" s="34">
        <f t="shared" ref="CS27" si="875">CR22*$G$27</f>
        <v>0</v>
      </c>
      <c r="CT27" s="52"/>
      <c r="CU27" s="34">
        <f t="shared" ref="CU27" si="876">CT22*$G$27</f>
        <v>0</v>
      </c>
      <c r="CV27" s="52"/>
      <c r="CW27" s="34">
        <f t="shared" ref="CW27" si="877">CV22*$G$27</f>
        <v>0</v>
      </c>
      <c r="CX27" s="52"/>
      <c r="CY27" s="34">
        <f t="shared" ref="CY27" si="878">CX22*$G$27</f>
        <v>0</v>
      </c>
      <c r="CZ27" s="52"/>
      <c r="DA27" s="34">
        <f t="shared" ref="DA27" si="879">CZ22*$G$27</f>
        <v>0</v>
      </c>
      <c r="DB27" s="52"/>
      <c r="DC27" s="34">
        <f t="shared" ref="DC27" si="880">DB22*$G$27</f>
        <v>0</v>
      </c>
      <c r="DD27" s="52"/>
      <c r="DE27" s="34">
        <f t="shared" ref="DE27" si="881">DD22*$G$27</f>
        <v>0</v>
      </c>
      <c r="DF27" s="52"/>
      <c r="DG27" s="34">
        <f t="shared" ref="DG27" si="882">DF22*$G$27</f>
        <v>0</v>
      </c>
      <c r="DH27" s="52"/>
      <c r="DI27" s="34">
        <f t="shared" ref="DI27" si="883">DH22*$G$27</f>
        <v>0</v>
      </c>
      <c r="DJ27" s="52"/>
      <c r="DK27" s="34">
        <f t="shared" ref="DK27" si="884">DJ22*$G$27</f>
        <v>0</v>
      </c>
      <c r="DL27" s="52"/>
      <c r="DM27" s="34">
        <f t="shared" ref="DM27" si="885">DL22*$G$27</f>
        <v>0</v>
      </c>
      <c r="DN27" s="52"/>
      <c r="DO27" s="34">
        <f t="shared" ref="DO27" si="886">DN22*$G$27</f>
        <v>0</v>
      </c>
      <c r="DP27" s="52"/>
      <c r="DQ27" s="34">
        <f t="shared" ref="DQ27" si="887">DP22*$G$27</f>
        <v>0</v>
      </c>
      <c r="DR27" s="52"/>
      <c r="DS27" s="34">
        <f t="shared" ref="DS27" si="888">DR22*$G$27</f>
        <v>0</v>
      </c>
      <c r="DT27" s="52"/>
      <c r="DU27" s="34">
        <f t="shared" ref="DU27" si="889">DT22*$G$27</f>
        <v>0</v>
      </c>
      <c r="DV27" s="52"/>
      <c r="DW27" s="34">
        <f t="shared" ref="DW27" si="890">DV22*$G$27</f>
        <v>0</v>
      </c>
      <c r="DX27" s="52"/>
      <c r="DY27" s="34">
        <f t="shared" ref="DY27" si="891">DX22*$G$27</f>
        <v>0</v>
      </c>
      <c r="DZ27" s="52"/>
      <c r="EA27" s="34">
        <f t="shared" ref="EA27" si="892">DZ22*$G$27</f>
        <v>0</v>
      </c>
      <c r="EB27" s="52"/>
      <c r="EC27" s="34">
        <f t="shared" ref="EC27" si="893">EB22*$G$27</f>
        <v>0</v>
      </c>
      <c r="ED27" s="52"/>
      <c r="EE27" s="34">
        <f t="shared" ref="EE27" si="894">ED22*$G$27</f>
        <v>0</v>
      </c>
      <c r="EF27" s="52"/>
      <c r="EG27" s="34">
        <f t="shared" ref="EG27" si="895">EF22*$G$27</f>
        <v>0</v>
      </c>
      <c r="EH27" s="52"/>
      <c r="EI27" s="34">
        <f t="shared" ref="EI27" si="896">EH22*$G$27</f>
        <v>0</v>
      </c>
      <c r="EJ27" s="52"/>
      <c r="EK27" s="34">
        <f t="shared" ref="EK27" si="897">EJ22*$G$27</f>
        <v>0</v>
      </c>
      <c r="EL27" s="52"/>
      <c r="EM27" s="34">
        <f t="shared" ref="EM27" si="898">EL22*$G$27</f>
        <v>0</v>
      </c>
      <c r="EN27" s="52"/>
      <c r="EO27" s="34">
        <f t="shared" ref="EO27" si="899">EN22*$G$27</f>
        <v>0</v>
      </c>
      <c r="EP27" s="52"/>
      <c r="EQ27" s="34">
        <f t="shared" ref="EQ27" si="900">EP22*$G$27</f>
        <v>0</v>
      </c>
      <c r="ER27" s="52"/>
      <c r="ES27" s="34">
        <f t="shared" ref="ES27" si="901">ER22*$G$27</f>
        <v>0</v>
      </c>
      <c r="ET27" s="52"/>
      <c r="EU27" s="34">
        <f t="shared" ref="EU27" si="902">ET22*$G$27</f>
        <v>0</v>
      </c>
      <c r="EV27" s="52"/>
      <c r="EW27" s="34">
        <f t="shared" ref="EW27" si="903">EV22*$G$27</f>
        <v>0</v>
      </c>
      <c r="EX27" s="52"/>
      <c r="EY27" s="34">
        <f t="shared" ref="EY27" si="904">EX22*$G$27</f>
        <v>0</v>
      </c>
      <c r="EZ27" s="52"/>
      <c r="FA27" s="34">
        <f t="shared" ref="FA27" si="905">EZ22*$G$27</f>
        <v>0</v>
      </c>
      <c r="FB27" s="52"/>
      <c r="FC27" s="34">
        <f t="shared" ref="FC27" si="906">FB22*$G$27</f>
        <v>0</v>
      </c>
      <c r="FD27" s="52"/>
      <c r="FE27" s="34">
        <f t="shared" ref="FE27" si="907">FD22*$G$27</f>
        <v>0</v>
      </c>
      <c r="FF27" s="52"/>
      <c r="FG27" s="34">
        <f t="shared" ref="FG27" si="908">FF22*$G$27</f>
        <v>0</v>
      </c>
      <c r="FH27" s="52"/>
      <c r="FI27" s="34">
        <f t="shared" ref="FI27" si="909">FH22*$G$27</f>
        <v>0</v>
      </c>
      <c r="FJ27" s="52"/>
      <c r="FK27" s="34">
        <f t="shared" ref="FK27" si="910">FJ22*$G$27</f>
        <v>0</v>
      </c>
      <c r="FL27" s="52"/>
      <c r="FM27" s="34">
        <f t="shared" ref="FM27" si="911">FL22*$G$27</f>
        <v>0</v>
      </c>
      <c r="FN27" s="52"/>
      <c r="FO27" s="34">
        <f t="shared" ref="FO27" si="912">FN22*$G$27</f>
        <v>0</v>
      </c>
      <c r="FP27" s="52"/>
      <c r="FQ27" s="34">
        <f t="shared" ref="FQ27" si="913">FP22*$G$27</f>
        <v>0</v>
      </c>
    </row>
    <row r="28" spans="1:174" x14ac:dyDescent="0.35">
      <c r="A28" s="11" t="s">
        <v>125</v>
      </c>
      <c r="B28" s="11">
        <v>913</v>
      </c>
      <c r="C28" s="11" t="s">
        <v>12</v>
      </c>
      <c r="D28" s="11" t="s">
        <v>126</v>
      </c>
      <c r="E28" s="11" t="s">
        <v>16</v>
      </c>
      <c r="F28" s="11">
        <v>1</v>
      </c>
      <c r="G28" s="11">
        <v>0</v>
      </c>
      <c r="H28" s="53">
        <v>520</v>
      </c>
      <c r="I28" s="11">
        <f t="shared" ref="I28" si="914">H28*G28</f>
        <v>0</v>
      </c>
      <c r="J28" s="53">
        <v>4</v>
      </c>
      <c r="K28" s="35">
        <f>J28*$G$28</f>
        <v>0</v>
      </c>
      <c r="L28" s="53">
        <v>4</v>
      </c>
      <c r="M28" s="35">
        <f t="shared" ref="M28" si="915">L28*$G$28</f>
        <v>0</v>
      </c>
      <c r="N28" s="53">
        <v>4</v>
      </c>
      <c r="O28" s="35">
        <f t="shared" ref="O28" si="916">N28*$G$28</f>
        <v>0</v>
      </c>
      <c r="P28" s="53">
        <v>4</v>
      </c>
      <c r="Q28" s="35">
        <f t="shared" ref="Q28" si="917">P28*$G$28</f>
        <v>0</v>
      </c>
      <c r="R28" s="53">
        <v>4</v>
      </c>
      <c r="S28" s="35">
        <f t="shared" ref="S28" si="918">R28*$G$28</f>
        <v>0</v>
      </c>
      <c r="T28" s="53">
        <v>4</v>
      </c>
      <c r="U28" s="35">
        <f t="shared" ref="U28" si="919">T28*$G$28</f>
        <v>0</v>
      </c>
      <c r="V28" s="53">
        <v>4</v>
      </c>
      <c r="W28" s="35">
        <f t="shared" ref="W28" si="920">V28*$G$28</f>
        <v>0</v>
      </c>
      <c r="X28" s="53">
        <v>4</v>
      </c>
      <c r="Y28" s="35">
        <f t="shared" ref="Y28" si="921">X28*$G$28</f>
        <v>0</v>
      </c>
      <c r="Z28" s="53">
        <v>4</v>
      </c>
      <c r="AA28" s="35">
        <f t="shared" ref="AA28" si="922">Z28*$G$28</f>
        <v>0</v>
      </c>
      <c r="AB28" s="53">
        <v>4</v>
      </c>
      <c r="AC28" s="35">
        <f t="shared" ref="AC28" si="923">AB28*$G$28</f>
        <v>0</v>
      </c>
      <c r="AD28" s="53">
        <v>4</v>
      </c>
      <c r="AE28" s="35">
        <f t="shared" ref="AE28" si="924">AD28*$G$28</f>
        <v>0</v>
      </c>
      <c r="AF28" s="53">
        <v>4</v>
      </c>
      <c r="AG28" s="35">
        <f t="shared" ref="AG28" si="925">AF28*$G$28</f>
        <v>0</v>
      </c>
      <c r="AH28" s="53">
        <v>4</v>
      </c>
      <c r="AI28" s="35">
        <f t="shared" ref="AI28" si="926">AH28*$G$28</f>
        <v>0</v>
      </c>
      <c r="AJ28" s="53">
        <v>4</v>
      </c>
      <c r="AK28" s="35">
        <f t="shared" ref="AK28" si="927">AJ28*$G$28</f>
        <v>0</v>
      </c>
      <c r="AL28" s="53">
        <v>4</v>
      </c>
      <c r="AM28" s="35">
        <f t="shared" ref="AM28" si="928">AL28*$G$28</f>
        <v>0</v>
      </c>
      <c r="AN28" s="53">
        <v>4</v>
      </c>
      <c r="AO28" s="35">
        <f t="shared" ref="AO28" si="929">AN28*$G$28</f>
        <v>0</v>
      </c>
      <c r="AP28" s="53">
        <v>4</v>
      </c>
      <c r="AQ28" s="35">
        <f t="shared" ref="AQ28" si="930">AP28*$G$28</f>
        <v>0</v>
      </c>
      <c r="AR28" s="53">
        <v>4</v>
      </c>
      <c r="AS28" s="35">
        <f t="shared" ref="AS28" si="931">AR28*$G$28</f>
        <v>0</v>
      </c>
      <c r="AT28" s="53">
        <v>4</v>
      </c>
      <c r="AU28" s="35">
        <f t="shared" ref="AU28" si="932">AT28*$G$28</f>
        <v>0</v>
      </c>
      <c r="AV28" s="53">
        <v>3</v>
      </c>
      <c r="AW28" s="35">
        <f t="shared" ref="AW28" si="933">AV28*$G$28</f>
        <v>0</v>
      </c>
      <c r="AX28" s="53">
        <v>3</v>
      </c>
      <c r="AY28" s="35">
        <f t="shared" ref="AY28" si="934">AX28*$G$28</f>
        <v>0</v>
      </c>
      <c r="AZ28" s="53">
        <v>3</v>
      </c>
      <c r="BA28" s="35">
        <f t="shared" ref="BA28" si="935">AZ28*$G$28</f>
        <v>0</v>
      </c>
      <c r="BB28" s="53">
        <v>3</v>
      </c>
      <c r="BC28" s="35">
        <f t="shared" ref="BC28" si="936">BB28*$G$28</f>
        <v>0</v>
      </c>
      <c r="BD28" s="53">
        <v>3</v>
      </c>
      <c r="BE28" s="35">
        <f t="shared" ref="BE28" si="937">BD28*$G$28</f>
        <v>0</v>
      </c>
      <c r="BF28" s="53">
        <v>3</v>
      </c>
      <c r="BG28" s="35">
        <f t="shared" ref="BG28" si="938">BF28*$G$28</f>
        <v>0</v>
      </c>
      <c r="BH28" s="53">
        <v>3</v>
      </c>
      <c r="BI28" s="35">
        <f t="shared" ref="BI28" si="939">BH28*$G$28</f>
        <v>0</v>
      </c>
      <c r="BJ28" s="53">
        <v>3</v>
      </c>
      <c r="BK28" s="35">
        <f t="shared" ref="BK28" si="940">BJ28*$G$28</f>
        <v>0</v>
      </c>
      <c r="BL28" s="53">
        <v>3</v>
      </c>
      <c r="BM28" s="35">
        <f t="shared" ref="BM28" si="941">BL28*$G$28</f>
        <v>0</v>
      </c>
      <c r="BN28" s="53">
        <v>3</v>
      </c>
      <c r="BO28" s="35">
        <f t="shared" ref="BO28" si="942">BN28*$G$28</f>
        <v>0</v>
      </c>
      <c r="BP28" s="53">
        <v>3</v>
      </c>
      <c r="BQ28" s="35">
        <f t="shared" ref="BQ28" si="943">BP28*$G$28</f>
        <v>0</v>
      </c>
      <c r="BR28" s="53">
        <v>3</v>
      </c>
      <c r="BS28" s="35">
        <f t="shared" ref="BS28" si="944">BR28*$G$28</f>
        <v>0</v>
      </c>
      <c r="BT28" s="53">
        <v>3</v>
      </c>
      <c r="BU28" s="35">
        <f t="shared" ref="BU28" si="945">BT28*$G$28</f>
        <v>0</v>
      </c>
      <c r="BV28" s="53">
        <v>3</v>
      </c>
      <c r="BW28" s="35">
        <f t="shared" ref="BW28" si="946">BV28*$G$28</f>
        <v>0</v>
      </c>
      <c r="BX28" s="53">
        <v>3</v>
      </c>
      <c r="BY28" s="35">
        <f t="shared" ref="BY28" si="947">BX28*$G$28</f>
        <v>0</v>
      </c>
      <c r="BZ28" s="53">
        <v>3</v>
      </c>
      <c r="CA28" s="35">
        <f t="shared" ref="CA28" si="948">BZ28*$G$28</f>
        <v>0</v>
      </c>
      <c r="CB28" s="53">
        <v>3</v>
      </c>
      <c r="CC28" s="35">
        <f t="shared" ref="CC28" si="949">CB28*$G$28</f>
        <v>0</v>
      </c>
      <c r="CD28" s="53">
        <v>3</v>
      </c>
      <c r="CE28" s="35">
        <f t="shared" ref="CE28" si="950">CD28*$G$28</f>
        <v>0</v>
      </c>
      <c r="CF28" s="53">
        <v>3</v>
      </c>
      <c r="CG28" s="35">
        <f t="shared" ref="CG28" si="951">CF28*$G$28</f>
        <v>0</v>
      </c>
      <c r="CH28" s="53">
        <v>3</v>
      </c>
      <c r="CI28" s="35">
        <f t="shared" ref="CI28" si="952">CH28*$G$28</f>
        <v>0</v>
      </c>
      <c r="CJ28" s="53">
        <v>3</v>
      </c>
      <c r="CK28" s="35">
        <f t="shared" ref="CK28" si="953">CJ28*$G$28</f>
        <v>0</v>
      </c>
      <c r="CL28" s="53">
        <v>3</v>
      </c>
      <c r="CM28" s="35">
        <f t="shared" ref="CM28" si="954">CL28*$G$28</f>
        <v>0</v>
      </c>
      <c r="CN28" s="53">
        <v>3</v>
      </c>
      <c r="CO28" s="35">
        <f t="shared" ref="CO28" si="955">CN28*$G$28</f>
        <v>0</v>
      </c>
      <c r="CP28" s="53">
        <v>3</v>
      </c>
      <c r="CQ28" s="35">
        <f t="shared" ref="CQ28" si="956">CP28*$G$28</f>
        <v>0</v>
      </c>
      <c r="CR28" s="53">
        <v>3</v>
      </c>
      <c r="CS28" s="35">
        <f t="shared" ref="CS28" si="957">CR28*$G$28</f>
        <v>0</v>
      </c>
      <c r="CT28" s="53">
        <v>3</v>
      </c>
      <c r="CU28" s="35">
        <f t="shared" ref="CU28" si="958">CT28*$G$28</f>
        <v>0</v>
      </c>
      <c r="CV28" s="53">
        <v>3</v>
      </c>
      <c r="CW28" s="35">
        <f t="shared" ref="CW28" si="959">CV28*$G$28</f>
        <v>0</v>
      </c>
      <c r="CX28" s="53">
        <v>3</v>
      </c>
      <c r="CY28" s="35">
        <f t="shared" ref="CY28" si="960">CX28*$G$28</f>
        <v>0</v>
      </c>
      <c r="CZ28" s="53">
        <v>3</v>
      </c>
      <c r="DA28" s="35">
        <f t="shared" ref="DA28" si="961">CZ28*$G$28</f>
        <v>0</v>
      </c>
      <c r="DB28" s="53">
        <v>3</v>
      </c>
      <c r="DC28" s="35">
        <f t="shared" ref="DC28" si="962">DB28*$G$28</f>
        <v>0</v>
      </c>
      <c r="DD28" s="53">
        <v>3</v>
      </c>
      <c r="DE28" s="35">
        <f t="shared" ref="DE28" si="963">DD28*$G$28</f>
        <v>0</v>
      </c>
      <c r="DF28" s="53">
        <v>3</v>
      </c>
      <c r="DG28" s="35">
        <f t="shared" ref="DG28" si="964">DF28*$G$28</f>
        <v>0</v>
      </c>
      <c r="DH28" s="53">
        <v>3</v>
      </c>
      <c r="DI28" s="35">
        <f t="shared" ref="DI28" si="965">DH28*$G$28</f>
        <v>0</v>
      </c>
      <c r="DJ28" s="53">
        <v>3</v>
      </c>
      <c r="DK28" s="35">
        <f t="shared" ref="DK28" si="966">DJ28*$G$28</f>
        <v>0</v>
      </c>
      <c r="DL28" s="53">
        <v>3</v>
      </c>
      <c r="DM28" s="35">
        <f t="shared" ref="DM28" si="967">DL28*$G$28</f>
        <v>0</v>
      </c>
      <c r="DN28" s="53">
        <v>3</v>
      </c>
      <c r="DO28" s="35">
        <f t="shared" ref="DO28" si="968">DN28*$G$28</f>
        <v>0</v>
      </c>
      <c r="DP28" s="53">
        <v>3</v>
      </c>
      <c r="DQ28" s="35">
        <f t="shared" ref="DQ28" si="969">DP28*$G$28</f>
        <v>0</v>
      </c>
      <c r="DR28" s="53">
        <v>3</v>
      </c>
      <c r="DS28" s="35">
        <f t="shared" ref="DS28" si="970">DR28*$G$28</f>
        <v>0</v>
      </c>
      <c r="DT28" s="53">
        <v>3</v>
      </c>
      <c r="DU28" s="35">
        <f t="shared" ref="DU28" si="971">DT28*$G$28</f>
        <v>0</v>
      </c>
      <c r="DV28" s="53">
        <v>3</v>
      </c>
      <c r="DW28" s="35">
        <f t="shared" ref="DW28" si="972">DV28*$G$28</f>
        <v>0</v>
      </c>
      <c r="DX28" s="53">
        <v>3</v>
      </c>
      <c r="DY28" s="35">
        <f t="shared" ref="DY28" si="973">DX28*$G$28</f>
        <v>0</v>
      </c>
      <c r="DZ28" s="53">
        <v>3</v>
      </c>
      <c r="EA28" s="35">
        <f t="shared" ref="EA28" si="974">DZ28*$G$28</f>
        <v>0</v>
      </c>
      <c r="EB28" s="53">
        <v>3</v>
      </c>
      <c r="EC28" s="35">
        <f t="shared" ref="EC28" si="975">EB28*$G$28</f>
        <v>0</v>
      </c>
      <c r="ED28" s="53">
        <v>3</v>
      </c>
      <c r="EE28" s="35">
        <f t="shared" ref="EE28" si="976">ED28*$G$28</f>
        <v>0</v>
      </c>
      <c r="EF28" s="53">
        <v>3</v>
      </c>
      <c r="EG28" s="35">
        <f t="shared" ref="EG28" si="977">EF28*$G$28</f>
        <v>0</v>
      </c>
      <c r="EH28" s="53">
        <v>3</v>
      </c>
      <c r="EI28" s="35">
        <f t="shared" ref="EI28" si="978">EH28*$G$28</f>
        <v>0</v>
      </c>
      <c r="EJ28" s="53">
        <v>3</v>
      </c>
      <c r="EK28" s="35">
        <f t="shared" ref="EK28" si="979">EJ28*$G$28</f>
        <v>0</v>
      </c>
      <c r="EL28" s="53">
        <v>3</v>
      </c>
      <c r="EM28" s="35">
        <f t="shared" ref="EM28" si="980">EL28*$G$28</f>
        <v>0</v>
      </c>
      <c r="EN28" s="53">
        <v>3</v>
      </c>
      <c r="EO28" s="35">
        <f t="shared" ref="EO28" si="981">EN28*$G$28</f>
        <v>0</v>
      </c>
      <c r="EP28" s="53">
        <v>3</v>
      </c>
      <c r="EQ28" s="35">
        <f t="shared" ref="EQ28" si="982">EP28*$G$28</f>
        <v>0</v>
      </c>
      <c r="ER28" s="53">
        <v>3</v>
      </c>
      <c r="ES28" s="35">
        <f t="shared" ref="ES28" si="983">ER28*$G$28</f>
        <v>0</v>
      </c>
      <c r="ET28" s="53">
        <v>3</v>
      </c>
      <c r="EU28" s="35">
        <f t="shared" ref="EU28" si="984">ET28*$G$28</f>
        <v>0</v>
      </c>
      <c r="EV28" s="53">
        <v>3</v>
      </c>
      <c r="EW28" s="35">
        <f t="shared" ref="EW28" si="985">EV28*$G$28</f>
        <v>0</v>
      </c>
      <c r="EX28" s="53">
        <v>3</v>
      </c>
      <c r="EY28" s="35">
        <f t="shared" ref="EY28" si="986">EX28*$G$28</f>
        <v>0</v>
      </c>
      <c r="EZ28" s="53">
        <v>3</v>
      </c>
      <c r="FA28" s="35">
        <f t="shared" ref="FA28" si="987">EZ28*$G$28</f>
        <v>0</v>
      </c>
      <c r="FB28" s="53">
        <v>3</v>
      </c>
      <c r="FC28" s="35">
        <f t="shared" ref="FC28" si="988">FB28*$G$28</f>
        <v>0</v>
      </c>
      <c r="FD28" s="53">
        <v>3</v>
      </c>
      <c r="FE28" s="35">
        <f t="shared" ref="FE28" si="989">FD28*$G$28</f>
        <v>0</v>
      </c>
      <c r="FF28" s="53">
        <v>3</v>
      </c>
      <c r="FG28" s="35">
        <f t="shared" ref="FG28" si="990">FF28*$G$28</f>
        <v>0</v>
      </c>
      <c r="FH28" s="53">
        <v>3</v>
      </c>
      <c r="FI28" s="35">
        <f t="shared" ref="FI28" si="991">FH28*$G$28</f>
        <v>0</v>
      </c>
      <c r="FJ28" s="53">
        <v>3</v>
      </c>
      <c r="FK28" s="35">
        <f t="shared" ref="FK28" si="992">FJ28*$G$28</f>
        <v>0</v>
      </c>
      <c r="FL28" s="53">
        <v>3</v>
      </c>
      <c r="FM28" s="35">
        <f t="shared" ref="FM28" si="993">FL28*$G$28</f>
        <v>0</v>
      </c>
      <c r="FN28" s="53">
        <v>3</v>
      </c>
      <c r="FO28" s="35">
        <f t="shared" ref="FO28" si="994">FN28*$G$28</f>
        <v>0</v>
      </c>
      <c r="FP28" s="53">
        <v>2</v>
      </c>
      <c r="FQ28" s="35">
        <f t="shared" ref="FQ28" si="995">FP28*$G$28</f>
        <v>0</v>
      </c>
      <c r="FR28" s="56"/>
    </row>
    <row r="29" spans="1:174" x14ac:dyDescent="0.35">
      <c r="A29" s="11" t="s">
        <v>125</v>
      </c>
      <c r="B29" s="11">
        <v>913</v>
      </c>
      <c r="C29" s="11" t="s">
        <v>12</v>
      </c>
      <c r="D29" s="11" t="s">
        <v>126</v>
      </c>
      <c r="E29" s="11" t="s">
        <v>17</v>
      </c>
      <c r="F29" s="11">
        <v>2</v>
      </c>
      <c r="G29" s="11">
        <v>3</v>
      </c>
      <c r="H29" s="53"/>
      <c r="I29" s="11">
        <f t="shared" ref="I29" si="996">H28*G29</f>
        <v>1560</v>
      </c>
      <c r="J29" s="53"/>
      <c r="K29" s="35">
        <f>J28*$G$29</f>
        <v>12</v>
      </c>
      <c r="L29" s="53"/>
      <c r="M29" s="35">
        <f t="shared" ref="M29" si="997">L28*$G$29</f>
        <v>12</v>
      </c>
      <c r="N29" s="53"/>
      <c r="O29" s="35">
        <f t="shared" ref="O29" si="998">N28*$G$29</f>
        <v>12</v>
      </c>
      <c r="P29" s="53"/>
      <c r="Q29" s="35">
        <f t="shared" ref="Q29" si="999">P28*$G$29</f>
        <v>12</v>
      </c>
      <c r="R29" s="53"/>
      <c r="S29" s="35">
        <f t="shared" ref="S29" si="1000">R28*$G$29</f>
        <v>12</v>
      </c>
      <c r="T29" s="53"/>
      <c r="U29" s="35">
        <f t="shared" ref="U29" si="1001">T28*$G$29</f>
        <v>12</v>
      </c>
      <c r="V29" s="53"/>
      <c r="W29" s="35">
        <f t="shared" ref="W29" si="1002">V28*$G$29</f>
        <v>12</v>
      </c>
      <c r="X29" s="53"/>
      <c r="Y29" s="35">
        <f t="shared" ref="Y29" si="1003">X28*$G$29</f>
        <v>12</v>
      </c>
      <c r="Z29" s="53"/>
      <c r="AA29" s="35">
        <f t="shared" ref="AA29" si="1004">Z28*$G$29</f>
        <v>12</v>
      </c>
      <c r="AB29" s="53"/>
      <c r="AC29" s="35">
        <f t="shared" ref="AC29" si="1005">AB28*$G$29</f>
        <v>12</v>
      </c>
      <c r="AD29" s="53"/>
      <c r="AE29" s="35">
        <f t="shared" ref="AE29" si="1006">AD28*$G$29</f>
        <v>12</v>
      </c>
      <c r="AF29" s="53"/>
      <c r="AG29" s="35">
        <f t="shared" ref="AG29" si="1007">AF28*$G$29</f>
        <v>12</v>
      </c>
      <c r="AH29" s="53"/>
      <c r="AI29" s="35">
        <f t="shared" ref="AI29" si="1008">AH28*$G$29</f>
        <v>12</v>
      </c>
      <c r="AJ29" s="53"/>
      <c r="AK29" s="35">
        <f t="shared" ref="AK29" si="1009">AJ28*$G$29</f>
        <v>12</v>
      </c>
      <c r="AL29" s="53"/>
      <c r="AM29" s="35">
        <f t="shared" ref="AM29" si="1010">AL28*$G$29</f>
        <v>12</v>
      </c>
      <c r="AN29" s="53"/>
      <c r="AO29" s="35">
        <f t="shared" ref="AO29" si="1011">AN28*$G$29</f>
        <v>12</v>
      </c>
      <c r="AP29" s="53"/>
      <c r="AQ29" s="35">
        <f t="shared" ref="AQ29" si="1012">AP28*$G$29</f>
        <v>12</v>
      </c>
      <c r="AR29" s="53"/>
      <c r="AS29" s="35">
        <f t="shared" ref="AS29" si="1013">AR28*$G$29</f>
        <v>12</v>
      </c>
      <c r="AT29" s="53"/>
      <c r="AU29" s="35">
        <f t="shared" ref="AU29" si="1014">AT28*$G$29</f>
        <v>12</v>
      </c>
      <c r="AV29" s="53"/>
      <c r="AW29" s="35">
        <f t="shared" ref="AW29" si="1015">AV28*$G$29</f>
        <v>9</v>
      </c>
      <c r="AX29" s="53"/>
      <c r="AY29" s="35">
        <f t="shared" ref="AY29" si="1016">AX28*$G$29</f>
        <v>9</v>
      </c>
      <c r="AZ29" s="53"/>
      <c r="BA29" s="35">
        <f t="shared" ref="BA29" si="1017">AZ28*$G$29</f>
        <v>9</v>
      </c>
      <c r="BB29" s="53"/>
      <c r="BC29" s="35">
        <f t="shared" ref="BC29" si="1018">BB28*$G$29</f>
        <v>9</v>
      </c>
      <c r="BD29" s="53"/>
      <c r="BE29" s="35">
        <f t="shared" ref="BE29" si="1019">BD28*$G$29</f>
        <v>9</v>
      </c>
      <c r="BF29" s="53"/>
      <c r="BG29" s="35">
        <f t="shared" ref="BG29" si="1020">BF28*$G$29</f>
        <v>9</v>
      </c>
      <c r="BH29" s="53"/>
      <c r="BI29" s="35">
        <f t="shared" ref="BI29" si="1021">BH28*$G$29</f>
        <v>9</v>
      </c>
      <c r="BJ29" s="53"/>
      <c r="BK29" s="35">
        <f t="shared" ref="BK29" si="1022">BJ28*$G$29</f>
        <v>9</v>
      </c>
      <c r="BL29" s="53"/>
      <c r="BM29" s="35">
        <f t="shared" ref="BM29" si="1023">BL28*$G$29</f>
        <v>9</v>
      </c>
      <c r="BN29" s="53"/>
      <c r="BO29" s="35">
        <f t="shared" ref="BO29" si="1024">BN28*$G$29</f>
        <v>9</v>
      </c>
      <c r="BP29" s="53"/>
      <c r="BQ29" s="35">
        <f t="shared" ref="BQ29" si="1025">BP28*$G$29</f>
        <v>9</v>
      </c>
      <c r="BR29" s="53"/>
      <c r="BS29" s="35">
        <f t="shared" ref="BS29" si="1026">BR28*$G$29</f>
        <v>9</v>
      </c>
      <c r="BT29" s="53"/>
      <c r="BU29" s="35">
        <f t="shared" ref="BU29" si="1027">BT28*$G$29</f>
        <v>9</v>
      </c>
      <c r="BV29" s="53"/>
      <c r="BW29" s="35">
        <f t="shared" ref="BW29" si="1028">BV28*$G$29</f>
        <v>9</v>
      </c>
      <c r="BX29" s="53"/>
      <c r="BY29" s="35">
        <f t="shared" ref="BY29" si="1029">BX28*$G$29</f>
        <v>9</v>
      </c>
      <c r="BZ29" s="53"/>
      <c r="CA29" s="35">
        <f t="shared" ref="CA29" si="1030">BZ28*$G$29</f>
        <v>9</v>
      </c>
      <c r="CB29" s="53"/>
      <c r="CC29" s="35">
        <f t="shared" ref="CC29" si="1031">CB28*$G$29</f>
        <v>9</v>
      </c>
      <c r="CD29" s="53"/>
      <c r="CE29" s="35">
        <f t="shared" ref="CE29" si="1032">CD28*$G$29</f>
        <v>9</v>
      </c>
      <c r="CF29" s="53"/>
      <c r="CG29" s="35">
        <f t="shared" ref="CG29" si="1033">CF28*$G$29</f>
        <v>9</v>
      </c>
      <c r="CH29" s="53"/>
      <c r="CI29" s="35">
        <f t="shared" ref="CI29" si="1034">CH28*$G$29</f>
        <v>9</v>
      </c>
      <c r="CJ29" s="53"/>
      <c r="CK29" s="35">
        <f t="shared" ref="CK29" si="1035">CJ28*$G$29</f>
        <v>9</v>
      </c>
      <c r="CL29" s="53"/>
      <c r="CM29" s="35">
        <f t="shared" ref="CM29" si="1036">CL28*$G$29</f>
        <v>9</v>
      </c>
      <c r="CN29" s="53"/>
      <c r="CO29" s="35">
        <f t="shared" ref="CO29" si="1037">CN28*$G$29</f>
        <v>9</v>
      </c>
      <c r="CP29" s="53"/>
      <c r="CQ29" s="35">
        <f t="shared" ref="CQ29" si="1038">CP28*$G$29</f>
        <v>9</v>
      </c>
      <c r="CR29" s="53"/>
      <c r="CS29" s="35">
        <f t="shared" ref="CS29" si="1039">CR28*$G$29</f>
        <v>9</v>
      </c>
      <c r="CT29" s="53"/>
      <c r="CU29" s="35">
        <f t="shared" ref="CU29" si="1040">CT28*$G$29</f>
        <v>9</v>
      </c>
      <c r="CV29" s="53"/>
      <c r="CW29" s="35">
        <f t="shared" ref="CW29" si="1041">CV28*$G$29</f>
        <v>9</v>
      </c>
      <c r="CX29" s="53"/>
      <c r="CY29" s="35">
        <f t="shared" ref="CY29" si="1042">CX28*$G$29</f>
        <v>9</v>
      </c>
      <c r="CZ29" s="53"/>
      <c r="DA29" s="35">
        <f t="shared" ref="DA29" si="1043">CZ28*$G$29</f>
        <v>9</v>
      </c>
      <c r="DB29" s="53"/>
      <c r="DC29" s="35">
        <f t="shared" ref="DC29" si="1044">DB28*$G$29</f>
        <v>9</v>
      </c>
      <c r="DD29" s="53"/>
      <c r="DE29" s="35">
        <f t="shared" ref="DE29" si="1045">DD28*$G$29</f>
        <v>9</v>
      </c>
      <c r="DF29" s="53"/>
      <c r="DG29" s="35">
        <f t="shared" ref="DG29" si="1046">DF28*$G$29</f>
        <v>9</v>
      </c>
      <c r="DH29" s="53"/>
      <c r="DI29" s="35">
        <f t="shared" ref="DI29" si="1047">DH28*$G$29</f>
        <v>9</v>
      </c>
      <c r="DJ29" s="53"/>
      <c r="DK29" s="35">
        <f t="shared" ref="DK29" si="1048">DJ28*$G$29</f>
        <v>9</v>
      </c>
      <c r="DL29" s="53"/>
      <c r="DM29" s="35">
        <f t="shared" ref="DM29" si="1049">DL28*$G$29</f>
        <v>9</v>
      </c>
      <c r="DN29" s="53"/>
      <c r="DO29" s="35">
        <f t="shared" ref="DO29" si="1050">DN28*$G$29</f>
        <v>9</v>
      </c>
      <c r="DP29" s="53"/>
      <c r="DQ29" s="35">
        <f t="shared" ref="DQ29" si="1051">DP28*$G$29</f>
        <v>9</v>
      </c>
      <c r="DR29" s="53"/>
      <c r="DS29" s="35">
        <f t="shared" ref="DS29" si="1052">DR28*$G$29</f>
        <v>9</v>
      </c>
      <c r="DT29" s="53"/>
      <c r="DU29" s="35">
        <f t="shared" ref="DU29" si="1053">DT28*$G$29</f>
        <v>9</v>
      </c>
      <c r="DV29" s="53"/>
      <c r="DW29" s="35">
        <f t="shared" ref="DW29" si="1054">DV28*$G$29</f>
        <v>9</v>
      </c>
      <c r="DX29" s="53"/>
      <c r="DY29" s="35">
        <f t="shared" ref="DY29" si="1055">DX28*$G$29</f>
        <v>9</v>
      </c>
      <c r="DZ29" s="53"/>
      <c r="EA29" s="35">
        <f t="shared" ref="EA29" si="1056">DZ28*$G$29</f>
        <v>9</v>
      </c>
      <c r="EB29" s="53"/>
      <c r="EC29" s="35">
        <f t="shared" ref="EC29" si="1057">EB28*$G$29</f>
        <v>9</v>
      </c>
      <c r="ED29" s="53"/>
      <c r="EE29" s="35">
        <f t="shared" ref="EE29" si="1058">ED28*$G$29</f>
        <v>9</v>
      </c>
      <c r="EF29" s="53"/>
      <c r="EG29" s="35">
        <f t="shared" ref="EG29" si="1059">EF28*$G$29</f>
        <v>9</v>
      </c>
      <c r="EH29" s="53"/>
      <c r="EI29" s="35">
        <f t="shared" ref="EI29" si="1060">EH28*$G$29</f>
        <v>9</v>
      </c>
      <c r="EJ29" s="53"/>
      <c r="EK29" s="35">
        <f t="shared" ref="EK29" si="1061">EJ28*$G$29</f>
        <v>9</v>
      </c>
      <c r="EL29" s="53"/>
      <c r="EM29" s="35">
        <f t="shared" ref="EM29" si="1062">EL28*$G$29</f>
        <v>9</v>
      </c>
      <c r="EN29" s="53"/>
      <c r="EO29" s="35">
        <f t="shared" ref="EO29" si="1063">EN28*$G$29</f>
        <v>9</v>
      </c>
      <c r="EP29" s="53"/>
      <c r="EQ29" s="35">
        <f t="shared" ref="EQ29" si="1064">EP28*$G$29</f>
        <v>9</v>
      </c>
      <c r="ER29" s="53"/>
      <c r="ES29" s="35">
        <f t="shared" ref="ES29" si="1065">ER28*$G$29</f>
        <v>9</v>
      </c>
      <c r="ET29" s="53"/>
      <c r="EU29" s="35">
        <f t="shared" ref="EU29" si="1066">ET28*$G$29</f>
        <v>9</v>
      </c>
      <c r="EV29" s="53"/>
      <c r="EW29" s="35">
        <f t="shared" ref="EW29" si="1067">EV28*$G$29</f>
        <v>9</v>
      </c>
      <c r="EX29" s="53"/>
      <c r="EY29" s="35">
        <f t="shared" ref="EY29" si="1068">EX28*$G$29</f>
        <v>9</v>
      </c>
      <c r="EZ29" s="53"/>
      <c r="FA29" s="35">
        <f t="shared" ref="FA29" si="1069">EZ28*$G$29</f>
        <v>9</v>
      </c>
      <c r="FB29" s="53"/>
      <c r="FC29" s="35">
        <f t="shared" ref="FC29" si="1070">FB28*$G$29</f>
        <v>9</v>
      </c>
      <c r="FD29" s="53"/>
      <c r="FE29" s="35">
        <f t="shared" ref="FE29" si="1071">FD28*$G$29</f>
        <v>9</v>
      </c>
      <c r="FF29" s="53"/>
      <c r="FG29" s="35">
        <f t="shared" ref="FG29" si="1072">FF28*$G$29</f>
        <v>9</v>
      </c>
      <c r="FH29" s="53"/>
      <c r="FI29" s="35">
        <f t="shared" ref="FI29" si="1073">FH28*$G$29</f>
        <v>9</v>
      </c>
      <c r="FJ29" s="53"/>
      <c r="FK29" s="35">
        <f t="shared" ref="FK29" si="1074">FJ28*$G$29</f>
        <v>9</v>
      </c>
      <c r="FL29" s="53"/>
      <c r="FM29" s="35">
        <f t="shared" ref="FM29" si="1075">FL28*$G$29</f>
        <v>9</v>
      </c>
      <c r="FN29" s="53"/>
      <c r="FO29" s="35">
        <f t="shared" ref="FO29" si="1076">FN28*$G$29</f>
        <v>9</v>
      </c>
      <c r="FP29" s="53"/>
      <c r="FQ29" s="35">
        <f t="shared" ref="FQ29" si="1077">FP28*$G$29</f>
        <v>6</v>
      </c>
      <c r="FR29" s="56"/>
    </row>
    <row r="30" spans="1:174" x14ac:dyDescent="0.35">
      <c r="A30" s="11" t="s">
        <v>125</v>
      </c>
      <c r="B30" s="11">
        <v>913</v>
      </c>
      <c r="C30" s="11" t="s">
        <v>12</v>
      </c>
      <c r="D30" s="11" t="s">
        <v>126</v>
      </c>
      <c r="E30" s="11" t="s">
        <v>18</v>
      </c>
      <c r="F30" s="11">
        <v>3</v>
      </c>
      <c r="G30" s="11">
        <v>1</v>
      </c>
      <c r="H30" s="53"/>
      <c r="I30" s="11">
        <f t="shared" ref="I30" si="1078">H28*G30</f>
        <v>520</v>
      </c>
      <c r="J30" s="53"/>
      <c r="K30" s="35">
        <f>J28*$G$30</f>
        <v>4</v>
      </c>
      <c r="L30" s="53"/>
      <c r="M30" s="35">
        <f t="shared" ref="M30" si="1079">L28*$G$30</f>
        <v>4</v>
      </c>
      <c r="N30" s="53"/>
      <c r="O30" s="35">
        <f t="shared" ref="O30" si="1080">N28*$G$30</f>
        <v>4</v>
      </c>
      <c r="P30" s="53"/>
      <c r="Q30" s="35">
        <f t="shared" ref="Q30" si="1081">P28*$G$30</f>
        <v>4</v>
      </c>
      <c r="R30" s="53"/>
      <c r="S30" s="35">
        <f t="shared" ref="S30" si="1082">R28*$G$30</f>
        <v>4</v>
      </c>
      <c r="T30" s="53"/>
      <c r="U30" s="35">
        <f t="shared" ref="U30" si="1083">T28*$G$30</f>
        <v>4</v>
      </c>
      <c r="V30" s="53"/>
      <c r="W30" s="35">
        <f t="shared" ref="W30" si="1084">V28*$G$30</f>
        <v>4</v>
      </c>
      <c r="X30" s="53"/>
      <c r="Y30" s="35">
        <f t="shared" ref="Y30" si="1085">X28*$G$30</f>
        <v>4</v>
      </c>
      <c r="Z30" s="53"/>
      <c r="AA30" s="35">
        <f t="shared" ref="AA30" si="1086">Z28*$G$30</f>
        <v>4</v>
      </c>
      <c r="AB30" s="53"/>
      <c r="AC30" s="35">
        <f t="shared" ref="AC30" si="1087">AB28*$G$30</f>
        <v>4</v>
      </c>
      <c r="AD30" s="53"/>
      <c r="AE30" s="35">
        <f t="shared" ref="AE30" si="1088">AD28*$G$30</f>
        <v>4</v>
      </c>
      <c r="AF30" s="53"/>
      <c r="AG30" s="35">
        <f t="shared" ref="AG30" si="1089">AF28*$G$30</f>
        <v>4</v>
      </c>
      <c r="AH30" s="53"/>
      <c r="AI30" s="35">
        <f t="shared" ref="AI30" si="1090">AH28*$G$30</f>
        <v>4</v>
      </c>
      <c r="AJ30" s="53"/>
      <c r="AK30" s="35">
        <f t="shared" ref="AK30" si="1091">AJ28*$G$30</f>
        <v>4</v>
      </c>
      <c r="AL30" s="53"/>
      <c r="AM30" s="35">
        <f t="shared" ref="AM30" si="1092">AL28*$G$30</f>
        <v>4</v>
      </c>
      <c r="AN30" s="53"/>
      <c r="AO30" s="35">
        <f t="shared" ref="AO30" si="1093">AN28*$G$30</f>
        <v>4</v>
      </c>
      <c r="AP30" s="53"/>
      <c r="AQ30" s="35">
        <f t="shared" ref="AQ30" si="1094">AP28*$G$30</f>
        <v>4</v>
      </c>
      <c r="AR30" s="53"/>
      <c r="AS30" s="35">
        <f t="shared" ref="AS30" si="1095">AR28*$G$30</f>
        <v>4</v>
      </c>
      <c r="AT30" s="53"/>
      <c r="AU30" s="35">
        <f t="shared" ref="AU30" si="1096">AT28*$G$30</f>
        <v>4</v>
      </c>
      <c r="AV30" s="53"/>
      <c r="AW30" s="35">
        <f t="shared" ref="AW30" si="1097">AV28*$G$30</f>
        <v>3</v>
      </c>
      <c r="AX30" s="53"/>
      <c r="AY30" s="35">
        <f t="shared" ref="AY30" si="1098">AX28*$G$30</f>
        <v>3</v>
      </c>
      <c r="AZ30" s="53"/>
      <c r="BA30" s="35">
        <f t="shared" ref="BA30" si="1099">AZ28*$G$30</f>
        <v>3</v>
      </c>
      <c r="BB30" s="53"/>
      <c r="BC30" s="35">
        <f t="shared" ref="BC30" si="1100">BB28*$G$30</f>
        <v>3</v>
      </c>
      <c r="BD30" s="53"/>
      <c r="BE30" s="35">
        <f t="shared" ref="BE30" si="1101">BD28*$G$30</f>
        <v>3</v>
      </c>
      <c r="BF30" s="53"/>
      <c r="BG30" s="35">
        <f t="shared" ref="BG30" si="1102">BF28*$G$30</f>
        <v>3</v>
      </c>
      <c r="BH30" s="53"/>
      <c r="BI30" s="35">
        <f t="shared" ref="BI30" si="1103">BH28*$G$30</f>
        <v>3</v>
      </c>
      <c r="BJ30" s="53"/>
      <c r="BK30" s="35">
        <f t="shared" ref="BK30" si="1104">BJ28*$G$30</f>
        <v>3</v>
      </c>
      <c r="BL30" s="53"/>
      <c r="BM30" s="35">
        <f t="shared" ref="BM30" si="1105">BL28*$G$30</f>
        <v>3</v>
      </c>
      <c r="BN30" s="53"/>
      <c r="BO30" s="35">
        <f t="shared" ref="BO30" si="1106">BN28*$G$30</f>
        <v>3</v>
      </c>
      <c r="BP30" s="53"/>
      <c r="BQ30" s="35">
        <f t="shared" ref="BQ30" si="1107">BP28*$G$30</f>
        <v>3</v>
      </c>
      <c r="BR30" s="53"/>
      <c r="BS30" s="35">
        <f t="shared" ref="BS30" si="1108">BR28*$G$30</f>
        <v>3</v>
      </c>
      <c r="BT30" s="53"/>
      <c r="BU30" s="35">
        <f t="shared" ref="BU30" si="1109">BT28*$G$30</f>
        <v>3</v>
      </c>
      <c r="BV30" s="53"/>
      <c r="BW30" s="35">
        <f t="shared" ref="BW30" si="1110">BV28*$G$30</f>
        <v>3</v>
      </c>
      <c r="BX30" s="53"/>
      <c r="BY30" s="35">
        <f t="shared" ref="BY30" si="1111">BX28*$G$30</f>
        <v>3</v>
      </c>
      <c r="BZ30" s="53"/>
      <c r="CA30" s="35">
        <f t="shared" ref="CA30" si="1112">BZ28*$G$30</f>
        <v>3</v>
      </c>
      <c r="CB30" s="53"/>
      <c r="CC30" s="35">
        <f t="shared" ref="CC30" si="1113">CB28*$G$30</f>
        <v>3</v>
      </c>
      <c r="CD30" s="53"/>
      <c r="CE30" s="35">
        <f t="shared" ref="CE30" si="1114">CD28*$G$30</f>
        <v>3</v>
      </c>
      <c r="CF30" s="53"/>
      <c r="CG30" s="35">
        <f t="shared" ref="CG30" si="1115">CF28*$G$30</f>
        <v>3</v>
      </c>
      <c r="CH30" s="53"/>
      <c r="CI30" s="35">
        <f t="shared" ref="CI30" si="1116">CH28*$G$30</f>
        <v>3</v>
      </c>
      <c r="CJ30" s="53"/>
      <c r="CK30" s="35">
        <f t="shared" ref="CK30" si="1117">CJ28*$G$30</f>
        <v>3</v>
      </c>
      <c r="CL30" s="53"/>
      <c r="CM30" s="35">
        <f t="shared" ref="CM30" si="1118">CL28*$G$30</f>
        <v>3</v>
      </c>
      <c r="CN30" s="53"/>
      <c r="CO30" s="35">
        <f t="shared" ref="CO30" si="1119">CN28*$G$30</f>
        <v>3</v>
      </c>
      <c r="CP30" s="53"/>
      <c r="CQ30" s="35">
        <f t="shared" ref="CQ30" si="1120">CP28*$G$30</f>
        <v>3</v>
      </c>
      <c r="CR30" s="53"/>
      <c r="CS30" s="35">
        <f t="shared" ref="CS30" si="1121">CR28*$G$30</f>
        <v>3</v>
      </c>
      <c r="CT30" s="53"/>
      <c r="CU30" s="35">
        <f t="shared" ref="CU30" si="1122">CT28*$G$30</f>
        <v>3</v>
      </c>
      <c r="CV30" s="53"/>
      <c r="CW30" s="35">
        <f t="shared" ref="CW30" si="1123">CV28*$G$30</f>
        <v>3</v>
      </c>
      <c r="CX30" s="53"/>
      <c r="CY30" s="35">
        <f t="shared" ref="CY30" si="1124">CX28*$G$30</f>
        <v>3</v>
      </c>
      <c r="CZ30" s="53"/>
      <c r="DA30" s="35">
        <f t="shared" ref="DA30" si="1125">CZ28*$G$30</f>
        <v>3</v>
      </c>
      <c r="DB30" s="53"/>
      <c r="DC30" s="35">
        <f t="shared" ref="DC30" si="1126">DB28*$G$30</f>
        <v>3</v>
      </c>
      <c r="DD30" s="53"/>
      <c r="DE30" s="35">
        <f t="shared" ref="DE30" si="1127">DD28*$G$30</f>
        <v>3</v>
      </c>
      <c r="DF30" s="53"/>
      <c r="DG30" s="35">
        <f t="shared" ref="DG30" si="1128">DF28*$G$30</f>
        <v>3</v>
      </c>
      <c r="DH30" s="53"/>
      <c r="DI30" s="35">
        <f t="shared" ref="DI30" si="1129">DH28*$G$30</f>
        <v>3</v>
      </c>
      <c r="DJ30" s="53"/>
      <c r="DK30" s="35">
        <f t="shared" ref="DK30" si="1130">DJ28*$G$30</f>
        <v>3</v>
      </c>
      <c r="DL30" s="53"/>
      <c r="DM30" s="35">
        <f t="shared" ref="DM30" si="1131">DL28*$G$30</f>
        <v>3</v>
      </c>
      <c r="DN30" s="53"/>
      <c r="DO30" s="35">
        <f t="shared" ref="DO30" si="1132">DN28*$G$30</f>
        <v>3</v>
      </c>
      <c r="DP30" s="53"/>
      <c r="DQ30" s="35">
        <f t="shared" ref="DQ30" si="1133">DP28*$G$30</f>
        <v>3</v>
      </c>
      <c r="DR30" s="53"/>
      <c r="DS30" s="35">
        <f t="shared" ref="DS30" si="1134">DR28*$G$30</f>
        <v>3</v>
      </c>
      <c r="DT30" s="53"/>
      <c r="DU30" s="35">
        <f t="shared" ref="DU30" si="1135">DT28*$G$30</f>
        <v>3</v>
      </c>
      <c r="DV30" s="53"/>
      <c r="DW30" s="35">
        <f t="shared" ref="DW30" si="1136">DV28*$G$30</f>
        <v>3</v>
      </c>
      <c r="DX30" s="53"/>
      <c r="DY30" s="35">
        <f t="shared" ref="DY30" si="1137">DX28*$G$30</f>
        <v>3</v>
      </c>
      <c r="DZ30" s="53"/>
      <c r="EA30" s="35">
        <f t="shared" ref="EA30" si="1138">DZ28*$G$30</f>
        <v>3</v>
      </c>
      <c r="EB30" s="53"/>
      <c r="EC30" s="35">
        <f t="shared" ref="EC30" si="1139">EB28*$G$30</f>
        <v>3</v>
      </c>
      <c r="ED30" s="53"/>
      <c r="EE30" s="35">
        <f t="shared" ref="EE30" si="1140">ED28*$G$30</f>
        <v>3</v>
      </c>
      <c r="EF30" s="53"/>
      <c r="EG30" s="35">
        <f t="shared" ref="EG30" si="1141">EF28*$G$30</f>
        <v>3</v>
      </c>
      <c r="EH30" s="53"/>
      <c r="EI30" s="35">
        <f t="shared" ref="EI30" si="1142">EH28*$G$30</f>
        <v>3</v>
      </c>
      <c r="EJ30" s="53"/>
      <c r="EK30" s="35">
        <f t="shared" ref="EK30" si="1143">EJ28*$G$30</f>
        <v>3</v>
      </c>
      <c r="EL30" s="53"/>
      <c r="EM30" s="35">
        <f t="shared" ref="EM30" si="1144">EL28*$G$30</f>
        <v>3</v>
      </c>
      <c r="EN30" s="53"/>
      <c r="EO30" s="35">
        <f t="shared" ref="EO30" si="1145">EN28*$G$30</f>
        <v>3</v>
      </c>
      <c r="EP30" s="53"/>
      <c r="EQ30" s="35">
        <f t="shared" ref="EQ30" si="1146">EP28*$G$30</f>
        <v>3</v>
      </c>
      <c r="ER30" s="53"/>
      <c r="ES30" s="35">
        <f t="shared" ref="ES30" si="1147">ER28*$G$30</f>
        <v>3</v>
      </c>
      <c r="ET30" s="53"/>
      <c r="EU30" s="35">
        <f t="shared" ref="EU30" si="1148">ET28*$G$30</f>
        <v>3</v>
      </c>
      <c r="EV30" s="53"/>
      <c r="EW30" s="35">
        <f t="shared" ref="EW30" si="1149">EV28*$G$30</f>
        <v>3</v>
      </c>
      <c r="EX30" s="53"/>
      <c r="EY30" s="35">
        <f t="shared" ref="EY30" si="1150">EX28*$G$30</f>
        <v>3</v>
      </c>
      <c r="EZ30" s="53"/>
      <c r="FA30" s="35">
        <f t="shared" ref="FA30" si="1151">EZ28*$G$30</f>
        <v>3</v>
      </c>
      <c r="FB30" s="53"/>
      <c r="FC30" s="35">
        <f t="shared" ref="FC30" si="1152">FB28*$G$30</f>
        <v>3</v>
      </c>
      <c r="FD30" s="53"/>
      <c r="FE30" s="35">
        <f t="shared" ref="FE30" si="1153">FD28*$G$30</f>
        <v>3</v>
      </c>
      <c r="FF30" s="53"/>
      <c r="FG30" s="35">
        <f t="shared" ref="FG30" si="1154">FF28*$G$30</f>
        <v>3</v>
      </c>
      <c r="FH30" s="53"/>
      <c r="FI30" s="35">
        <f t="shared" ref="FI30" si="1155">FH28*$G$30</f>
        <v>3</v>
      </c>
      <c r="FJ30" s="53"/>
      <c r="FK30" s="35">
        <f t="shared" ref="FK30" si="1156">FJ28*$G$30</f>
        <v>3</v>
      </c>
      <c r="FL30" s="53"/>
      <c r="FM30" s="35">
        <f t="shared" ref="FM30" si="1157">FL28*$G$30</f>
        <v>3</v>
      </c>
      <c r="FN30" s="53"/>
      <c r="FO30" s="35">
        <f t="shared" ref="FO30" si="1158">FN28*$G$30</f>
        <v>3</v>
      </c>
      <c r="FP30" s="53"/>
      <c r="FQ30" s="35">
        <f t="shared" ref="FQ30" si="1159">FP28*$G$30</f>
        <v>2</v>
      </c>
      <c r="FR30" s="56"/>
    </row>
    <row r="31" spans="1:174" x14ac:dyDescent="0.35">
      <c r="A31" s="11" t="s">
        <v>125</v>
      </c>
      <c r="B31" s="11">
        <v>913</v>
      </c>
      <c r="C31" s="11" t="s">
        <v>12</v>
      </c>
      <c r="D31" s="11" t="s">
        <v>126</v>
      </c>
      <c r="E31" s="11" t="s">
        <v>19</v>
      </c>
      <c r="F31" s="11">
        <v>4</v>
      </c>
      <c r="G31" s="11">
        <v>1</v>
      </c>
      <c r="H31" s="53"/>
      <c r="I31" s="11">
        <f t="shared" ref="I31" si="1160">H28*G31</f>
        <v>520</v>
      </c>
      <c r="J31" s="53"/>
      <c r="K31" s="35">
        <f>J28*$G$31</f>
        <v>4</v>
      </c>
      <c r="L31" s="53"/>
      <c r="M31" s="35">
        <f t="shared" ref="M31" si="1161">L28*$G$31</f>
        <v>4</v>
      </c>
      <c r="N31" s="53"/>
      <c r="O31" s="35">
        <f t="shared" ref="O31" si="1162">N28*$G$31</f>
        <v>4</v>
      </c>
      <c r="P31" s="53"/>
      <c r="Q31" s="35">
        <f t="shared" ref="Q31" si="1163">P28*$G$31</f>
        <v>4</v>
      </c>
      <c r="R31" s="53"/>
      <c r="S31" s="35">
        <f t="shared" ref="S31" si="1164">R28*$G$31</f>
        <v>4</v>
      </c>
      <c r="T31" s="53"/>
      <c r="U31" s="35">
        <f t="shared" ref="U31" si="1165">T28*$G$31</f>
        <v>4</v>
      </c>
      <c r="V31" s="53"/>
      <c r="W31" s="35">
        <f t="shared" ref="W31" si="1166">V28*$G$31</f>
        <v>4</v>
      </c>
      <c r="X31" s="53"/>
      <c r="Y31" s="35">
        <f t="shared" ref="Y31" si="1167">X28*$G$31</f>
        <v>4</v>
      </c>
      <c r="Z31" s="53"/>
      <c r="AA31" s="35">
        <f t="shared" ref="AA31" si="1168">Z28*$G$31</f>
        <v>4</v>
      </c>
      <c r="AB31" s="53"/>
      <c r="AC31" s="35">
        <f t="shared" ref="AC31" si="1169">AB28*$G$31</f>
        <v>4</v>
      </c>
      <c r="AD31" s="53"/>
      <c r="AE31" s="35">
        <f t="shared" ref="AE31" si="1170">AD28*$G$31</f>
        <v>4</v>
      </c>
      <c r="AF31" s="53"/>
      <c r="AG31" s="35">
        <f t="shared" ref="AG31" si="1171">AF28*$G$31</f>
        <v>4</v>
      </c>
      <c r="AH31" s="53"/>
      <c r="AI31" s="35">
        <f t="shared" ref="AI31" si="1172">AH28*$G$31</f>
        <v>4</v>
      </c>
      <c r="AJ31" s="53"/>
      <c r="AK31" s="35">
        <f t="shared" ref="AK31" si="1173">AJ28*$G$31</f>
        <v>4</v>
      </c>
      <c r="AL31" s="53"/>
      <c r="AM31" s="35">
        <f t="shared" ref="AM31" si="1174">AL28*$G$31</f>
        <v>4</v>
      </c>
      <c r="AN31" s="53"/>
      <c r="AO31" s="35">
        <f t="shared" ref="AO31" si="1175">AN28*$G$31</f>
        <v>4</v>
      </c>
      <c r="AP31" s="53"/>
      <c r="AQ31" s="35">
        <f t="shared" ref="AQ31" si="1176">AP28*$G$31</f>
        <v>4</v>
      </c>
      <c r="AR31" s="53"/>
      <c r="AS31" s="35">
        <f t="shared" ref="AS31" si="1177">AR28*$G$31</f>
        <v>4</v>
      </c>
      <c r="AT31" s="53"/>
      <c r="AU31" s="35">
        <f t="shared" ref="AU31" si="1178">AT28*$G$31</f>
        <v>4</v>
      </c>
      <c r="AV31" s="53"/>
      <c r="AW31" s="35">
        <f t="shared" ref="AW31" si="1179">AV28*$G$31</f>
        <v>3</v>
      </c>
      <c r="AX31" s="53"/>
      <c r="AY31" s="35">
        <f t="shared" ref="AY31" si="1180">AX28*$G$31</f>
        <v>3</v>
      </c>
      <c r="AZ31" s="53"/>
      <c r="BA31" s="35">
        <f t="shared" ref="BA31" si="1181">AZ28*$G$31</f>
        <v>3</v>
      </c>
      <c r="BB31" s="53"/>
      <c r="BC31" s="35">
        <f t="shared" ref="BC31" si="1182">BB28*$G$31</f>
        <v>3</v>
      </c>
      <c r="BD31" s="53"/>
      <c r="BE31" s="35">
        <f t="shared" ref="BE31" si="1183">BD28*$G$31</f>
        <v>3</v>
      </c>
      <c r="BF31" s="53"/>
      <c r="BG31" s="35">
        <f t="shared" ref="BG31" si="1184">BF28*$G$31</f>
        <v>3</v>
      </c>
      <c r="BH31" s="53"/>
      <c r="BI31" s="35">
        <f t="shared" ref="BI31" si="1185">BH28*$G$31</f>
        <v>3</v>
      </c>
      <c r="BJ31" s="53"/>
      <c r="BK31" s="35">
        <f t="shared" ref="BK31" si="1186">BJ28*$G$31</f>
        <v>3</v>
      </c>
      <c r="BL31" s="53"/>
      <c r="BM31" s="35">
        <f t="shared" ref="BM31" si="1187">BL28*$G$31</f>
        <v>3</v>
      </c>
      <c r="BN31" s="53"/>
      <c r="BO31" s="35">
        <f t="shared" ref="BO31" si="1188">BN28*$G$31</f>
        <v>3</v>
      </c>
      <c r="BP31" s="53"/>
      <c r="BQ31" s="35">
        <f t="shared" ref="BQ31" si="1189">BP28*$G$31</f>
        <v>3</v>
      </c>
      <c r="BR31" s="53"/>
      <c r="BS31" s="35">
        <f t="shared" ref="BS31" si="1190">BR28*$G$31</f>
        <v>3</v>
      </c>
      <c r="BT31" s="53"/>
      <c r="BU31" s="35">
        <f t="shared" ref="BU31" si="1191">BT28*$G$31</f>
        <v>3</v>
      </c>
      <c r="BV31" s="53"/>
      <c r="BW31" s="35">
        <f t="shared" ref="BW31" si="1192">BV28*$G$31</f>
        <v>3</v>
      </c>
      <c r="BX31" s="53"/>
      <c r="BY31" s="35">
        <f t="shared" ref="BY31" si="1193">BX28*$G$31</f>
        <v>3</v>
      </c>
      <c r="BZ31" s="53"/>
      <c r="CA31" s="35">
        <f t="shared" ref="CA31" si="1194">BZ28*$G$31</f>
        <v>3</v>
      </c>
      <c r="CB31" s="53"/>
      <c r="CC31" s="35">
        <f t="shared" ref="CC31" si="1195">CB28*$G$31</f>
        <v>3</v>
      </c>
      <c r="CD31" s="53"/>
      <c r="CE31" s="35">
        <f t="shared" ref="CE31" si="1196">CD28*$G$31</f>
        <v>3</v>
      </c>
      <c r="CF31" s="53"/>
      <c r="CG31" s="35">
        <f t="shared" ref="CG31" si="1197">CF28*$G$31</f>
        <v>3</v>
      </c>
      <c r="CH31" s="53"/>
      <c r="CI31" s="35">
        <f t="shared" ref="CI31" si="1198">CH28*$G$31</f>
        <v>3</v>
      </c>
      <c r="CJ31" s="53"/>
      <c r="CK31" s="35">
        <f t="shared" ref="CK31" si="1199">CJ28*$G$31</f>
        <v>3</v>
      </c>
      <c r="CL31" s="53"/>
      <c r="CM31" s="35">
        <f t="shared" ref="CM31" si="1200">CL28*$G$31</f>
        <v>3</v>
      </c>
      <c r="CN31" s="53"/>
      <c r="CO31" s="35">
        <f t="shared" ref="CO31" si="1201">CN28*$G$31</f>
        <v>3</v>
      </c>
      <c r="CP31" s="53"/>
      <c r="CQ31" s="35">
        <f t="shared" ref="CQ31" si="1202">CP28*$G$31</f>
        <v>3</v>
      </c>
      <c r="CR31" s="53"/>
      <c r="CS31" s="35">
        <f t="shared" ref="CS31" si="1203">CR28*$G$31</f>
        <v>3</v>
      </c>
      <c r="CT31" s="53"/>
      <c r="CU31" s="35">
        <f t="shared" ref="CU31" si="1204">CT28*$G$31</f>
        <v>3</v>
      </c>
      <c r="CV31" s="53"/>
      <c r="CW31" s="35">
        <f t="shared" ref="CW31" si="1205">CV28*$G$31</f>
        <v>3</v>
      </c>
      <c r="CX31" s="53"/>
      <c r="CY31" s="35">
        <f t="shared" ref="CY31" si="1206">CX28*$G$31</f>
        <v>3</v>
      </c>
      <c r="CZ31" s="53"/>
      <c r="DA31" s="35">
        <f t="shared" ref="DA31" si="1207">CZ28*$G$31</f>
        <v>3</v>
      </c>
      <c r="DB31" s="53"/>
      <c r="DC31" s="35">
        <f t="shared" ref="DC31" si="1208">DB28*$G$31</f>
        <v>3</v>
      </c>
      <c r="DD31" s="53"/>
      <c r="DE31" s="35">
        <f t="shared" ref="DE31" si="1209">DD28*$G$31</f>
        <v>3</v>
      </c>
      <c r="DF31" s="53"/>
      <c r="DG31" s="35">
        <f t="shared" ref="DG31" si="1210">DF28*$G$31</f>
        <v>3</v>
      </c>
      <c r="DH31" s="53"/>
      <c r="DI31" s="35">
        <f t="shared" ref="DI31" si="1211">DH28*$G$31</f>
        <v>3</v>
      </c>
      <c r="DJ31" s="53"/>
      <c r="DK31" s="35">
        <f t="shared" ref="DK31" si="1212">DJ28*$G$31</f>
        <v>3</v>
      </c>
      <c r="DL31" s="53"/>
      <c r="DM31" s="35">
        <f t="shared" ref="DM31" si="1213">DL28*$G$31</f>
        <v>3</v>
      </c>
      <c r="DN31" s="53"/>
      <c r="DO31" s="35">
        <f t="shared" ref="DO31" si="1214">DN28*$G$31</f>
        <v>3</v>
      </c>
      <c r="DP31" s="53"/>
      <c r="DQ31" s="35">
        <f t="shared" ref="DQ31" si="1215">DP28*$G$31</f>
        <v>3</v>
      </c>
      <c r="DR31" s="53"/>
      <c r="DS31" s="35">
        <f t="shared" ref="DS31" si="1216">DR28*$G$31</f>
        <v>3</v>
      </c>
      <c r="DT31" s="53"/>
      <c r="DU31" s="35">
        <f t="shared" ref="DU31" si="1217">DT28*$G$31</f>
        <v>3</v>
      </c>
      <c r="DV31" s="53"/>
      <c r="DW31" s="35">
        <f t="shared" ref="DW31" si="1218">DV28*$G$31</f>
        <v>3</v>
      </c>
      <c r="DX31" s="53"/>
      <c r="DY31" s="35">
        <f t="shared" ref="DY31" si="1219">DX28*$G$31</f>
        <v>3</v>
      </c>
      <c r="DZ31" s="53"/>
      <c r="EA31" s="35">
        <f t="shared" ref="EA31" si="1220">DZ28*$G$31</f>
        <v>3</v>
      </c>
      <c r="EB31" s="53"/>
      <c r="EC31" s="35">
        <f t="shared" ref="EC31" si="1221">EB28*$G$31</f>
        <v>3</v>
      </c>
      <c r="ED31" s="53"/>
      <c r="EE31" s="35">
        <f t="shared" ref="EE31" si="1222">ED28*$G$31</f>
        <v>3</v>
      </c>
      <c r="EF31" s="53"/>
      <c r="EG31" s="35">
        <f t="shared" ref="EG31" si="1223">EF28*$G$31</f>
        <v>3</v>
      </c>
      <c r="EH31" s="53"/>
      <c r="EI31" s="35">
        <f t="shared" ref="EI31" si="1224">EH28*$G$31</f>
        <v>3</v>
      </c>
      <c r="EJ31" s="53"/>
      <c r="EK31" s="35">
        <f t="shared" ref="EK31" si="1225">EJ28*$G$31</f>
        <v>3</v>
      </c>
      <c r="EL31" s="53"/>
      <c r="EM31" s="35">
        <f t="shared" ref="EM31" si="1226">EL28*$G$31</f>
        <v>3</v>
      </c>
      <c r="EN31" s="53"/>
      <c r="EO31" s="35">
        <f t="shared" ref="EO31" si="1227">EN28*$G$31</f>
        <v>3</v>
      </c>
      <c r="EP31" s="53"/>
      <c r="EQ31" s="35">
        <f t="shared" ref="EQ31" si="1228">EP28*$G$31</f>
        <v>3</v>
      </c>
      <c r="ER31" s="53"/>
      <c r="ES31" s="35">
        <f t="shared" ref="ES31" si="1229">ER28*$G$31</f>
        <v>3</v>
      </c>
      <c r="ET31" s="53"/>
      <c r="EU31" s="35">
        <f t="shared" ref="EU31" si="1230">ET28*$G$31</f>
        <v>3</v>
      </c>
      <c r="EV31" s="53"/>
      <c r="EW31" s="35">
        <f t="shared" ref="EW31" si="1231">EV28*$G$31</f>
        <v>3</v>
      </c>
      <c r="EX31" s="53"/>
      <c r="EY31" s="35">
        <f t="shared" ref="EY31" si="1232">EX28*$G$31</f>
        <v>3</v>
      </c>
      <c r="EZ31" s="53"/>
      <c r="FA31" s="35">
        <f t="shared" ref="FA31" si="1233">EZ28*$G$31</f>
        <v>3</v>
      </c>
      <c r="FB31" s="53"/>
      <c r="FC31" s="35">
        <f t="shared" ref="FC31" si="1234">FB28*$G$31</f>
        <v>3</v>
      </c>
      <c r="FD31" s="53"/>
      <c r="FE31" s="35">
        <f t="shared" ref="FE31" si="1235">FD28*$G$31</f>
        <v>3</v>
      </c>
      <c r="FF31" s="53"/>
      <c r="FG31" s="35">
        <f t="shared" ref="FG31" si="1236">FF28*$G$31</f>
        <v>3</v>
      </c>
      <c r="FH31" s="53"/>
      <c r="FI31" s="35">
        <f t="shared" ref="FI31" si="1237">FH28*$G$31</f>
        <v>3</v>
      </c>
      <c r="FJ31" s="53"/>
      <c r="FK31" s="35">
        <f t="shared" ref="FK31" si="1238">FJ28*$G$31</f>
        <v>3</v>
      </c>
      <c r="FL31" s="53"/>
      <c r="FM31" s="35">
        <f t="shared" ref="FM31" si="1239">FL28*$G$31</f>
        <v>3</v>
      </c>
      <c r="FN31" s="53"/>
      <c r="FO31" s="35">
        <f t="shared" ref="FO31" si="1240">FN28*$G$31</f>
        <v>3</v>
      </c>
      <c r="FP31" s="53"/>
      <c r="FQ31" s="35">
        <f t="shared" ref="FQ31" si="1241">FP28*$G$31</f>
        <v>2</v>
      </c>
      <c r="FR31" s="56"/>
    </row>
    <row r="32" spans="1:174" x14ac:dyDescent="0.35">
      <c r="A32" s="11" t="s">
        <v>125</v>
      </c>
      <c r="B32" s="11">
        <v>913</v>
      </c>
      <c r="C32" s="11" t="s">
        <v>12</v>
      </c>
      <c r="D32" s="11" t="s">
        <v>126</v>
      </c>
      <c r="E32" s="11" t="s">
        <v>20</v>
      </c>
      <c r="F32" s="11">
        <v>5</v>
      </c>
      <c r="G32" s="11">
        <v>5</v>
      </c>
      <c r="H32" s="53"/>
      <c r="I32" s="11">
        <f t="shared" ref="I32" si="1242">H28*G32</f>
        <v>2600</v>
      </c>
      <c r="J32" s="53"/>
      <c r="K32" s="35">
        <f>J28*$G$32</f>
        <v>20</v>
      </c>
      <c r="L32" s="53"/>
      <c r="M32" s="35">
        <f t="shared" ref="M32" si="1243">L28*$G$32</f>
        <v>20</v>
      </c>
      <c r="N32" s="53"/>
      <c r="O32" s="35">
        <f t="shared" ref="O32" si="1244">N28*$G$32</f>
        <v>20</v>
      </c>
      <c r="P32" s="53"/>
      <c r="Q32" s="35">
        <f t="shared" ref="Q32" si="1245">P28*$G$32</f>
        <v>20</v>
      </c>
      <c r="R32" s="53"/>
      <c r="S32" s="35">
        <f t="shared" ref="S32" si="1246">R28*$G$32</f>
        <v>20</v>
      </c>
      <c r="T32" s="53"/>
      <c r="U32" s="35">
        <f t="shared" ref="U32" si="1247">T28*$G$32</f>
        <v>20</v>
      </c>
      <c r="V32" s="53"/>
      <c r="W32" s="35">
        <f t="shared" ref="W32" si="1248">V28*$G$32</f>
        <v>20</v>
      </c>
      <c r="X32" s="53"/>
      <c r="Y32" s="35">
        <f t="shared" ref="Y32" si="1249">X28*$G$32</f>
        <v>20</v>
      </c>
      <c r="Z32" s="53"/>
      <c r="AA32" s="35">
        <f t="shared" ref="AA32" si="1250">Z28*$G$32</f>
        <v>20</v>
      </c>
      <c r="AB32" s="53"/>
      <c r="AC32" s="35">
        <f t="shared" ref="AC32" si="1251">AB28*$G$32</f>
        <v>20</v>
      </c>
      <c r="AD32" s="53"/>
      <c r="AE32" s="35">
        <f t="shared" ref="AE32" si="1252">AD28*$G$32</f>
        <v>20</v>
      </c>
      <c r="AF32" s="53"/>
      <c r="AG32" s="35">
        <f t="shared" ref="AG32" si="1253">AF28*$G$32</f>
        <v>20</v>
      </c>
      <c r="AH32" s="53"/>
      <c r="AI32" s="35">
        <f t="shared" ref="AI32" si="1254">AH28*$G$32</f>
        <v>20</v>
      </c>
      <c r="AJ32" s="53"/>
      <c r="AK32" s="35">
        <f t="shared" ref="AK32" si="1255">AJ28*$G$32</f>
        <v>20</v>
      </c>
      <c r="AL32" s="53"/>
      <c r="AM32" s="35">
        <f t="shared" ref="AM32" si="1256">AL28*$G$32</f>
        <v>20</v>
      </c>
      <c r="AN32" s="53"/>
      <c r="AO32" s="35">
        <f t="shared" ref="AO32" si="1257">AN28*$G$32</f>
        <v>20</v>
      </c>
      <c r="AP32" s="53"/>
      <c r="AQ32" s="35">
        <f t="shared" ref="AQ32" si="1258">AP28*$G$32</f>
        <v>20</v>
      </c>
      <c r="AR32" s="53"/>
      <c r="AS32" s="35">
        <f t="shared" ref="AS32" si="1259">AR28*$G$32</f>
        <v>20</v>
      </c>
      <c r="AT32" s="53"/>
      <c r="AU32" s="35">
        <f t="shared" ref="AU32" si="1260">AT28*$G$32</f>
        <v>20</v>
      </c>
      <c r="AV32" s="53"/>
      <c r="AW32" s="35">
        <f t="shared" ref="AW32" si="1261">AV28*$G$32</f>
        <v>15</v>
      </c>
      <c r="AX32" s="53"/>
      <c r="AY32" s="35">
        <f t="shared" ref="AY32" si="1262">AX28*$G$32</f>
        <v>15</v>
      </c>
      <c r="AZ32" s="53"/>
      <c r="BA32" s="35">
        <f t="shared" ref="BA32" si="1263">AZ28*$G$32</f>
        <v>15</v>
      </c>
      <c r="BB32" s="53"/>
      <c r="BC32" s="35">
        <f t="shared" ref="BC32" si="1264">BB28*$G$32</f>
        <v>15</v>
      </c>
      <c r="BD32" s="53"/>
      <c r="BE32" s="35">
        <f t="shared" ref="BE32" si="1265">BD28*$G$32</f>
        <v>15</v>
      </c>
      <c r="BF32" s="53"/>
      <c r="BG32" s="35">
        <f t="shared" ref="BG32" si="1266">BF28*$G$32</f>
        <v>15</v>
      </c>
      <c r="BH32" s="53"/>
      <c r="BI32" s="35">
        <f t="shared" ref="BI32" si="1267">BH28*$G$32</f>
        <v>15</v>
      </c>
      <c r="BJ32" s="53"/>
      <c r="BK32" s="35">
        <f t="shared" ref="BK32" si="1268">BJ28*$G$32</f>
        <v>15</v>
      </c>
      <c r="BL32" s="53"/>
      <c r="BM32" s="35">
        <f t="shared" ref="BM32" si="1269">BL28*$G$32</f>
        <v>15</v>
      </c>
      <c r="BN32" s="53"/>
      <c r="BO32" s="35">
        <f t="shared" ref="BO32" si="1270">BN28*$G$32</f>
        <v>15</v>
      </c>
      <c r="BP32" s="53"/>
      <c r="BQ32" s="35">
        <f t="shared" ref="BQ32" si="1271">BP28*$G$32</f>
        <v>15</v>
      </c>
      <c r="BR32" s="53"/>
      <c r="BS32" s="35">
        <f t="shared" ref="BS32" si="1272">BR28*$G$32</f>
        <v>15</v>
      </c>
      <c r="BT32" s="53"/>
      <c r="BU32" s="35">
        <f t="shared" ref="BU32" si="1273">BT28*$G$32</f>
        <v>15</v>
      </c>
      <c r="BV32" s="53"/>
      <c r="BW32" s="35">
        <f t="shared" ref="BW32" si="1274">BV28*$G$32</f>
        <v>15</v>
      </c>
      <c r="BX32" s="53"/>
      <c r="BY32" s="35">
        <f t="shared" ref="BY32" si="1275">BX28*$G$32</f>
        <v>15</v>
      </c>
      <c r="BZ32" s="53"/>
      <c r="CA32" s="35">
        <f t="shared" ref="CA32" si="1276">BZ28*$G$32</f>
        <v>15</v>
      </c>
      <c r="CB32" s="53"/>
      <c r="CC32" s="35">
        <f t="shared" ref="CC32" si="1277">CB28*$G$32</f>
        <v>15</v>
      </c>
      <c r="CD32" s="53"/>
      <c r="CE32" s="35">
        <f t="shared" ref="CE32" si="1278">CD28*$G$32</f>
        <v>15</v>
      </c>
      <c r="CF32" s="53"/>
      <c r="CG32" s="35">
        <f t="shared" ref="CG32" si="1279">CF28*$G$32</f>
        <v>15</v>
      </c>
      <c r="CH32" s="53"/>
      <c r="CI32" s="35">
        <f t="shared" ref="CI32" si="1280">CH28*$G$32</f>
        <v>15</v>
      </c>
      <c r="CJ32" s="53"/>
      <c r="CK32" s="35">
        <f t="shared" ref="CK32" si="1281">CJ28*$G$32</f>
        <v>15</v>
      </c>
      <c r="CL32" s="53"/>
      <c r="CM32" s="35">
        <f t="shared" ref="CM32" si="1282">CL28*$G$32</f>
        <v>15</v>
      </c>
      <c r="CN32" s="53"/>
      <c r="CO32" s="35">
        <f t="shared" ref="CO32" si="1283">CN28*$G$32</f>
        <v>15</v>
      </c>
      <c r="CP32" s="53"/>
      <c r="CQ32" s="35">
        <f t="shared" ref="CQ32" si="1284">CP28*$G$32</f>
        <v>15</v>
      </c>
      <c r="CR32" s="53"/>
      <c r="CS32" s="35">
        <f t="shared" ref="CS32" si="1285">CR28*$G$32</f>
        <v>15</v>
      </c>
      <c r="CT32" s="53"/>
      <c r="CU32" s="35">
        <f t="shared" ref="CU32" si="1286">CT28*$G$32</f>
        <v>15</v>
      </c>
      <c r="CV32" s="53"/>
      <c r="CW32" s="35">
        <f t="shared" ref="CW32" si="1287">CV28*$G$32</f>
        <v>15</v>
      </c>
      <c r="CX32" s="53"/>
      <c r="CY32" s="35">
        <f t="shared" ref="CY32" si="1288">CX28*$G$32</f>
        <v>15</v>
      </c>
      <c r="CZ32" s="53"/>
      <c r="DA32" s="35">
        <f t="shared" ref="DA32" si="1289">CZ28*$G$32</f>
        <v>15</v>
      </c>
      <c r="DB32" s="53"/>
      <c r="DC32" s="35">
        <f t="shared" ref="DC32" si="1290">DB28*$G$32</f>
        <v>15</v>
      </c>
      <c r="DD32" s="53"/>
      <c r="DE32" s="35">
        <f t="shared" ref="DE32" si="1291">DD28*$G$32</f>
        <v>15</v>
      </c>
      <c r="DF32" s="53"/>
      <c r="DG32" s="35">
        <f t="shared" ref="DG32" si="1292">DF28*$G$32</f>
        <v>15</v>
      </c>
      <c r="DH32" s="53"/>
      <c r="DI32" s="35">
        <f t="shared" ref="DI32" si="1293">DH28*$G$32</f>
        <v>15</v>
      </c>
      <c r="DJ32" s="53"/>
      <c r="DK32" s="35">
        <f t="shared" ref="DK32" si="1294">DJ28*$G$32</f>
        <v>15</v>
      </c>
      <c r="DL32" s="53"/>
      <c r="DM32" s="35">
        <f t="shared" ref="DM32" si="1295">DL28*$G$32</f>
        <v>15</v>
      </c>
      <c r="DN32" s="53"/>
      <c r="DO32" s="35">
        <f t="shared" ref="DO32" si="1296">DN28*$G$32</f>
        <v>15</v>
      </c>
      <c r="DP32" s="53"/>
      <c r="DQ32" s="35">
        <f t="shared" ref="DQ32" si="1297">DP28*$G$32</f>
        <v>15</v>
      </c>
      <c r="DR32" s="53"/>
      <c r="DS32" s="35">
        <f t="shared" ref="DS32" si="1298">DR28*$G$32</f>
        <v>15</v>
      </c>
      <c r="DT32" s="53"/>
      <c r="DU32" s="35">
        <f t="shared" ref="DU32" si="1299">DT28*$G$32</f>
        <v>15</v>
      </c>
      <c r="DV32" s="53"/>
      <c r="DW32" s="35">
        <f t="shared" ref="DW32" si="1300">DV28*$G$32</f>
        <v>15</v>
      </c>
      <c r="DX32" s="53"/>
      <c r="DY32" s="35">
        <f t="shared" ref="DY32" si="1301">DX28*$G$32</f>
        <v>15</v>
      </c>
      <c r="DZ32" s="53"/>
      <c r="EA32" s="35">
        <f t="shared" ref="EA32" si="1302">DZ28*$G$32</f>
        <v>15</v>
      </c>
      <c r="EB32" s="53"/>
      <c r="EC32" s="35">
        <f t="shared" ref="EC32" si="1303">EB28*$G$32</f>
        <v>15</v>
      </c>
      <c r="ED32" s="53"/>
      <c r="EE32" s="35">
        <f t="shared" ref="EE32" si="1304">ED28*$G$32</f>
        <v>15</v>
      </c>
      <c r="EF32" s="53"/>
      <c r="EG32" s="35">
        <f t="shared" ref="EG32" si="1305">EF28*$G$32</f>
        <v>15</v>
      </c>
      <c r="EH32" s="53"/>
      <c r="EI32" s="35">
        <f t="shared" ref="EI32" si="1306">EH28*$G$32</f>
        <v>15</v>
      </c>
      <c r="EJ32" s="53"/>
      <c r="EK32" s="35">
        <f t="shared" ref="EK32" si="1307">EJ28*$G$32</f>
        <v>15</v>
      </c>
      <c r="EL32" s="53"/>
      <c r="EM32" s="35">
        <f t="shared" ref="EM32" si="1308">EL28*$G$32</f>
        <v>15</v>
      </c>
      <c r="EN32" s="53"/>
      <c r="EO32" s="35">
        <f t="shared" ref="EO32" si="1309">EN28*$G$32</f>
        <v>15</v>
      </c>
      <c r="EP32" s="53"/>
      <c r="EQ32" s="35">
        <f t="shared" ref="EQ32" si="1310">EP28*$G$32</f>
        <v>15</v>
      </c>
      <c r="ER32" s="53"/>
      <c r="ES32" s="35">
        <f t="shared" ref="ES32" si="1311">ER28*$G$32</f>
        <v>15</v>
      </c>
      <c r="ET32" s="53"/>
      <c r="EU32" s="35">
        <f t="shared" ref="EU32" si="1312">ET28*$G$32</f>
        <v>15</v>
      </c>
      <c r="EV32" s="53"/>
      <c r="EW32" s="35">
        <f t="shared" ref="EW32" si="1313">EV28*$G$32</f>
        <v>15</v>
      </c>
      <c r="EX32" s="53"/>
      <c r="EY32" s="35">
        <f t="shared" ref="EY32" si="1314">EX28*$G$32</f>
        <v>15</v>
      </c>
      <c r="EZ32" s="53"/>
      <c r="FA32" s="35">
        <f t="shared" ref="FA32" si="1315">EZ28*$G$32</f>
        <v>15</v>
      </c>
      <c r="FB32" s="53"/>
      <c r="FC32" s="35">
        <f t="shared" ref="FC32" si="1316">FB28*$G$32</f>
        <v>15</v>
      </c>
      <c r="FD32" s="53"/>
      <c r="FE32" s="35">
        <f t="shared" ref="FE32" si="1317">FD28*$G$32</f>
        <v>15</v>
      </c>
      <c r="FF32" s="53"/>
      <c r="FG32" s="35">
        <f t="shared" ref="FG32" si="1318">FF28*$G$32</f>
        <v>15</v>
      </c>
      <c r="FH32" s="53"/>
      <c r="FI32" s="35">
        <f t="shared" ref="FI32" si="1319">FH28*$G$32</f>
        <v>15</v>
      </c>
      <c r="FJ32" s="53"/>
      <c r="FK32" s="35">
        <f t="shared" ref="FK32" si="1320">FJ28*$G$32</f>
        <v>15</v>
      </c>
      <c r="FL32" s="53"/>
      <c r="FM32" s="35">
        <f t="shared" ref="FM32" si="1321">FL28*$G$32</f>
        <v>15</v>
      </c>
      <c r="FN32" s="53"/>
      <c r="FO32" s="35">
        <f t="shared" ref="FO32" si="1322">FN28*$G$32</f>
        <v>15</v>
      </c>
      <c r="FP32" s="53"/>
      <c r="FQ32" s="35">
        <f t="shared" ref="FQ32" si="1323">FP28*$G$32</f>
        <v>10</v>
      </c>
      <c r="FR32" s="56"/>
    </row>
    <row r="33" spans="1:174" x14ac:dyDescent="0.35">
      <c r="A33" s="11" t="s">
        <v>125</v>
      </c>
      <c r="B33" s="11">
        <v>913</v>
      </c>
      <c r="C33" s="11" t="s">
        <v>12</v>
      </c>
      <c r="D33" s="11" t="s">
        <v>126</v>
      </c>
      <c r="E33" s="11" t="s">
        <v>21</v>
      </c>
      <c r="F33" s="11">
        <v>6</v>
      </c>
      <c r="G33" s="11">
        <v>0</v>
      </c>
      <c r="H33" s="53"/>
      <c r="I33" s="11">
        <f t="shared" ref="I33" si="1324">H28*G33</f>
        <v>0</v>
      </c>
      <c r="J33" s="53"/>
      <c r="K33" s="35">
        <f>J28*$G$33</f>
        <v>0</v>
      </c>
      <c r="L33" s="53"/>
      <c r="M33" s="35">
        <f t="shared" ref="M33" si="1325">L28*$G$33</f>
        <v>0</v>
      </c>
      <c r="N33" s="53"/>
      <c r="O33" s="35">
        <f t="shared" ref="O33" si="1326">N28*$G$33</f>
        <v>0</v>
      </c>
      <c r="P33" s="53"/>
      <c r="Q33" s="35">
        <f t="shared" ref="Q33" si="1327">P28*$G$33</f>
        <v>0</v>
      </c>
      <c r="R33" s="53"/>
      <c r="S33" s="35">
        <f t="shared" ref="S33" si="1328">R28*$G$33</f>
        <v>0</v>
      </c>
      <c r="T33" s="53"/>
      <c r="U33" s="35">
        <f t="shared" ref="U33" si="1329">T28*$G$33</f>
        <v>0</v>
      </c>
      <c r="V33" s="53"/>
      <c r="W33" s="35">
        <f t="shared" ref="W33" si="1330">V28*$G$33</f>
        <v>0</v>
      </c>
      <c r="X33" s="53"/>
      <c r="Y33" s="35">
        <f t="shared" ref="Y33" si="1331">X28*$G$33</f>
        <v>0</v>
      </c>
      <c r="Z33" s="53"/>
      <c r="AA33" s="35">
        <f t="shared" ref="AA33" si="1332">Z28*$G$33</f>
        <v>0</v>
      </c>
      <c r="AB33" s="53"/>
      <c r="AC33" s="35">
        <f t="shared" ref="AC33" si="1333">AB28*$G$33</f>
        <v>0</v>
      </c>
      <c r="AD33" s="53"/>
      <c r="AE33" s="35">
        <f t="shared" ref="AE33" si="1334">AD28*$G$33</f>
        <v>0</v>
      </c>
      <c r="AF33" s="53"/>
      <c r="AG33" s="35">
        <f t="shared" ref="AG33" si="1335">AF28*$G$33</f>
        <v>0</v>
      </c>
      <c r="AH33" s="53"/>
      <c r="AI33" s="35">
        <f t="shared" ref="AI33" si="1336">AH28*$G$33</f>
        <v>0</v>
      </c>
      <c r="AJ33" s="53"/>
      <c r="AK33" s="35">
        <f t="shared" ref="AK33" si="1337">AJ28*$G$33</f>
        <v>0</v>
      </c>
      <c r="AL33" s="53"/>
      <c r="AM33" s="35">
        <f t="shared" ref="AM33" si="1338">AL28*$G$33</f>
        <v>0</v>
      </c>
      <c r="AN33" s="53"/>
      <c r="AO33" s="35">
        <f t="shared" ref="AO33" si="1339">AN28*$G$33</f>
        <v>0</v>
      </c>
      <c r="AP33" s="53"/>
      <c r="AQ33" s="35">
        <f t="shared" ref="AQ33" si="1340">AP28*$G$33</f>
        <v>0</v>
      </c>
      <c r="AR33" s="53"/>
      <c r="AS33" s="35">
        <f t="shared" ref="AS33" si="1341">AR28*$G$33</f>
        <v>0</v>
      </c>
      <c r="AT33" s="53"/>
      <c r="AU33" s="35">
        <f t="shared" ref="AU33" si="1342">AT28*$G$33</f>
        <v>0</v>
      </c>
      <c r="AV33" s="53"/>
      <c r="AW33" s="35">
        <f t="shared" ref="AW33" si="1343">AV28*$G$33</f>
        <v>0</v>
      </c>
      <c r="AX33" s="53"/>
      <c r="AY33" s="35">
        <f t="shared" ref="AY33" si="1344">AX28*$G$33</f>
        <v>0</v>
      </c>
      <c r="AZ33" s="53"/>
      <c r="BA33" s="35">
        <f t="shared" ref="BA33" si="1345">AZ28*$G$33</f>
        <v>0</v>
      </c>
      <c r="BB33" s="53"/>
      <c r="BC33" s="35">
        <f t="shared" ref="BC33" si="1346">BB28*$G$33</f>
        <v>0</v>
      </c>
      <c r="BD33" s="53"/>
      <c r="BE33" s="35">
        <f t="shared" ref="BE33" si="1347">BD28*$G$33</f>
        <v>0</v>
      </c>
      <c r="BF33" s="53"/>
      <c r="BG33" s="35">
        <f t="shared" ref="BG33" si="1348">BF28*$G$33</f>
        <v>0</v>
      </c>
      <c r="BH33" s="53"/>
      <c r="BI33" s="35">
        <f t="shared" ref="BI33" si="1349">BH28*$G$33</f>
        <v>0</v>
      </c>
      <c r="BJ33" s="53"/>
      <c r="BK33" s="35">
        <f t="shared" ref="BK33" si="1350">BJ28*$G$33</f>
        <v>0</v>
      </c>
      <c r="BL33" s="53"/>
      <c r="BM33" s="35">
        <f t="shared" ref="BM33" si="1351">BL28*$G$33</f>
        <v>0</v>
      </c>
      <c r="BN33" s="53"/>
      <c r="BO33" s="35">
        <f t="shared" ref="BO33" si="1352">BN28*$G$33</f>
        <v>0</v>
      </c>
      <c r="BP33" s="53"/>
      <c r="BQ33" s="35">
        <f t="shared" ref="BQ33" si="1353">BP28*$G$33</f>
        <v>0</v>
      </c>
      <c r="BR33" s="53"/>
      <c r="BS33" s="35">
        <f t="shared" ref="BS33" si="1354">BR28*$G$33</f>
        <v>0</v>
      </c>
      <c r="BT33" s="53"/>
      <c r="BU33" s="35">
        <f t="shared" ref="BU33" si="1355">BT28*$G$33</f>
        <v>0</v>
      </c>
      <c r="BV33" s="53"/>
      <c r="BW33" s="35">
        <f t="shared" ref="BW33" si="1356">BV28*$G$33</f>
        <v>0</v>
      </c>
      <c r="BX33" s="53"/>
      <c r="BY33" s="35">
        <f t="shared" ref="BY33" si="1357">BX28*$G$33</f>
        <v>0</v>
      </c>
      <c r="BZ33" s="53"/>
      <c r="CA33" s="35">
        <f t="shared" ref="CA33" si="1358">BZ28*$G$33</f>
        <v>0</v>
      </c>
      <c r="CB33" s="53"/>
      <c r="CC33" s="35">
        <f t="shared" ref="CC33" si="1359">CB28*$G$33</f>
        <v>0</v>
      </c>
      <c r="CD33" s="53"/>
      <c r="CE33" s="35">
        <f t="shared" ref="CE33" si="1360">CD28*$G$33</f>
        <v>0</v>
      </c>
      <c r="CF33" s="53"/>
      <c r="CG33" s="35">
        <f t="shared" ref="CG33" si="1361">CF28*$G$33</f>
        <v>0</v>
      </c>
      <c r="CH33" s="53"/>
      <c r="CI33" s="35">
        <f t="shared" ref="CI33" si="1362">CH28*$G$33</f>
        <v>0</v>
      </c>
      <c r="CJ33" s="53"/>
      <c r="CK33" s="35">
        <f t="shared" ref="CK33" si="1363">CJ28*$G$33</f>
        <v>0</v>
      </c>
      <c r="CL33" s="53"/>
      <c r="CM33" s="35">
        <f t="shared" ref="CM33" si="1364">CL28*$G$33</f>
        <v>0</v>
      </c>
      <c r="CN33" s="53"/>
      <c r="CO33" s="35">
        <f t="shared" ref="CO33" si="1365">CN28*$G$33</f>
        <v>0</v>
      </c>
      <c r="CP33" s="53"/>
      <c r="CQ33" s="35">
        <f t="shared" ref="CQ33" si="1366">CP28*$G$33</f>
        <v>0</v>
      </c>
      <c r="CR33" s="53"/>
      <c r="CS33" s="35">
        <f t="shared" ref="CS33" si="1367">CR28*$G$33</f>
        <v>0</v>
      </c>
      <c r="CT33" s="53"/>
      <c r="CU33" s="35">
        <f t="shared" ref="CU33" si="1368">CT28*$G$33</f>
        <v>0</v>
      </c>
      <c r="CV33" s="53"/>
      <c r="CW33" s="35">
        <f t="shared" ref="CW33" si="1369">CV28*$G$33</f>
        <v>0</v>
      </c>
      <c r="CX33" s="53"/>
      <c r="CY33" s="35">
        <f t="shared" ref="CY33" si="1370">CX28*$G$33</f>
        <v>0</v>
      </c>
      <c r="CZ33" s="53"/>
      <c r="DA33" s="35">
        <f t="shared" ref="DA33" si="1371">CZ28*$G$33</f>
        <v>0</v>
      </c>
      <c r="DB33" s="53"/>
      <c r="DC33" s="35">
        <f t="shared" ref="DC33" si="1372">DB28*$G$33</f>
        <v>0</v>
      </c>
      <c r="DD33" s="53"/>
      <c r="DE33" s="35">
        <f t="shared" ref="DE33" si="1373">DD28*$G$33</f>
        <v>0</v>
      </c>
      <c r="DF33" s="53"/>
      <c r="DG33" s="35">
        <f t="shared" ref="DG33" si="1374">DF28*$G$33</f>
        <v>0</v>
      </c>
      <c r="DH33" s="53"/>
      <c r="DI33" s="35">
        <f t="shared" ref="DI33" si="1375">DH28*$G$33</f>
        <v>0</v>
      </c>
      <c r="DJ33" s="53"/>
      <c r="DK33" s="35">
        <f t="shared" ref="DK33" si="1376">DJ28*$G$33</f>
        <v>0</v>
      </c>
      <c r="DL33" s="53"/>
      <c r="DM33" s="35">
        <f t="shared" ref="DM33" si="1377">DL28*$G$33</f>
        <v>0</v>
      </c>
      <c r="DN33" s="53"/>
      <c r="DO33" s="35">
        <f t="shared" ref="DO33" si="1378">DN28*$G$33</f>
        <v>0</v>
      </c>
      <c r="DP33" s="53"/>
      <c r="DQ33" s="35">
        <f t="shared" ref="DQ33" si="1379">DP28*$G$33</f>
        <v>0</v>
      </c>
      <c r="DR33" s="53"/>
      <c r="DS33" s="35">
        <f t="shared" ref="DS33" si="1380">DR28*$G$33</f>
        <v>0</v>
      </c>
      <c r="DT33" s="53"/>
      <c r="DU33" s="35">
        <f t="shared" ref="DU33" si="1381">DT28*$G$33</f>
        <v>0</v>
      </c>
      <c r="DV33" s="53"/>
      <c r="DW33" s="35">
        <f t="shared" ref="DW33" si="1382">DV28*$G$33</f>
        <v>0</v>
      </c>
      <c r="DX33" s="53"/>
      <c r="DY33" s="35">
        <f t="shared" ref="DY33" si="1383">DX28*$G$33</f>
        <v>0</v>
      </c>
      <c r="DZ33" s="53"/>
      <c r="EA33" s="35">
        <f t="shared" ref="EA33" si="1384">DZ28*$G$33</f>
        <v>0</v>
      </c>
      <c r="EB33" s="53"/>
      <c r="EC33" s="35">
        <f t="shared" ref="EC33" si="1385">EB28*$G$33</f>
        <v>0</v>
      </c>
      <c r="ED33" s="53"/>
      <c r="EE33" s="35">
        <f t="shared" ref="EE33" si="1386">ED28*$G$33</f>
        <v>0</v>
      </c>
      <c r="EF33" s="53"/>
      <c r="EG33" s="35">
        <f t="shared" ref="EG33" si="1387">EF28*$G$33</f>
        <v>0</v>
      </c>
      <c r="EH33" s="53"/>
      <c r="EI33" s="35">
        <f t="shared" ref="EI33" si="1388">EH28*$G$33</f>
        <v>0</v>
      </c>
      <c r="EJ33" s="53"/>
      <c r="EK33" s="35">
        <f t="shared" ref="EK33" si="1389">EJ28*$G$33</f>
        <v>0</v>
      </c>
      <c r="EL33" s="53"/>
      <c r="EM33" s="35">
        <f t="shared" ref="EM33" si="1390">EL28*$G$33</f>
        <v>0</v>
      </c>
      <c r="EN33" s="53"/>
      <c r="EO33" s="35">
        <f t="shared" ref="EO33" si="1391">EN28*$G$33</f>
        <v>0</v>
      </c>
      <c r="EP33" s="53"/>
      <c r="EQ33" s="35">
        <f t="shared" ref="EQ33" si="1392">EP28*$G$33</f>
        <v>0</v>
      </c>
      <c r="ER33" s="53"/>
      <c r="ES33" s="35">
        <f t="shared" ref="ES33" si="1393">ER28*$G$33</f>
        <v>0</v>
      </c>
      <c r="ET33" s="53"/>
      <c r="EU33" s="35">
        <f t="shared" ref="EU33" si="1394">ET28*$G$33</f>
        <v>0</v>
      </c>
      <c r="EV33" s="53"/>
      <c r="EW33" s="35">
        <f t="shared" ref="EW33" si="1395">EV28*$G$33</f>
        <v>0</v>
      </c>
      <c r="EX33" s="53"/>
      <c r="EY33" s="35">
        <f t="shared" ref="EY33" si="1396">EX28*$G$33</f>
        <v>0</v>
      </c>
      <c r="EZ33" s="53"/>
      <c r="FA33" s="35">
        <f t="shared" ref="FA33" si="1397">EZ28*$G$33</f>
        <v>0</v>
      </c>
      <c r="FB33" s="53"/>
      <c r="FC33" s="35">
        <f t="shared" ref="FC33" si="1398">FB28*$G$33</f>
        <v>0</v>
      </c>
      <c r="FD33" s="53"/>
      <c r="FE33" s="35">
        <f t="shared" ref="FE33" si="1399">FD28*$G$33</f>
        <v>0</v>
      </c>
      <c r="FF33" s="53"/>
      <c r="FG33" s="35">
        <f t="shared" ref="FG33" si="1400">FF28*$G$33</f>
        <v>0</v>
      </c>
      <c r="FH33" s="53"/>
      <c r="FI33" s="35">
        <f t="shared" ref="FI33" si="1401">FH28*$G$33</f>
        <v>0</v>
      </c>
      <c r="FJ33" s="53"/>
      <c r="FK33" s="35">
        <f t="shared" ref="FK33" si="1402">FJ28*$G$33</f>
        <v>0</v>
      </c>
      <c r="FL33" s="53"/>
      <c r="FM33" s="35">
        <f t="shared" ref="FM33" si="1403">FL28*$G$33</f>
        <v>0</v>
      </c>
      <c r="FN33" s="53"/>
      <c r="FO33" s="35">
        <f t="shared" ref="FO33" si="1404">FN28*$G$33</f>
        <v>0</v>
      </c>
      <c r="FP33" s="53"/>
      <c r="FQ33" s="35">
        <f t="shared" ref="FQ33" si="1405">FP28*$G$33</f>
        <v>0</v>
      </c>
      <c r="FR33" s="56"/>
    </row>
    <row r="34" spans="1:174" x14ac:dyDescent="0.35">
      <c r="A34" s="12" t="s">
        <v>127</v>
      </c>
      <c r="B34" s="12">
        <v>913</v>
      </c>
      <c r="C34" s="12" t="s">
        <v>93</v>
      </c>
      <c r="D34" s="12" t="s">
        <v>128</v>
      </c>
      <c r="E34" s="12" t="s">
        <v>130</v>
      </c>
      <c r="F34" s="12">
        <v>1</v>
      </c>
      <c r="G34" s="12">
        <v>0</v>
      </c>
      <c r="H34" s="54">
        <v>58</v>
      </c>
      <c r="I34" s="12">
        <f t="shared" ref="I34" si="1406">H34*G34</f>
        <v>0</v>
      </c>
      <c r="J34" s="54">
        <v>3</v>
      </c>
      <c r="K34" s="36">
        <f>J34*$G$34</f>
        <v>0</v>
      </c>
      <c r="L34" s="54">
        <v>3</v>
      </c>
      <c r="M34" s="36">
        <f t="shared" ref="M34" si="1407">L34*$G$34</f>
        <v>0</v>
      </c>
      <c r="N34" s="54">
        <v>3</v>
      </c>
      <c r="O34" s="36">
        <f t="shared" ref="O34" si="1408">N34*$G$34</f>
        <v>0</v>
      </c>
      <c r="P34" s="54">
        <v>3</v>
      </c>
      <c r="Q34" s="36">
        <f t="shared" ref="Q34" si="1409">P34*$G$34</f>
        <v>0</v>
      </c>
      <c r="R34" s="54">
        <v>3</v>
      </c>
      <c r="S34" s="36">
        <f t="shared" ref="S34" si="1410">R34*$G$34</f>
        <v>0</v>
      </c>
      <c r="T34" s="54">
        <v>3</v>
      </c>
      <c r="U34" s="36">
        <f t="shared" ref="U34" si="1411">T34*$G$34</f>
        <v>0</v>
      </c>
      <c r="V34" s="54">
        <v>2</v>
      </c>
      <c r="W34" s="36">
        <f t="shared" ref="W34" si="1412">V34*$G$34</f>
        <v>0</v>
      </c>
      <c r="X34" s="54">
        <v>2</v>
      </c>
      <c r="Y34" s="36">
        <f t="shared" ref="Y34" si="1413">X34*$G$34</f>
        <v>0</v>
      </c>
      <c r="Z34" s="54">
        <v>2</v>
      </c>
      <c r="AA34" s="36">
        <f t="shared" ref="AA34" si="1414">Z34*$G$34</f>
        <v>0</v>
      </c>
      <c r="AB34" s="54">
        <v>2</v>
      </c>
      <c r="AC34" s="36">
        <f t="shared" ref="AC34" si="1415">AB34*$G$34</f>
        <v>0</v>
      </c>
      <c r="AD34" s="54">
        <v>2</v>
      </c>
      <c r="AE34" s="36">
        <f t="shared" ref="AE34" si="1416">AD34*$G$34</f>
        <v>0</v>
      </c>
      <c r="AF34" s="54">
        <v>2</v>
      </c>
      <c r="AG34" s="36">
        <f t="shared" ref="AG34" si="1417">AF34*$G$34</f>
        <v>0</v>
      </c>
      <c r="AH34" s="54">
        <v>2</v>
      </c>
      <c r="AI34" s="36">
        <f t="shared" ref="AI34" si="1418">AH34*$G$34</f>
        <v>0</v>
      </c>
      <c r="AJ34" s="54">
        <v>1</v>
      </c>
      <c r="AK34" s="36">
        <f t="shared" ref="AK34" si="1419">AJ34*$G$34</f>
        <v>0</v>
      </c>
      <c r="AL34" s="54">
        <v>1</v>
      </c>
      <c r="AM34" s="36">
        <f t="shared" ref="AM34" si="1420">AL34*$G$34</f>
        <v>0</v>
      </c>
      <c r="AN34" s="54">
        <v>1</v>
      </c>
      <c r="AO34" s="36">
        <f t="shared" ref="AO34" si="1421">AN34*$G$34</f>
        <v>0</v>
      </c>
      <c r="AP34" s="54">
        <v>1</v>
      </c>
      <c r="AQ34" s="36">
        <f t="shared" ref="AQ34" si="1422">AP34*$G$34</f>
        <v>0</v>
      </c>
      <c r="AR34" s="54">
        <v>1</v>
      </c>
      <c r="AS34" s="36">
        <f t="shared" ref="AS34" si="1423">AR34*$G$34</f>
        <v>0</v>
      </c>
      <c r="AT34" s="54">
        <v>1</v>
      </c>
      <c r="AU34" s="36">
        <f t="shared" ref="AU34" si="1424">AT34*$G$34</f>
        <v>0</v>
      </c>
      <c r="AV34" s="54">
        <v>1</v>
      </c>
      <c r="AW34" s="36">
        <f t="shared" ref="AW34" si="1425">AV34*$G$34</f>
        <v>0</v>
      </c>
      <c r="AX34" s="54">
        <v>1</v>
      </c>
      <c r="AY34" s="36">
        <f t="shared" ref="AY34" si="1426">AX34*$G$34</f>
        <v>0</v>
      </c>
      <c r="AZ34" s="54">
        <v>1</v>
      </c>
      <c r="BA34" s="36">
        <f t="shared" ref="BA34" si="1427">AZ34*$G$34</f>
        <v>0</v>
      </c>
      <c r="BB34" s="54">
        <v>1</v>
      </c>
      <c r="BC34" s="36">
        <f t="shared" ref="BC34" si="1428">BB34*$G$34</f>
        <v>0</v>
      </c>
      <c r="BD34" s="54">
        <v>1</v>
      </c>
      <c r="BE34" s="36">
        <f t="shared" ref="BE34" si="1429">BD34*$G$34</f>
        <v>0</v>
      </c>
      <c r="BF34" s="54">
        <v>1</v>
      </c>
      <c r="BG34" s="36">
        <f t="shared" ref="BG34" si="1430">BF34*$G$34</f>
        <v>0</v>
      </c>
      <c r="BH34" s="54">
        <v>1</v>
      </c>
      <c r="BI34" s="36">
        <f t="shared" ref="BI34" si="1431">BH34*$G$34</f>
        <v>0</v>
      </c>
      <c r="BJ34" s="54">
        <v>1</v>
      </c>
      <c r="BK34" s="36">
        <f t="shared" ref="BK34" si="1432">BJ34*$G$34</f>
        <v>0</v>
      </c>
      <c r="BL34" s="54">
        <v>1</v>
      </c>
      <c r="BM34" s="36">
        <f t="shared" ref="BM34" si="1433">BL34*$G$34</f>
        <v>0</v>
      </c>
      <c r="BN34" s="54">
        <v>1</v>
      </c>
      <c r="BO34" s="36">
        <f t="shared" ref="BO34" si="1434">BN34*$G$34</f>
        <v>0</v>
      </c>
      <c r="BP34" s="54">
        <v>1</v>
      </c>
      <c r="BQ34" s="36">
        <f t="shared" ref="BQ34" si="1435">BP34*$G$34</f>
        <v>0</v>
      </c>
      <c r="BR34" s="54">
        <v>1</v>
      </c>
      <c r="BS34" s="36">
        <f t="shared" ref="BS34" si="1436">BR34*$G$34</f>
        <v>0</v>
      </c>
      <c r="BT34" s="54">
        <v>1</v>
      </c>
      <c r="BU34" s="36">
        <f t="shared" ref="BU34" si="1437">BT34*$G$34</f>
        <v>0</v>
      </c>
      <c r="BV34" s="54">
        <v>1</v>
      </c>
      <c r="BW34" s="36">
        <f t="shared" ref="BW34" si="1438">BV34*$G$34</f>
        <v>0</v>
      </c>
      <c r="BX34" s="54">
        <v>1</v>
      </c>
      <c r="BY34" s="36">
        <f t="shared" ref="BY34" si="1439">BX34*$G$34</f>
        <v>0</v>
      </c>
      <c r="BZ34" s="54">
        <v>1</v>
      </c>
      <c r="CA34" s="36">
        <f t="shared" ref="CA34" si="1440">BZ34*$G$34</f>
        <v>0</v>
      </c>
      <c r="CB34" s="54">
        <v>1</v>
      </c>
      <c r="CC34" s="36">
        <f t="shared" ref="CC34" si="1441">CB34*$G$34</f>
        <v>0</v>
      </c>
      <c r="CD34" s="54">
        <v>1</v>
      </c>
      <c r="CE34" s="36">
        <f t="shared" ref="CE34" si="1442">CD34*$G$34</f>
        <v>0</v>
      </c>
      <c r="CF34" s="54">
        <v>1</v>
      </c>
      <c r="CG34" s="36">
        <f t="shared" ref="CG34" si="1443">CF34*$G$34</f>
        <v>0</v>
      </c>
      <c r="CH34" s="54">
        <v>1</v>
      </c>
      <c r="CI34" s="36">
        <f t="shared" ref="CI34" si="1444">CH34*$G$34</f>
        <v>0</v>
      </c>
      <c r="CJ34" s="54"/>
      <c r="CK34" s="36">
        <f t="shared" ref="CK34" si="1445">CJ34*$G$34</f>
        <v>0</v>
      </c>
      <c r="CL34" s="54"/>
      <c r="CM34" s="36">
        <f t="shared" ref="CM34" si="1446">CL34*$G$34</f>
        <v>0</v>
      </c>
      <c r="CN34" s="54"/>
      <c r="CO34" s="36">
        <f t="shared" ref="CO34" si="1447">CN34*$G$34</f>
        <v>0</v>
      </c>
      <c r="CP34" s="54"/>
      <c r="CQ34" s="36">
        <f t="shared" ref="CQ34" si="1448">CP34*$G$34</f>
        <v>0</v>
      </c>
      <c r="CR34" s="54"/>
      <c r="CS34" s="36">
        <f t="shared" ref="CS34" si="1449">CR34*$G$34</f>
        <v>0</v>
      </c>
      <c r="CT34" s="54"/>
      <c r="CU34" s="36">
        <f t="shared" ref="CU34" si="1450">CT34*$G$34</f>
        <v>0</v>
      </c>
      <c r="CV34" s="54"/>
      <c r="CW34" s="36">
        <f t="shared" ref="CW34" si="1451">CV34*$G$34</f>
        <v>0</v>
      </c>
      <c r="CX34" s="54"/>
      <c r="CY34" s="36">
        <f t="shared" ref="CY34" si="1452">CX34*$G$34</f>
        <v>0</v>
      </c>
      <c r="CZ34" s="54"/>
      <c r="DA34" s="36">
        <f t="shared" ref="DA34" si="1453">CZ34*$G$34</f>
        <v>0</v>
      </c>
      <c r="DB34" s="54"/>
      <c r="DC34" s="36">
        <f t="shared" ref="DC34" si="1454">DB34*$G$34</f>
        <v>0</v>
      </c>
      <c r="DD34" s="54"/>
      <c r="DE34" s="36">
        <f t="shared" ref="DE34" si="1455">DD34*$G$34</f>
        <v>0</v>
      </c>
      <c r="DF34" s="54"/>
      <c r="DG34" s="36">
        <f t="shared" ref="DG34" si="1456">DF34*$G$34</f>
        <v>0</v>
      </c>
      <c r="DH34" s="54"/>
      <c r="DI34" s="36">
        <f t="shared" ref="DI34" si="1457">DH34*$G$34</f>
        <v>0</v>
      </c>
      <c r="DJ34" s="54"/>
      <c r="DK34" s="36">
        <f t="shared" ref="DK34" si="1458">DJ34*$G$34</f>
        <v>0</v>
      </c>
      <c r="DL34" s="54"/>
      <c r="DM34" s="36">
        <f t="shared" ref="DM34" si="1459">DL34*$G$34</f>
        <v>0</v>
      </c>
      <c r="DN34" s="54"/>
      <c r="DO34" s="36">
        <f t="shared" ref="DO34" si="1460">DN34*$G$34</f>
        <v>0</v>
      </c>
      <c r="DP34" s="54"/>
      <c r="DQ34" s="36">
        <f t="shared" ref="DQ34" si="1461">DP34*$G$34</f>
        <v>0</v>
      </c>
      <c r="DR34" s="54"/>
      <c r="DS34" s="36">
        <f t="shared" ref="DS34" si="1462">DR34*$G$34</f>
        <v>0</v>
      </c>
      <c r="DT34" s="54"/>
      <c r="DU34" s="36">
        <f t="shared" ref="DU34" si="1463">DT34*$G$34</f>
        <v>0</v>
      </c>
      <c r="DV34" s="54"/>
      <c r="DW34" s="36">
        <f t="shared" ref="DW34" si="1464">DV34*$G$34</f>
        <v>0</v>
      </c>
      <c r="DX34" s="54"/>
      <c r="DY34" s="36">
        <f t="shared" ref="DY34" si="1465">DX34*$G$34</f>
        <v>0</v>
      </c>
      <c r="DZ34" s="54"/>
      <c r="EA34" s="36">
        <f t="shared" ref="EA34" si="1466">DZ34*$G$34</f>
        <v>0</v>
      </c>
      <c r="EB34" s="54"/>
      <c r="EC34" s="36">
        <f t="shared" ref="EC34" si="1467">EB34*$G$34</f>
        <v>0</v>
      </c>
      <c r="ED34" s="54"/>
      <c r="EE34" s="36">
        <f t="shared" ref="EE34" si="1468">ED34*$G$34</f>
        <v>0</v>
      </c>
      <c r="EF34" s="54"/>
      <c r="EG34" s="36">
        <f t="shared" ref="EG34" si="1469">EF34*$G$34</f>
        <v>0</v>
      </c>
      <c r="EH34" s="54"/>
      <c r="EI34" s="36">
        <f t="shared" ref="EI34" si="1470">EH34*$G$34</f>
        <v>0</v>
      </c>
      <c r="EJ34" s="54"/>
      <c r="EK34" s="36">
        <f t="shared" ref="EK34" si="1471">EJ34*$G$34</f>
        <v>0</v>
      </c>
      <c r="EL34" s="54"/>
      <c r="EM34" s="36">
        <f t="shared" ref="EM34" si="1472">EL34*$G$34</f>
        <v>0</v>
      </c>
      <c r="EN34" s="54"/>
      <c r="EO34" s="36">
        <f t="shared" ref="EO34" si="1473">EN34*$G$34</f>
        <v>0</v>
      </c>
      <c r="EP34" s="54"/>
      <c r="EQ34" s="36">
        <f t="shared" ref="EQ34" si="1474">EP34*$G$34</f>
        <v>0</v>
      </c>
      <c r="ER34" s="54"/>
      <c r="ES34" s="36">
        <f t="shared" ref="ES34" si="1475">ER34*$G$34</f>
        <v>0</v>
      </c>
      <c r="ET34" s="54"/>
      <c r="EU34" s="36">
        <f t="shared" ref="EU34" si="1476">ET34*$G$34</f>
        <v>0</v>
      </c>
      <c r="EV34" s="54"/>
      <c r="EW34" s="36">
        <f t="shared" ref="EW34" si="1477">EV34*$G$34</f>
        <v>0</v>
      </c>
      <c r="EX34" s="54"/>
      <c r="EY34" s="36">
        <f t="shared" ref="EY34" si="1478">EX34*$G$34</f>
        <v>0</v>
      </c>
      <c r="EZ34" s="54"/>
      <c r="FA34" s="36">
        <f t="shared" ref="FA34" si="1479">EZ34*$G$34</f>
        <v>0</v>
      </c>
      <c r="FB34" s="54"/>
      <c r="FC34" s="36">
        <f t="shared" ref="FC34" si="1480">FB34*$G$34</f>
        <v>0</v>
      </c>
      <c r="FD34" s="54"/>
      <c r="FE34" s="36">
        <f t="shared" ref="FE34" si="1481">FD34*$G$34</f>
        <v>0</v>
      </c>
      <c r="FF34" s="54"/>
      <c r="FG34" s="36">
        <f t="shared" ref="FG34" si="1482">FF34*$G$34</f>
        <v>0</v>
      </c>
      <c r="FH34" s="54"/>
      <c r="FI34" s="36">
        <f t="shared" ref="FI34" si="1483">FH34*$G$34</f>
        <v>0</v>
      </c>
      <c r="FJ34" s="54"/>
      <c r="FK34" s="36">
        <f t="shared" ref="FK34" si="1484">FJ34*$G$34</f>
        <v>0</v>
      </c>
      <c r="FL34" s="54"/>
      <c r="FM34" s="36">
        <f t="shared" ref="FM34" si="1485">FL34*$G$34</f>
        <v>0</v>
      </c>
      <c r="FN34" s="54"/>
      <c r="FO34" s="36">
        <f t="shared" ref="FO34" si="1486">FN34*$G$34</f>
        <v>0</v>
      </c>
      <c r="FP34" s="54"/>
      <c r="FQ34" s="36">
        <f t="shared" ref="FQ34" si="1487">FP34*$G$34</f>
        <v>0</v>
      </c>
    </row>
    <row r="35" spans="1:174" x14ac:dyDescent="0.35">
      <c r="A35" s="12" t="s">
        <v>127</v>
      </c>
      <c r="B35" s="12">
        <v>913</v>
      </c>
      <c r="C35" s="12" t="s">
        <v>93</v>
      </c>
      <c r="D35" s="12" t="s">
        <v>128</v>
      </c>
      <c r="E35" s="12" t="s">
        <v>131</v>
      </c>
      <c r="F35" s="12">
        <v>2</v>
      </c>
      <c r="G35" s="12">
        <v>1</v>
      </c>
      <c r="H35" s="54"/>
      <c r="I35" s="12">
        <f t="shared" ref="I35" si="1488">H34*G35</f>
        <v>58</v>
      </c>
      <c r="J35" s="54"/>
      <c r="K35" s="36">
        <f>J34*$G$35</f>
        <v>3</v>
      </c>
      <c r="L35" s="54"/>
      <c r="M35" s="36">
        <f t="shared" ref="M35" si="1489">L34*$G$35</f>
        <v>3</v>
      </c>
      <c r="N35" s="54"/>
      <c r="O35" s="36">
        <f t="shared" ref="O35" si="1490">N34*$G$35</f>
        <v>3</v>
      </c>
      <c r="P35" s="54"/>
      <c r="Q35" s="36">
        <f t="shared" ref="Q35" si="1491">P34*$G$35</f>
        <v>3</v>
      </c>
      <c r="R35" s="54"/>
      <c r="S35" s="36">
        <f t="shared" ref="S35" si="1492">R34*$G$35</f>
        <v>3</v>
      </c>
      <c r="T35" s="54"/>
      <c r="U35" s="36">
        <f t="shared" ref="U35" si="1493">T34*$G$35</f>
        <v>3</v>
      </c>
      <c r="V35" s="54"/>
      <c r="W35" s="36">
        <f t="shared" ref="W35" si="1494">V34*$G$35</f>
        <v>2</v>
      </c>
      <c r="X35" s="54"/>
      <c r="Y35" s="36">
        <f t="shared" ref="Y35" si="1495">X34*$G$35</f>
        <v>2</v>
      </c>
      <c r="Z35" s="54"/>
      <c r="AA35" s="36">
        <f t="shared" ref="AA35" si="1496">Z34*$G$35</f>
        <v>2</v>
      </c>
      <c r="AB35" s="54"/>
      <c r="AC35" s="36">
        <f t="shared" ref="AC35" si="1497">AB34*$G$35</f>
        <v>2</v>
      </c>
      <c r="AD35" s="54"/>
      <c r="AE35" s="36">
        <f t="shared" ref="AE35" si="1498">AD34*$G$35</f>
        <v>2</v>
      </c>
      <c r="AF35" s="54"/>
      <c r="AG35" s="36">
        <f t="shared" ref="AG35" si="1499">AF34*$G$35</f>
        <v>2</v>
      </c>
      <c r="AH35" s="54"/>
      <c r="AI35" s="36">
        <f t="shared" ref="AI35" si="1500">AH34*$G$35</f>
        <v>2</v>
      </c>
      <c r="AJ35" s="54"/>
      <c r="AK35" s="36">
        <f t="shared" ref="AK35" si="1501">AJ34*$G$35</f>
        <v>1</v>
      </c>
      <c r="AL35" s="54"/>
      <c r="AM35" s="36">
        <f t="shared" ref="AM35" si="1502">AL34*$G$35</f>
        <v>1</v>
      </c>
      <c r="AN35" s="54"/>
      <c r="AO35" s="36">
        <f t="shared" ref="AO35" si="1503">AN34*$G$35</f>
        <v>1</v>
      </c>
      <c r="AP35" s="54"/>
      <c r="AQ35" s="36">
        <f t="shared" ref="AQ35" si="1504">AP34*$G$35</f>
        <v>1</v>
      </c>
      <c r="AR35" s="54"/>
      <c r="AS35" s="36">
        <f t="shared" ref="AS35" si="1505">AR34*$G$35</f>
        <v>1</v>
      </c>
      <c r="AT35" s="54"/>
      <c r="AU35" s="36">
        <f t="shared" ref="AU35" si="1506">AT34*$G$35</f>
        <v>1</v>
      </c>
      <c r="AV35" s="54"/>
      <c r="AW35" s="36">
        <f t="shared" ref="AW35" si="1507">AV34*$G$35</f>
        <v>1</v>
      </c>
      <c r="AX35" s="54"/>
      <c r="AY35" s="36">
        <f t="shared" ref="AY35" si="1508">AX34*$G$35</f>
        <v>1</v>
      </c>
      <c r="AZ35" s="54"/>
      <c r="BA35" s="36">
        <f t="shared" ref="BA35" si="1509">AZ34*$G$35</f>
        <v>1</v>
      </c>
      <c r="BB35" s="54"/>
      <c r="BC35" s="36">
        <f t="shared" ref="BC35" si="1510">BB34*$G$35</f>
        <v>1</v>
      </c>
      <c r="BD35" s="54"/>
      <c r="BE35" s="36">
        <f t="shared" ref="BE35" si="1511">BD34*$G$35</f>
        <v>1</v>
      </c>
      <c r="BF35" s="54"/>
      <c r="BG35" s="36">
        <f t="shared" ref="BG35" si="1512">BF34*$G$35</f>
        <v>1</v>
      </c>
      <c r="BH35" s="54"/>
      <c r="BI35" s="36">
        <f t="shared" ref="BI35" si="1513">BH34*$G$35</f>
        <v>1</v>
      </c>
      <c r="BJ35" s="54"/>
      <c r="BK35" s="36">
        <f t="shared" ref="BK35" si="1514">BJ34*$G$35</f>
        <v>1</v>
      </c>
      <c r="BL35" s="54"/>
      <c r="BM35" s="36">
        <f t="shared" ref="BM35" si="1515">BL34*$G$35</f>
        <v>1</v>
      </c>
      <c r="BN35" s="54"/>
      <c r="BO35" s="36">
        <f t="shared" ref="BO35" si="1516">BN34*$G$35</f>
        <v>1</v>
      </c>
      <c r="BP35" s="54"/>
      <c r="BQ35" s="36">
        <f t="shared" ref="BQ35" si="1517">BP34*$G$35</f>
        <v>1</v>
      </c>
      <c r="BR35" s="54"/>
      <c r="BS35" s="36">
        <f t="shared" ref="BS35" si="1518">BR34*$G$35</f>
        <v>1</v>
      </c>
      <c r="BT35" s="54"/>
      <c r="BU35" s="36">
        <f t="shared" ref="BU35" si="1519">BT34*$G$35</f>
        <v>1</v>
      </c>
      <c r="BV35" s="54"/>
      <c r="BW35" s="36">
        <f t="shared" ref="BW35" si="1520">BV34*$G$35</f>
        <v>1</v>
      </c>
      <c r="BX35" s="54"/>
      <c r="BY35" s="36">
        <f t="shared" ref="BY35" si="1521">BX34*$G$35</f>
        <v>1</v>
      </c>
      <c r="BZ35" s="54"/>
      <c r="CA35" s="36">
        <f t="shared" ref="CA35" si="1522">BZ34*$G$35</f>
        <v>1</v>
      </c>
      <c r="CB35" s="54"/>
      <c r="CC35" s="36">
        <f t="shared" ref="CC35" si="1523">CB34*$G$35</f>
        <v>1</v>
      </c>
      <c r="CD35" s="54"/>
      <c r="CE35" s="36">
        <f t="shared" ref="CE35" si="1524">CD34*$G$35</f>
        <v>1</v>
      </c>
      <c r="CF35" s="54"/>
      <c r="CG35" s="36">
        <f t="shared" ref="CG35" si="1525">CF34*$G$35</f>
        <v>1</v>
      </c>
      <c r="CH35" s="54"/>
      <c r="CI35" s="36">
        <f t="shared" ref="CI35" si="1526">CH34*$G$35</f>
        <v>1</v>
      </c>
      <c r="CJ35" s="54"/>
      <c r="CK35" s="36">
        <f t="shared" ref="CK35" si="1527">CJ34*$G$35</f>
        <v>0</v>
      </c>
      <c r="CL35" s="54"/>
      <c r="CM35" s="36">
        <f t="shared" ref="CM35" si="1528">CL34*$G$35</f>
        <v>0</v>
      </c>
      <c r="CN35" s="54"/>
      <c r="CO35" s="36">
        <f t="shared" ref="CO35" si="1529">CN34*$G$35</f>
        <v>0</v>
      </c>
      <c r="CP35" s="54"/>
      <c r="CQ35" s="36">
        <f t="shared" ref="CQ35" si="1530">CP34*$G$35</f>
        <v>0</v>
      </c>
      <c r="CR35" s="54"/>
      <c r="CS35" s="36">
        <f t="shared" ref="CS35" si="1531">CR34*$G$35</f>
        <v>0</v>
      </c>
      <c r="CT35" s="54"/>
      <c r="CU35" s="36">
        <f t="shared" ref="CU35" si="1532">CT34*$G$35</f>
        <v>0</v>
      </c>
      <c r="CV35" s="54"/>
      <c r="CW35" s="36">
        <f t="shared" ref="CW35" si="1533">CV34*$G$35</f>
        <v>0</v>
      </c>
      <c r="CX35" s="54"/>
      <c r="CY35" s="36">
        <f t="shared" ref="CY35" si="1534">CX34*$G$35</f>
        <v>0</v>
      </c>
      <c r="CZ35" s="54"/>
      <c r="DA35" s="36">
        <f t="shared" ref="DA35" si="1535">CZ34*$G$35</f>
        <v>0</v>
      </c>
      <c r="DB35" s="54"/>
      <c r="DC35" s="36">
        <f t="shared" ref="DC35" si="1536">DB34*$G$35</f>
        <v>0</v>
      </c>
      <c r="DD35" s="54"/>
      <c r="DE35" s="36">
        <f t="shared" ref="DE35" si="1537">DD34*$G$35</f>
        <v>0</v>
      </c>
      <c r="DF35" s="54"/>
      <c r="DG35" s="36">
        <f t="shared" ref="DG35" si="1538">DF34*$G$35</f>
        <v>0</v>
      </c>
      <c r="DH35" s="54"/>
      <c r="DI35" s="36">
        <f t="shared" ref="DI35" si="1539">DH34*$G$35</f>
        <v>0</v>
      </c>
      <c r="DJ35" s="54"/>
      <c r="DK35" s="36">
        <f t="shared" ref="DK35" si="1540">DJ34*$G$35</f>
        <v>0</v>
      </c>
      <c r="DL35" s="54"/>
      <c r="DM35" s="36">
        <f t="shared" ref="DM35" si="1541">DL34*$G$35</f>
        <v>0</v>
      </c>
      <c r="DN35" s="54"/>
      <c r="DO35" s="36">
        <f t="shared" ref="DO35" si="1542">DN34*$G$35</f>
        <v>0</v>
      </c>
      <c r="DP35" s="54"/>
      <c r="DQ35" s="36">
        <f t="shared" ref="DQ35" si="1543">DP34*$G$35</f>
        <v>0</v>
      </c>
      <c r="DR35" s="54"/>
      <c r="DS35" s="36">
        <f t="shared" ref="DS35" si="1544">DR34*$G$35</f>
        <v>0</v>
      </c>
      <c r="DT35" s="54"/>
      <c r="DU35" s="36">
        <f t="shared" ref="DU35" si="1545">DT34*$G$35</f>
        <v>0</v>
      </c>
      <c r="DV35" s="54"/>
      <c r="DW35" s="36">
        <f t="shared" ref="DW35" si="1546">DV34*$G$35</f>
        <v>0</v>
      </c>
      <c r="DX35" s="54"/>
      <c r="DY35" s="36">
        <f t="shared" ref="DY35" si="1547">DX34*$G$35</f>
        <v>0</v>
      </c>
      <c r="DZ35" s="54"/>
      <c r="EA35" s="36">
        <f t="shared" ref="EA35" si="1548">DZ34*$G$35</f>
        <v>0</v>
      </c>
      <c r="EB35" s="54"/>
      <c r="EC35" s="36">
        <f t="shared" ref="EC35" si="1549">EB34*$G$35</f>
        <v>0</v>
      </c>
      <c r="ED35" s="54"/>
      <c r="EE35" s="36">
        <f t="shared" ref="EE35" si="1550">ED34*$G$35</f>
        <v>0</v>
      </c>
      <c r="EF35" s="54"/>
      <c r="EG35" s="36">
        <f t="shared" ref="EG35" si="1551">EF34*$G$35</f>
        <v>0</v>
      </c>
      <c r="EH35" s="54"/>
      <c r="EI35" s="36">
        <f t="shared" ref="EI35" si="1552">EH34*$G$35</f>
        <v>0</v>
      </c>
      <c r="EJ35" s="54"/>
      <c r="EK35" s="36">
        <f t="shared" ref="EK35" si="1553">EJ34*$G$35</f>
        <v>0</v>
      </c>
      <c r="EL35" s="54"/>
      <c r="EM35" s="36">
        <f t="shared" ref="EM35" si="1554">EL34*$G$35</f>
        <v>0</v>
      </c>
      <c r="EN35" s="54"/>
      <c r="EO35" s="36">
        <f t="shared" ref="EO35" si="1555">EN34*$G$35</f>
        <v>0</v>
      </c>
      <c r="EP35" s="54"/>
      <c r="EQ35" s="36">
        <f t="shared" ref="EQ35" si="1556">EP34*$G$35</f>
        <v>0</v>
      </c>
      <c r="ER35" s="54"/>
      <c r="ES35" s="36">
        <f t="shared" ref="ES35" si="1557">ER34*$G$35</f>
        <v>0</v>
      </c>
      <c r="ET35" s="54"/>
      <c r="EU35" s="36">
        <f t="shared" ref="EU35" si="1558">ET34*$G$35</f>
        <v>0</v>
      </c>
      <c r="EV35" s="54"/>
      <c r="EW35" s="36">
        <f t="shared" ref="EW35" si="1559">EV34*$G$35</f>
        <v>0</v>
      </c>
      <c r="EX35" s="54"/>
      <c r="EY35" s="36">
        <f t="shared" ref="EY35" si="1560">EX34*$G$35</f>
        <v>0</v>
      </c>
      <c r="EZ35" s="54"/>
      <c r="FA35" s="36">
        <f t="shared" ref="FA35" si="1561">EZ34*$G$35</f>
        <v>0</v>
      </c>
      <c r="FB35" s="54"/>
      <c r="FC35" s="36">
        <f t="shared" ref="FC35" si="1562">FB34*$G$35</f>
        <v>0</v>
      </c>
      <c r="FD35" s="54"/>
      <c r="FE35" s="36">
        <f t="shared" ref="FE35" si="1563">FD34*$G$35</f>
        <v>0</v>
      </c>
      <c r="FF35" s="54"/>
      <c r="FG35" s="36">
        <f t="shared" ref="FG35" si="1564">FF34*$G$35</f>
        <v>0</v>
      </c>
      <c r="FH35" s="54"/>
      <c r="FI35" s="36">
        <f t="shared" ref="FI35" si="1565">FH34*$G$35</f>
        <v>0</v>
      </c>
      <c r="FJ35" s="54"/>
      <c r="FK35" s="36">
        <f t="shared" ref="FK35" si="1566">FJ34*$G$35</f>
        <v>0</v>
      </c>
      <c r="FL35" s="54"/>
      <c r="FM35" s="36">
        <f t="shared" ref="FM35" si="1567">FL34*$G$35</f>
        <v>0</v>
      </c>
      <c r="FN35" s="54"/>
      <c r="FO35" s="36">
        <f t="shared" ref="FO35" si="1568">FN34*$G$35</f>
        <v>0</v>
      </c>
      <c r="FP35" s="54"/>
      <c r="FQ35" s="36">
        <f t="shared" ref="FQ35" si="1569">FP34*$G$35</f>
        <v>0</v>
      </c>
    </row>
    <row r="36" spans="1:174" x14ac:dyDescent="0.35">
      <c r="A36" s="12" t="s">
        <v>127</v>
      </c>
      <c r="B36" s="12">
        <v>913</v>
      </c>
      <c r="C36" s="12" t="s">
        <v>93</v>
      </c>
      <c r="D36" s="12" t="s">
        <v>128</v>
      </c>
      <c r="E36" s="12" t="s">
        <v>132</v>
      </c>
      <c r="F36" s="12">
        <v>3</v>
      </c>
      <c r="G36" s="12">
        <v>4</v>
      </c>
      <c r="H36" s="54"/>
      <c r="I36" s="12">
        <f t="shared" ref="I36" si="1570">H34*G36</f>
        <v>232</v>
      </c>
      <c r="J36" s="54"/>
      <c r="K36" s="36">
        <f>J34*$G$36</f>
        <v>12</v>
      </c>
      <c r="L36" s="54"/>
      <c r="M36" s="36">
        <f t="shared" ref="M36" si="1571">L34*$G$36</f>
        <v>12</v>
      </c>
      <c r="N36" s="54"/>
      <c r="O36" s="36">
        <f t="shared" ref="O36" si="1572">N34*$G$36</f>
        <v>12</v>
      </c>
      <c r="P36" s="54"/>
      <c r="Q36" s="36">
        <f t="shared" ref="Q36" si="1573">P34*$G$36</f>
        <v>12</v>
      </c>
      <c r="R36" s="54"/>
      <c r="S36" s="36">
        <f t="shared" ref="S36" si="1574">R34*$G$36</f>
        <v>12</v>
      </c>
      <c r="T36" s="54"/>
      <c r="U36" s="36">
        <f t="shared" ref="U36" si="1575">T34*$G$36</f>
        <v>12</v>
      </c>
      <c r="V36" s="54"/>
      <c r="W36" s="36">
        <f t="shared" ref="W36" si="1576">V34*$G$36</f>
        <v>8</v>
      </c>
      <c r="X36" s="54"/>
      <c r="Y36" s="36">
        <f t="shared" ref="Y36" si="1577">X34*$G$36</f>
        <v>8</v>
      </c>
      <c r="Z36" s="54"/>
      <c r="AA36" s="36">
        <f t="shared" ref="AA36" si="1578">Z34*$G$36</f>
        <v>8</v>
      </c>
      <c r="AB36" s="54"/>
      <c r="AC36" s="36">
        <f t="shared" ref="AC36" si="1579">AB34*$G$36</f>
        <v>8</v>
      </c>
      <c r="AD36" s="54"/>
      <c r="AE36" s="36">
        <f t="shared" ref="AE36" si="1580">AD34*$G$36</f>
        <v>8</v>
      </c>
      <c r="AF36" s="54"/>
      <c r="AG36" s="36">
        <f t="shared" ref="AG36" si="1581">AF34*$G$36</f>
        <v>8</v>
      </c>
      <c r="AH36" s="54"/>
      <c r="AI36" s="36">
        <f t="shared" ref="AI36" si="1582">AH34*$G$36</f>
        <v>8</v>
      </c>
      <c r="AJ36" s="54"/>
      <c r="AK36" s="36">
        <f t="shared" ref="AK36" si="1583">AJ34*$G$36</f>
        <v>4</v>
      </c>
      <c r="AL36" s="54"/>
      <c r="AM36" s="36">
        <f t="shared" ref="AM36" si="1584">AL34*$G$36</f>
        <v>4</v>
      </c>
      <c r="AN36" s="54"/>
      <c r="AO36" s="36">
        <f t="shared" ref="AO36" si="1585">AN34*$G$36</f>
        <v>4</v>
      </c>
      <c r="AP36" s="54"/>
      <c r="AQ36" s="36">
        <f t="shared" ref="AQ36" si="1586">AP34*$G$36</f>
        <v>4</v>
      </c>
      <c r="AR36" s="54"/>
      <c r="AS36" s="36">
        <f t="shared" ref="AS36" si="1587">AR34*$G$36</f>
        <v>4</v>
      </c>
      <c r="AT36" s="54"/>
      <c r="AU36" s="36">
        <f t="shared" ref="AU36" si="1588">AT34*$G$36</f>
        <v>4</v>
      </c>
      <c r="AV36" s="54"/>
      <c r="AW36" s="36">
        <f t="shared" ref="AW36" si="1589">AV34*$G$36</f>
        <v>4</v>
      </c>
      <c r="AX36" s="54"/>
      <c r="AY36" s="36">
        <f t="shared" ref="AY36" si="1590">AX34*$G$36</f>
        <v>4</v>
      </c>
      <c r="AZ36" s="54"/>
      <c r="BA36" s="36">
        <f t="shared" ref="BA36" si="1591">AZ34*$G$36</f>
        <v>4</v>
      </c>
      <c r="BB36" s="54"/>
      <c r="BC36" s="36">
        <f t="shared" ref="BC36" si="1592">BB34*$G$36</f>
        <v>4</v>
      </c>
      <c r="BD36" s="54"/>
      <c r="BE36" s="36">
        <f t="shared" ref="BE36" si="1593">BD34*$G$36</f>
        <v>4</v>
      </c>
      <c r="BF36" s="54"/>
      <c r="BG36" s="36">
        <f t="shared" ref="BG36" si="1594">BF34*$G$36</f>
        <v>4</v>
      </c>
      <c r="BH36" s="54"/>
      <c r="BI36" s="36">
        <f t="shared" ref="BI36" si="1595">BH34*$G$36</f>
        <v>4</v>
      </c>
      <c r="BJ36" s="54"/>
      <c r="BK36" s="36">
        <f t="shared" ref="BK36" si="1596">BJ34*$G$36</f>
        <v>4</v>
      </c>
      <c r="BL36" s="54"/>
      <c r="BM36" s="36">
        <f t="shared" ref="BM36" si="1597">BL34*$G$36</f>
        <v>4</v>
      </c>
      <c r="BN36" s="54"/>
      <c r="BO36" s="36">
        <f t="shared" ref="BO36" si="1598">BN34*$G$36</f>
        <v>4</v>
      </c>
      <c r="BP36" s="54"/>
      <c r="BQ36" s="36">
        <f t="shared" ref="BQ36" si="1599">BP34*$G$36</f>
        <v>4</v>
      </c>
      <c r="BR36" s="54"/>
      <c r="BS36" s="36">
        <f t="shared" ref="BS36" si="1600">BR34*$G$36</f>
        <v>4</v>
      </c>
      <c r="BT36" s="54"/>
      <c r="BU36" s="36">
        <f t="shared" ref="BU36" si="1601">BT34*$G$36</f>
        <v>4</v>
      </c>
      <c r="BV36" s="54"/>
      <c r="BW36" s="36">
        <f t="shared" ref="BW36" si="1602">BV34*$G$36</f>
        <v>4</v>
      </c>
      <c r="BX36" s="54"/>
      <c r="BY36" s="36">
        <f t="shared" ref="BY36" si="1603">BX34*$G$36</f>
        <v>4</v>
      </c>
      <c r="BZ36" s="54"/>
      <c r="CA36" s="36">
        <f t="shared" ref="CA36" si="1604">BZ34*$G$36</f>
        <v>4</v>
      </c>
      <c r="CB36" s="54"/>
      <c r="CC36" s="36">
        <f t="shared" ref="CC36" si="1605">CB34*$G$36</f>
        <v>4</v>
      </c>
      <c r="CD36" s="54"/>
      <c r="CE36" s="36">
        <f t="shared" ref="CE36" si="1606">CD34*$G$36</f>
        <v>4</v>
      </c>
      <c r="CF36" s="54"/>
      <c r="CG36" s="36">
        <f t="shared" ref="CG36" si="1607">CF34*$G$36</f>
        <v>4</v>
      </c>
      <c r="CH36" s="54"/>
      <c r="CI36" s="36">
        <f t="shared" ref="CI36" si="1608">CH34*$G$36</f>
        <v>4</v>
      </c>
      <c r="CJ36" s="54"/>
      <c r="CK36" s="36">
        <f t="shared" ref="CK36" si="1609">CJ34*$G$36</f>
        <v>0</v>
      </c>
      <c r="CL36" s="54"/>
      <c r="CM36" s="36">
        <f t="shared" ref="CM36" si="1610">CL34*$G$36</f>
        <v>0</v>
      </c>
      <c r="CN36" s="54"/>
      <c r="CO36" s="36">
        <f t="shared" ref="CO36" si="1611">CN34*$G$36</f>
        <v>0</v>
      </c>
      <c r="CP36" s="54"/>
      <c r="CQ36" s="36">
        <f t="shared" ref="CQ36" si="1612">CP34*$G$36</f>
        <v>0</v>
      </c>
      <c r="CR36" s="54"/>
      <c r="CS36" s="36">
        <f t="shared" ref="CS36" si="1613">CR34*$G$36</f>
        <v>0</v>
      </c>
      <c r="CT36" s="54"/>
      <c r="CU36" s="36">
        <f t="shared" ref="CU36" si="1614">CT34*$G$36</f>
        <v>0</v>
      </c>
      <c r="CV36" s="54"/>
      <c r="CW36" s="36">
        <f t="shared" ref="CW36" si="1615">CV34*$G$36</f>
        <v>0</v>
      </c>
      <c r="CX36" s="54"/>
      <c r="CY36" s="36">
        <f t="shared" ref="CY36" si="1616">CX34*$G$36</f>
        <v>0</v>
      </c>
      <c r="CZ36" s="54"/>
      <c r="DA36" s="36">
        <f t="shared" ref="DA36" si="1617">CZ34*$G$36</f>
        <v>0</v>
      </c>
      <c r="DB36" s="54"/>
      <c r="DC36" s="36">
        <f t="shared" ref="DC36" si="1618">DB34*$G$36</f>
        <v>0</v>
      </c>
      <c r="DD36" s="54"/>
      <c r="DE36" s="36">
        <f t="shared" ref="DE36" si="1619">DD34*$G$36</f>
        <v>0</v>
      </c>
      <c r="DF36" s="54"/>
      <c r="DG36" s="36">
        <f t="shared" ref="DG36" si="1620">DF34*$G$36</f>
        <v>0</v>
      </c>
      <c r="DH36" s="54"/>
      <c r="DI36" s="36">
        <f t="shared" ref="DI36" si="1621">DH34*$G$36</f>
        <v>0</v>
      </c>
      <c r="DJ36" s="54"/>
      <c r="DK36" s="36">
        <f t="shared" ref="DK36" si="1622">DJ34*$G$36</f>
        <v>0</v>
      </c>
      <c r="DL36" s="54"/>
      <c r="DM36" s="36">
        <f t="shared" ref="DM36" si="1623">DL34*$G$36</f>
        <v>0</v>
      </c>
      <c r="DN36" s="54"/>
      <c r="DO36" s="36">
        <f t="shared" ref="DO36" si="1624">DN34*$G$36</f>
        <v>0</v>
      </c>
      <c r="DP36" s="54"/>
      <c r="DQ36" s="36">
        <f t="shared" ref="DQ36" si="1625">DP34*$G$36</f>
        <v>0</v>
      </c>
      <c r="DR36" s="54"/>
      <c r="DS36" s="36">
        <f t="shared" ref="DS36" si="1626">DR34*$G$36</f>
        <v>0</v>
      </c>
      <c r="DT36" s="54"/>
      <c r="DU36" s="36">
        <f t="shared" ref="DU36" si="1627">DT34*$G$36</f>
        <v>0</v>
      </c>
      <c r="DV36" s="54"/>
      <c r="DW36" s="36">
        <f t="shared" ref="DW36" si="1628">DV34*$G$36</f>
        <v>0</v>
      </c>
      <c r="DX36" s="54"/>
      <c r="DY36" s="36">
        <f t="shared" ref="DY36" si="1629">DX34*$G$36</f>
        <v>0</v>
      </c>
      <c r="DZ36" s="54"/>
      <c r="EA36" s="36">
        <f t="shared" ref="EA36" si="1630">DZ34*$G$36</f>
        <v>0</v>
      </c>
      <c r="EB36" s="54"/>
      <c r="EC36" s="36">
        <f t="shared" ref="EC36" si="1631">EB34*$G$36</f>
        <v>0</v>
      </c>
      <c r="ED36" s="54"/>
      <c r="EE36" s="36">
        <f t="shared" ref="EE36" si="1632">ED34*$G$36</f>
        <v>0</v>
      </c>
      <c r="EF36" s="54"/>
      <c r="EG36" s="36">
        <f t="shared" ref="EG36" si="1633">EF34*$G$36</f>
        <v>0</v>
      </c>
      <c r="EH36" s="54"/>
      <c r="EI36" s="36">
        <f t="shared" ref="EI36" si="1634">EH34*$G$36</f>
        <v>0</v>
      </c>
      <c r="EJ36" s="54"/>
      <c r="EK36" s="36">
        <f t="shared" ref="EK36" si="1635">EJ34*$G$36</f>
        <v>0</v>
      </c>
      <c r="EL36" s="54"/>
      <c r="EM36" s="36">
        <f t="shared" ref="EM36" si="1636">EL34*$G$36</f>
        <v>0</v>
      </c>
      <c r="EN36" s="54"/>
      <c r="EO36" s="36">
        <f t="shared" ref="EO36" si="1637">EN34*$G$36</f>
        <v>0</v>
      </c>
      <c r="EP36" s="54"/>
      <c r="EQ36" s="36">
        <f t="shared" ref="EQ36" si="1638">EP34*$G$36</f>
        <v>0</v>
      </c>
      <c r="ER36" s="54"/>
      <c r="ES36" s="36">
        <f t="shared" ref="ES36" si="1639">ER34*$G$36</f>
        <v>0</v>
      </c>
      <c r="ET36" s="54"/>
      <c r="EU36" s="36">
        <f t="shared" ref="EU36" si="1640">ET34*$G$36</f>
        <v>0</v>
      </c>
      <c r="EV36" s="54"/>
      <c r="EW36" s="36">
        <f t="shared" ref="EW36" si="1641">EV34*$G$36</f>
        <v>0</v>
      </c>
      <c r="EX36" s="54"/>
      <c r="EY36" s="36">
        <f t="shared" ref="EY36" si="1642">EX34*$G$36</f>
        <v>0</v>
      </c>
      <c r="EZ36" s="54"/>
      <c r="FA36" s="36">
        <f t="shared" ref="FA36" si="1643">EZ34*$G$36</f>
        <v>0</v>
      </c>
      <c r="FB36" s="54"/>
      <c r="FC36" s="36">
        <f t="shared" ref="FC36" si="1644">FB34*$G$36</f>
        <v>0</v>
      </c>
      <c r="FD36" s="54"/>
      <c r="FE36" s="36">
        <f t="shared" ref="FE36" si="1645">FD34*$G$36</f>
        <v>0</v>
      </c>
      <c r="FF36" s="54"/>
      <c r="FG36" s="36">
        <f t="shared" ref="FG36" si="1646">FF34*$G$36</f>
        <v>0</v>
      </c>
      <c r="FH36" s="54"/>
      <c r="FI36" s="36">
        <f t="shared" ref="FI36" si="1647">FH34*$G$36</f>
        <v>0</v>
      </c>
      <c r="FJ36" s="54"/>
      <c r="FK36" s="36">
        <f t="shared" ref="FK36" si="1648">FJ34*$G$36</f>
        <v>0</v>
      </c>
      <c r="FL36" s="54"/>
      <c r="FM36" s="36">
        <f t="shared" ref="FM36" si="1649">FL34*$G$36</f>
        <v>0</v>
      </c>
      <c r="FN36" s="54"/>
      <c r="FO36" s="36">
        <f t="shared" ref="FO36" si="1650">FN34*$G$36</f>
        <v>0</v>
      </c>
      <c r="FP36" s="54"/>
      <c r="FQ36" s="36">
        <f t="shared" ref="FQ36" si="1651">FP34*$G$36</f>
        <v>0</v>
      </c>
    </row>
    <row r="37" spans="1:174" x14ac:dyDescent="0.35">
      <c r="A37" s="12" t="s">
        <v>127</v>
      </c>
      <c r="B37" s="12">
        <v>913</v>
      </c>
      <c r="C37" s="12" t="s">
        <v>93</v>
      </c>
      <c r="D37" s="12" t="s">
        <v>128</v>
      </c>
      <c r="E37" s="12" t="s">
        <v>133</v>
      </c>
      <c r="F37" s="12">
        <v>4</v>
      </c>
      <c r="G37" s="12">
        <v>3</v>
      </c>
      <c r="H37" s="54"/>
      <c r="I37" s="12">
        <f t="shared" ref="I37" si="1652">H34*G37</f>
        <v>174</v>
      </c>
      <c r="J37" s="54"/>
      <c r="K37" s="36">
        <f>J34*$G$37</f>
        <v>9</v>
      </c>
      <c r="L37" s="54"/>
      <c r="M37" s="36">
        <f t="shared" ref="M37" si="1653">L34*$G$37</f>
        <v>9</v>
      </c>
      <c r="N37" s="54"/>
      <c r="O37" s="36">
        <f t="shared" ref="O37" si="1654">N34*$G$37</f>
        <v>9</v>
      </c>
      <c r="P37" s="54"/>
      <c r="Q37" s="36">
        <f t="shared" ref="Q37" si="1655">P34*$G$37</f>
        <v>9</v>
      </c>
      <c r="R37" s="54"/>
      <c r="S37" s="36">
        <f t="shared" ref="S37" si="1656">R34*$G$37</f>
        <v>9</v>
      </c>
      <c r="T37" s="54"/>
      <c r="U37" s="36">
        <f t="shared" ref="U37" si="1657">T34*$G$37</f>
        <v>9</v>
      </c>
      <c r="V37" s="54"/>
      <c r="W37" s="36">
        <f t="shared" ref="W37" si="1658">V34*$G$37</f>
        <v>6</v>
      </c>
      <c r="X37" s="54"/>
      <c r="Y37" s="36">
        <f t="shared" ref="Y37" si="1659">X34*$G$37</f>
        <v>6</v>
      </c>
      <c r="Z37" s="54"/>
      <c r="AA37" s="36">
        <f t="shared" ref="AA37" si="1660">Z34*$G$37</f>
        <v>6</v>
      </c>
      <c r="AB37" s="54"/>
      <c r="AC37" s="36">
        <f t="shared" ref="AC37" si="1661">AB34*$G$37</f>
        <v>6</v>
      </c>
      <c r="AD37" s="54"/>
      <c r="AE37" s="36">
        <f t="shared" ref="AE37" si="1662">AD34*$G$37</f>
        <v>6</v>
      </c>
      <c r="AF37" s="54"/>
      <c r="AG37" s="36">
        <f t="shared" ref="AG37" si="1663">AF34*$G$37</f>
        <v>6</v>
      </c>
      <c r="AH37" s="54"/>
      <c r="AI37" s="36">
        <f t="shared" ref="AI37" si="1664">AH34*$G$37</f>
        <v>6</v>
      </c>
      <c r="AJ37" s="54"/>
      <c r="AK37" s="36">
        <f t="shared" ref="AK37" si="1665">AJ34*$G$37</f>
        <v>3</v>
      </c>
      <c r="AL37" s="54"/>
      <c r="AM37" s="36">
        <f t="shared" ref="AM37" si="1666">AL34*$G$37</f>
        <v>3</v>
      </c>
      <c r="AN37" s="54"/>
      <c r="AO37" s="36">
        <f t="shared" ref="AO37" si="1667">AN34*$G$37</f>
        <v>3</v>
      </c>
      <c r="AP37" s="54"/>
      <c r="AQ37" s="36">
        <f t="shared" ref="AQ37" si="1668">AP34*$G$37</f>
        <v>3</v>
      </c>
      <c r="AR37" s="54"/>
      <c r="AS37" s="36">
        <f t="shared" ref="AS37" si="1669">AR34*$G$37</f>
        <v>3</v>
      </c>
      <c r="AT37" s="54"/>
      <c r="AU37" s="36">
        <f t="shared" ref="AU37" si="1670">AT34*$G$37</f>
        <v>3</v>
      </c>
      <c r="AV37" s="54"/>
      <c r="AW37" s="36">
        <f t="shared" ref="AW37" si="1671">AV34*$G$37</f>
        <v>3</v>
      </c>
      <c r="AX37" s="54"/>
      <c r="AY37" s="36">
        <f t="shared" ref="AY37" si="1672">AX34*$G$37</f>
        <v>3</v>
      </c>
      <c r="AZ37" s="54"/>
      <c r="BA37" s="36">
        <f t="shared" ref="BA37" si="1673">AZ34*$G$37</f>
        <v>3</v>
      </c>
      <c r="BB37" s="54"/>
      <c r="BC37" s="36">
        <f t="shared" ref="BC37" si="1674">BB34*$G$37</f>
        <v>3</v>
      </c>
      <c r="BD37" s="54"/>
      <c r="BE37" s="36">
        <f t="shared" ref="BE37" si="1675">BD34*$G$37</f>
        <v>3</v>
      </c>
      <c r="BF37" s="54"/>
      <c r="BG37" s="36">
        <f t="shared" ref="BG37" si="1676">BF34*$G$37</f>
        <v>3</v>
      </c>
      <c r="BH37" s="54"/>
      <c r="BI37" s="36">
        <f t="shared" ref="BI37" si="1677">BH34*$G$37</f>
        <v>3</v>
      </c>
      <c r="BJ37" s="54"/>
      <c r="BK37" s="36">
        <f t="shared" ref="BK37" si="1678">BJ34*$G$37</f>
        <v>3</v>
      </c>
      <c r="BL37" s="54"/>
      <c r="BM37" s="36">
        <f t="shared" ref="BM37" si="1679">BL34*$G$37</f>
        <v>3</v>
      </c>
      <c r="BN37" s="54"/>
      <c r="BO37" s="36">
        <f t="shared" ref="BO37" si="1680">BN34*$G$37</f>
        <v>3</v>
      </c>
      <c r="BP37" s="54"/>
      <c r="BQ37" s="36">
        <f t="shared" ref="BQ37" si="1681">BP34*$G$37</f>
        <v>3</v>
      </c>
      <c r="BR37" s="54"/>
      <c r="BS37" s="36">
        <f t="shared" ref="BS37" si="1682">BR34*$G$37</f>
        <v>3</v>
      </c>
      <c r="BT37" s="54"/>
      <c r="BU37" s="36">
        <f t="shared" ref="BU37" si="1683">BT34*$G$37</f>
        <v>3</v>
      </c>
      <c r="BV37" s="54"/>
      <c r="BW37" s="36">
        <f t="shared" ref="BW37" si="1684">BV34*$G$37</f>
        <v>3</v>
      </c>
      <c r="BX37" s="54"/>
      <c r="BY37" s="36">
        <f t="shared" ref="BY37" si="1685">BX34*$G$37</f>
        <v>3</v>
      </c>
      <c r="BZ37" s="54"/>
      <c r="CA37" s="36">
        <f t="shared" ref="CA37" si="1686">BZ34*$G$37</f>
        <v>3</v>
      </c>
      <c r="CB37" s="54"/>
      <c r="CC37" s="36">
        <f t="shared" ref="CC37" si="1687">CB34*$G$37</f>
        <v>3</v>
      </c>
      <c r="CD37" s="54"/>
      <c r="CE37" s="36">
        <f t="shared" ref="CE37" si="1688">CD34*$G$37</f>
        <v>3</v>
      </c>
      <c r="CF37" s="54"/>
      <c r="CG37" s="36">
        <f t="shared" ref="CG37" si="1689">CF34*$G$37</f>
        <v>3</v>
      </c>
      <c r="CH37" s="54"/>
      <c r="CI37" s="36">
        <f t="shared" ref="CI37" si="1690">CH34*$G$37</f>
        <v>3</v>
      </c>
      <c r="CJ37" s="54"/>
      <c r="CK37" s="36">
        <f t="shared" ref="CK37" si="1691">CJ34*$G$37</f>
        <v>0</v>
      </c>
      <c r="CL37" s="54"/>
      <c r="CM37" s="36">
        <f t="shared" ref="CM37" si="1692">CL34*$G$37</f>
        <v>0</v>
      </c>
      <c r="CN37" s="54"/>
      <c r="CO37" s="36">
        <f t="shared" ref="CO37" si="1693">CN34*$G$37</f>
        <v>0</v>
      </c>
      <c r="CP37" s="54"/>
      <c r="CQ37" s="36">
        <f t="shared" ref="CQ37" si="1694">CP34*$G$37</f>
        <v>0</v>
      </c>
      <c r="CR37" s="54"/>
      <c r="CS37" s="36">
        <f t="shared" ref="CS37" si="1695">CR34*$G$37</f>
        <v>0</v>
      </c>
      <c r="CT37" s="54"/>
      <c r="CU37" s="36">
        <f t="shared" ref="CU37" si="1696">CT34*$G$37</f>
        <v>0</v>
      </c>
      <c r="CV37" s="54"/>
      <c r="CW37" s="36">
        <f t="shared" ref="CW37" si="1697">CV34*$G$37</f>
        <v>0</v>
      </c>
      <c r="CX37" s="54"/>
      <c r="CY37" s="36">
        <f t="shared" ref="CY37" si="1698">CX34*$G$37</f>
        <v>0</v>
      </c>
      <c r="CZ37" s="54"/>
      <c r="DA37" s="36">
        <f t="shared" ref="DA37" si="1699">CZ34*$G$37</f>
        <v>0</v>
      </c>
      <c r="DB37" s="54"/>
      <c r="DC37" s="36">
        <f t="shared" ref="DC37" si="1700">DB34*$G$37</f>
        <v>0</v>
      </c>
      <c r="DD37" s="54"/>
      <c r="DE37" s="36">
        <f t="shared" ref="DE37" si="1701">DD34*$G$37</f>
        <v>0</v>
      </c>
      <c r="DF37" s="54"/>
      <c r="DG37" s="36">
        <f t="shared" ref="DG37" si="1702">DF34*$G$37</f>
        <v>0</v>
      </c>
      <c r="DH37" s="54"/>
      <c r="DI37" s="36">
        <f t="shared" ref="DI37" si="1703">DH34*$G$37</f>
        <v>0</v>
      </c>
      <c r="DJ37" s="54"/>
      <c r="DK37" s="36">
        <f t="shared" ref="DK37" si="1704">DJ34*$G$37</f>
        <v>0</v>
      </c>
      <c r="DL37" s="54"/>
      <c r="DM37" s="36">
        <f t="shared" ref="DM37" si="1705">DL34*$G$37</f>
        <v>0</v>
      </c>
      <c r="DN37" s="54"/>
      <c r="DO37" s="36">
        <f t="shared" ref="DO37" si="1706">DN34*$G$37</f>
        <v>0</v>
      </c>
      <c r="DP37" s="54"/>
      <c r="DQ37" s="36">
        <f t="shared" ref="DQ37" si="1707">DP34*$G$37</f>
        <v>0</v>
      </c>
      <c r="DR37" s="54"/>
      <c r="DS37" s="36">
        <f t="shared" ref="DS37" si="1708">DR34*$G$37</f>
        <v>0</v>
      </c>
      <c r="DT37" s="54"/>
      <c r="DU37" s="36">
        <f t="shared" ref="DU37" si="1709">DT34*$G$37</f>
        <v>0</v>
      </c>
      <c r="DV37" s="54"/>
      <c r="DW37" s="36">
        <f t="shared" ref="DW37" si="1710">DV34*$G$37</f>
        <v>0</v>
      </c>
      <c r="DX37" s="54"/>
      <c r="DY37" s="36">
        <f t="shared" ref="DY37" si="1711">DX34*$G$37</f>
        <v>0</v>
      </c>
      <c r="DZ37" s="54"/>
      <c r="EA37" s="36">
        <f t="shared" ref="EA37" si="1712">DZ34*$G$37</f>
        <v>0</v>
      </c>
      <c r="EB37" s="54"/>
      <c r="EC37" s="36">
        <f t="shared" ref="EC37" si="1713">EB34*$G$37</f>
        <v>0</v>
      </c>
      <c r="ED37" s="54"/>
      <c r="EE37" s="36">
        <f t="shared" ref="EE37" si="1714">ED34*$G$37</f>
        <v>0</v>
      </c>
      <c r="EF37" s="54"/>
      <c r="EG37" s="36">
        <f t="shared" ref="EG37" si="1715">EF34*$G$37</f>
        <v>0</v>
      </c>
      <c r="EH37" s="54"/>
      <c r="EI37" s="36">
        <f t="shared" ref="EI37" si="1716">EH34*$G$37</f>
        <v>0</v>
      </c>
      <c r="EJ37" s="54"/>
      <c r="EK37" s="36">
        <f t="shared" ref="EK37" si="1717">EJ34*$G$37</f>
        <v>0</v>
      </c>
      <c r="EL37" s="54"/>
      <c r="EM37" s="36">
        <f t="shared" ref="EM37" si="1718">EL34*$G$37</f>
        <v>0</v>
      </c>
      <c r="EN37" s="54"/>
      <c r="EO37" s="36">
        <f t="shared" ref="EO37" si="1719">EN34*$G$37</f>
        <v>0</v>
      </c>
      <c r="EP37" s="54"/>
      <c r="EQ37" s="36">
        <f t="shared" ref="EQ37" si="1720">EP34*$G$37</f>
        <v>0</v>
      </c>
      <c r="ER37" s="54"/>
      <c r="ES37" s="36">
        <f t="shared" ref="ES37" si="1721">ER34*$G$37</f>
        <v>0</v>
      </c>
      <c r="ET37" s="54"/>
      <c r="EU37" s="36">
        <f t="shared" ref="EU37" si="1722">ET34*$G$37</f>
        <v>0</v>
      </c>
      <c r="EV37" s="54"/>
      <c r="EW37" s="36">
        <f t="shared" ref="EW37" si="1723">EV34*$G$37</f>
        <v>0</v>
      </c>
      <c r="EX37" s="54"/>
      <c r="EY37" s="36">
        <f t="shared" ref="EY37" si="1724">EX34*$G$37</f>
        <v>0</v>
      </c>
      <c r="EZ37" s="54"/>
      <c r="FA37" s="36">
        <f t="shared" ref="FA37" si="1725">EZ34*$G$37</f>
        <v>0</v>
      </c>
      <c r="FB37" s="54"/>
      <c r="FC37" s="36">
        <f t="shared" ref="FC37" si="1726">FB34*$G$37</f>
        <v>0</v>
      </c>
      <c r="FD37" s="54"/>
      <c r="FE37" s="36">
        <f t="shared" ref="FE37" si="1727">FD34*$G$37</f>
        <v>0</v>
      </c>
      <c r="FF37" s="54"/>
      <c r="FG37" s="36">
        <f t="shared" ref="FG37" si="1728">FF34*$G$37</f>
        <v>0</v>
      </c>
      <c r="FH37" s="54"/>
      <c r="FI37" s="36">
        <f t="shared" ref="FI37" si="1729">FH34*$G$37</f>
        <v>0</v>
      </c>
      <c r="FJ37" s="54"/>
      <c r="FK37" s="36">
        <f t="shared" ref="FK37" si="1730">FJ34*$G$37</f>
        <v>0</v>
      </c>
      <c r="FL37" s="54"/>
      <c r="FM37" s="36">
        <f t="shared" ref="FM37" si="1731">FL34*$G$37</f>
        <v>0</v>
      </c>
      <c r="FN37" s="54"/>
      <c r="FO37" s="36">
        <f t="shared" ref="FO37" si="1732">FN34*$G$37</f>
        <v>0</v>
      </c>
      <c r="FP37" s="54"/>
      <c r="FQ37" s="36">
        <f t="shared" ref="FQ37" si="1733">FP34*$G$37</f>
        <v>0</v>
      </c>
    </row>
    <row r="38" spans="1:174" x14ac:dyDescent="0.35">
      <c r="A38" s="12" t="s">
        <v>127</v>
      </c>
      <c r="B38" s="12">
        <v>913</v>
      </c>
      <c r="C38" s="12" t="s">
        <v>93</v>
      </c>
      <c r="D38" s="12" t="s">
        <v>128</v>
      </c>
      <c r="E38" s="12" t="s">
        <v>134</v>
      </c>
      <c r="F38" s="12">
        <v>5</v>
      </c>
      <c r="G38" s="12">
        <v>2</v>
      </c>
      <c r="H38" s="54"/>
      <c r="I38" s="12">
        <f t="shared" ref="I38" si="1734">H34*G38</f>
        <v>116</v>
      </c>
      <c r="J38" s="54"/>
      <c r="K38" s="36">
        <f>J34*$G$38</f>
        <v>6</v>
      </c>
      <c r="L38" s="54"/>
      <c r="M38" s="36">
        <f t="shared" ref="M38" si="1735">L34*$G$38</f>
        <v>6</v>
      </c>
      <c r="N38" s="54"/>
      <c r="O38" s="36">
        <f t="shared" ref="O38" si="1736">N34*$G$38</f>
        <v>6</v>
      </c>
      <c r="P38" s="54"/>
      <c r="Q38" s="36">
        <f t="shared" ref="Q38" si="1737">P34*$G$38</f>
        <v>6</v>
      </c>
      <c r="R38" s="54"/>
      <c r="S38" s="36">
        <f t="shared" ref="S38" si="1738">R34*$G$38</f>
        <v>6</v>
      </c>
      <c r="T38" s="54"/>
      <c r="U38" s="36">
        <f t="shared" ref="U38" si="1739">T34*$G$38</f>
        <v>6</v>
      </c>
      <c r="V38" s="54"/>
      <c r="W38" s="36">
        <f t="shared" ref="W38" si="1740">V34*$G$38</f>
        <v>4</v>
      </c>
      <c r="X38" s="54"/>
      <c r="Y38" s="36">
        <f t="shared" ref="Y38" si="1741">X34*$G$38</f>
        <v>4</v>
      </c>
      <c r="Z38" s="54"/>
      <c r="AA38" s="36">
        <f t="shared" ref="AA38" si="1742">Z34*$G$38</f>
        <v>4</v>
      </c>
      <c r="AB38" s="54"/>
      <c r="AC38" s="36">
        <f t="shared" ref="AC38" si="1743">AB34*$G$38</f>
        <v>4</v>
      </c>
      <c r="AD38" s="54"/>
      <c r="AE38" s="36">
        <f t="shared" ref="AE38" si="1744">AD34*$G$38</f>
        <v>4</v>
      </c>
      <c r="AF38" s="54"/>
      <c r="AG38" s="36">
        <f t="shared" ref="AG38" si="1745">AF34*$G$38</f>
        <v>4</v>
      </c>
      <c r="AH38" s="54"/>
      <c r="AI38" s="36">
        <f t="shared" ref="AI38" si="1746">AH34*$G$38</f>
        <v>4</v>
      </c>
      <c r="AJ38" s="54"/>
      <c r="AK38" s="36">
        <f t="shared" ref="AK38" si="1747">AJ34*$G$38</f>
        <v>2</v>
      </c>
      <c r="AL38" s="54"/>
      <c r="AM38" s="36">
        <f t="shared" ref="AM38" si="1748">AL34*$G$38</f>
        <v>2</v>
      </c>
      <c r="AN38" s="54"/>
      <c r="AO38" s="36">
        <f t="shared" ref="AO38" si="1749">AN34*$G$38</f>
        <v>2</v>
      </c>
      <c r="AP38" s="54"/>
      <c r="AQ38" s="36">
        <f t="shared" ref="AQ38" si="1750">AP34*$G$38</f>
        <v>2</v>
      </c>
      <c r="AR38" s="54"/>
      <c r="AS38" s="36">
        <f t="shared" ref="AS38" si="1751">AR34*$G$38</f>
        <v>2</v>
      </c>
      <c r="AT38" s="54"/>
      <c r="AU38" s="36">
        <f t="shared" ref="AU38" si="1752">AT34*$G$38</f>
        <v>2</v>
      </c>
      <c r="AV38" s="54"/>
      <c r="AW38" s="36">
        <f t="shared" ref="AW38" si="1753">AV34*$G$38</f>
        <v>2</v>
      </c>
      <c r="AX38" s="54"/>
      <c r="AY38" s="36">
        <f t="shared" ref="AY38" si="1754">AX34*$G$38</f>
        <v>2</v>
      </c>
      <c r="AZ38" s="54"/>
      <c r="BA38" s="36">
        <f t="shared" ref="BA38" si="1755">AZ34*$G$38</f>
        <v>2</v>
      </c>
      <c r="BB38" s="54"/>
      <c r="BC38" s="36">
        <f t="shared" ref="BC38" si="1756">BB34*$G$38</f>
        <v>2</v>
      </c>
      <c r="BD38" s="54"/>
      <c r="BE38" s="36">
        <f t="shared" ref="BE38" si="1757">BD34*$G$38</f>
        <v>2</v>
      </c>
      <c r="BF38" s="54"/>
      <c r="BG38" s="36">
        <f t="shared" ref="BG38" si="1758">BF34*$G$38</f>
        <v>2</v>
      </c>
      <c r="BH38" s="54"/>
      <c r="BI38" s="36">
        <f t="shared" ref="BI38" si="1759">BH34*$G$38</f>
        <v>2</v>
      </c>
      <c r="BJ38" s="54"/>
      <c r="BK38" s="36">
        <f t="shared" ref="BK38" si="1760">BJ34*$G$38</f>
        <v>2</v>
      </c>
      <c r="BL38" s="54"/>
      <c r="BM38" s="36">
        <f t="shared" ref="BM38" si="1761">BL34*$G$38</f>
        <v>2</v>
      </c>
      <c r="BN38" s="54"/>
      <c r="BO38" s="36">
        <f t="shared" ref="BO38" si="1762">BN34*$G$38</f>
        <v>2</v>
      </c>
      <c r="BP38" s="54"/>
      <c r="BQ38" s="36">
        <f t="shared" ref="BQ38" si="1763">BP34*$G$38</f>
        <v>2</v>
      </c>
      <c r="BR38" s="54"/>
      <c r="BS38" s="36">
        <f t="shared" ref="BS38" si="1764">BR34*$G$38</f>
        <v>2</v>
      </c>
      <c r="BT38" s="54"/>
      <c r="BU38" s="36">
        <f t="shared" ref="BU38" si="1765">BT34*$G$38</f>
        <v>2</v>
      </c>
      <c r="BV38" s="54"/>
      <c r="BW38" s="36">
        <f t="shared" ref="BW38" si="1766">BV34*$G$38</f>
        <v>2</v>
      </c>
      <c r="BX38" s="54"/>
      <c r="BY38" s="36">
        <f t="shared" ref="BY38" si="1767">BX34*$G$38</f>
        <v>2</v>
      </c>
      <c r="BZ38" s="54"/>
      <c r="CA38" s="36">
        <f t="shared" ref="CA38" si="1768">BZ34*$G$38</f>
        <v>2</v>
      </c>
      <c r="CB38" s="54"/>
      <c r="CC38" s="36">
        <f t="shared" ref="CC38" si="1769">CB34*$G$38</f>
        <v>2</v>
      </c>
      <c r="CD38" s="54"/>
      <c r="CE38" s="36">
        <f t="shared" ref="CE38" si="1770">CD34*$G$38</f>
        <v>2</v>
      </c>
      <c r="CF38" s="54"/>
      <c r="CG38" s="36">
        <f t="shared" ref="CG38" si="1771">CF34*$G$38</f>
        <v>2</v>
      </c>
      <c r="CH38" s="54"/>
      <c r="CI38" s="36">
        <f t="shared" ref="CI38" si="1772">CH34*$G$38</f>
        <v>2</v>
      </c>
      <c r="CJ38" s="54"/>
      <c r="CK38" s="36">
        <f t="shared" ref="CK38" si="1773">CJ34*$G$38</f>
        <v>0</v>
      </c>
      <c r="CL38" s="54"/>
      <c r="CM38" s="36">
        <f t="shared" ref="CM38" si="1774">CL34*$G$38</f>
        <v>0</v>
      </c>
      <c r="CN38" s="54"/>
      <c r="CO38" s="36">
        <f t="shared" ref="CO38" si="1775">CN34*$G$38</f>
        <v>0</v>
      </c>
      <c r="CP38" s="54"/>
      <c r="CQ38" s="36">
        <f t="shared" ref="CQ38" si="1776">CP34*$G$38</f>
        <v>0</v>
      </c>
      <c r="CR38" s="54"/>
      <c r="CS38" s="36">
        <f t="shared" ref="CS38" si="1777">CR34*$G$38</f>
        <v>0</v>
      </c>
      <c r="CT38" s="54"/>
      <c r="CU38" s="36">
        <f t="shared" ref="CU38" si="1778">CT34*$G$38</f>
        <v>0</v>
      </c>
      <c r="CV38" s="54"/>
      <c r="CW38" s="36">
        <f t="shared" ref="CW38" si="1779">CV34*$G$38</f>
        <v>0</v>
      </c>
      <c r="CX38" s="54"/>
      <c r="CY38" s="36">
        <f t="shared" ref="CY38" si="1780">CX34*$G$38</f>
        <v>0</v>
      </c>
      <c r="CZ38" s="54"/>
      <c r="DA38" s="36">
        <f t="shared" ref="DA38" si="1781">CZ34*$G$38</f>
        <v>0</v>
      </c>
      <c r="DB38" s="54"/>
      <c r="DC38" s="36">
        <f t="shared" ref="DC38" si="1782">DB34*$G$38</f>
        <v>0</v>
      </c>
      <c r="DD38" s="54"/>
      <c r="DE38" s="36">
        <f t="shared" ref="DE38" si="1783">DD34*$G$38</f>
        <v>0</v>
      </c>
      <c r="DF38" s="54"/>
      <c r="DG38" s="36">
        <f t="shared" ref="DG38" si="1784">DF34*$G$38</f>
        <v>0</v>
      </c>
      <c r="DH38" s="54"/>
      <c r="DI38" s="36">
        <f t="shared" ref="DI38" si="1785">DH34*$G$38</f>
        <v>0</v>
      </c>
      <c r="DJ38" s="54"/>
      <c r="DK38" s="36">
        <f t="shared" ref="DK38" si="1786">DJ34*$G$38</f>
        <v>0</v>
      </c>
      <c r="DL38" s="54"/>
      <c r="DM38" s="36">
        <f t="shared" ref="DM38" si="1787">DL34*$G$38</f>
        <v>0</v>
      </c>
      <c r="DN38" s="54"/>
      <c r="DO38" s="36">
        <f t="shared" ref="DO38" si="1788">DN34*$G$38</f>
        <v>0</v>
      </c>
      <c r="DP38" s="54"/>
      <c r="DQ38" s="36">
        <f t="shared" ref="DQ38" si="1789">DP34*$G$38</f>
        <v>0</v>
      </c>
      <c r="DR38" s="54"/>
      <c r="DS38" s="36">
        <f t="shared" ref="DS38" si="1790">DR34*$G$38</f>
        <v>0</v>
      </c>
      <c r="DT38" s="54"/>
      <c r="DU38" s="36">
        <f t="shared" ref="DU38" si="1791">DT34*$G$38</f>
        <v>0</v>
      </c>
      <c r="DV38" s="54"/>
      <c r="DW38" s="36">
        <f t="shared" ref="DW38" si="1792">DV34*$G$38</f>
        <v>0</v>
      </c>
      <c r="DX38" s="54"/>
      <c r="DY38" s="36">
        <f t="shared" ref="DY38" si="1793">DX34*$G$38</f>
        <v>0</v>
      </c>
      <c r="DZ38" s="54"/>
      <c r="EA38" s="36">
        <f t="shared" ref="EA38" si="1794">DZ34*$G$38</f>
        <v>0</v>
      </c>
      <c r="EB38" s="54"/>
      <c r="EC38" s="36">
        <f t="shared" ref="EC38" si="1795">EB34*$G$38</f>
        <v>0</v>
      </c>
      <c r="ED38" s="54"/>
      <c r="EE38" s="36">
        <f t="shared" ref="EE38" si="1796">ED34*$G$38</f>
        <v>0</v>
      </c>
      <c r="EF38" s="54"/>
      <c r="EG38" s="36">
        <f t="shared" ref="EG38" si="1797">EF34*$G$38</f>
        <v>0</v>
      </c>
      <c r="EH38" s="54"/>
      <c r="EI38" s="36">
        <f t="shared" ref="EI38" si="1798">EH34*$G$38</f>
        <v>0</v>
      </c>
      <c r="EJ38" s="54"/>
      <c r="EK38" s="36">
        <f t="shared" ref="EK38" si="1799">EJ34*$G$38</f>
        <v>0</v>
      </c>
      <c r="EL38" s="54"/>
      <c r="EM38" s="36">
        <f t="shared" ref="EM38" si="1800">EL34*$G$38</f>
        <v>0</v>
      </c>
      <c r="EN38" s="54"/>
      <c r="EO38" s="36">
        <f t="shared" ref="EO38" si="1801">EN34*$G$38</f>
        <v>0</v>
      </c>
      <c r="EP38" s="54"/>
      <c r="EQ38" s="36">
        <f t="shared" ref="EQ38" si="1802">EP34*$G$38</f>
        <v>0</v>
      </c>
      <c r="ER38" s="54"/>
      <c r="ES38" s="36">
        <f t="shared" ref="ES38" si="1803">ER34*$G$38</f>
        <v>0</v>
      </c>
      <c r="ET38" s="54"/>
      <c r="EU38" s="36">
        <f t="shared" ref="EU38" si="1804">ET34*$G$38</f>
        <v>0</v>
      </c>
      <c r="EV38" s="54"/>
      <c r="EW38" s="36">
        <f t="shared" ref="EW38" si="1805">EV34*$G$38</f>
        <v>0</v>
      </c>
      <c r="EX38" s="54"/>
      <c r="EY38" s="36">
        <f t="shared" ref="EY38" si="1806">EX34*$G$38</f>
        <v>0</v>
      </c>
      <c r="EZ38" s="54"/>
      <c r="FA38" s="36">
        <f t="shared" ref="FA38" si="1807">EZ34*$G$38</f>
        <v>0</v>
      </c>
      <c r="FB38" s="54"/>
      <c r="FC38" s="36">
        <f t="shared" ref="FC38" si="1808">FB34*$G$38</f>
        <v>0</v>
      </c>
      <c r="FD38" s="54"/>
      <c r="FE38" s="36">
        <f t="shared" ref="FE38" si="1809">FD34*$G$38</f>
        <v>0</v>
      </c>
      <c r="FF38" s="54"/>
      <c r="FG38" s="36">
        <f t="shared" ref="FG38" si="1810">FF34*$G$38</f>
        <v>0</v>
      </c>
      <c r="FH38" s="54"/>
      <c r="FI38" s="36">
        <f t="shared" ref="FI38" si="1811">FH34*$G$38</f>
        <v>0</v>
      </c>
      <c r="FJ38" s="54"/>
      <c r="FK38" s="36">
        <f t="shared" ref="FK38" si="1812">FJ34*$G$38</f>
        <v>0</v>
      </c>
      <c r="FL38" s="54"/>
      <c r="FM38" s="36">
        <f t="shared" ref="FM38" si="1813">FL34*$G$38</f>
        <v>0</v>
      </c>
      <c r="FN38" s="54"/>
      <c r="FO38" s="36">
        <f t="shared" ref="FO38" si="1814">FN34*$G$38</f>
        <v>0</v>
      </c>
      <c r="FP38" s="54"/>
      <c r="FQ38" s="36">
        <f t="shared" ref="FQ38" si="1815">FP34*$G$38</f>
        <v>0</v>
      </c>
    </row>
    <row r="39" spans="1:174" x14ac:dyDescent="0.35">
      <c r="A39" s="12" t="s">
        <v>127</v>
      </c>
      <c r="B39" s="12">
        <v>913</v>
      </c>
      <c r="C39" s="12" t="s">
        <v>93</v>
      </c>
      <c r="D39" s="12" t="s">
        <v>128</v>
      </c>
      <c r="E39" s="12" t="s">
        <v>135</v>
      </c>
      <c r="F39" s="12">
        <v>6</v>
      </c>
      <c r="G39" s="12">
        <v>0</v>
      </c>
      <c r="H39" s="54"/>
      <c r="I39" s="12">
        <f t="shared" ref="I39" si="1816">H34*G39</f>
        <v>0</v>
      </c>
      <c r="J39" s="54"/>
      <c r="K39" s="36">
        <f>J34*$G$39</f>
        <v>0</v>
      </c>
      <c r="L39" s="54"/>
      <c r="M39" s="36">
        <f t="shared" ref="M39" si="1817">L34*$G$39</f>
        <v>0</v>
      </c>
      <c r="N39" s="54"/>
      <c r="O39" s="36">
        <f t="shared" ref="O39" si="1818">N34*$G$39</f>
        <v>0</v>
      </c>
      <c r="P39" s="54"/>
      <c r="Q39" s="36">
        <f t="shared" ref="Q39" si="1819">P34*$G$39</f>
        <v>0</v>
      </c>
      <c r="R39" s="54"/>
      <c r="S39" s="36">
        <f t="shared" ref="S39" si="1820">R34*$G$39</f>
        <v>0</v>
      </c>
      <c r="T39" s="54"/>
      <c r="U39" s="36">
        <f t="shared" ref="U39" si="1821">T34*$G$39</f>
        <v>0</v>
      </c>
      <c r="V39" s="54"/>
      <c r="W39" s="36">
        <f t="shared" ref="W39" si="1822">V34*$G$39</f>
        <v>0</v>
      </c>
      <c r="X39" s="54"/>
      <c r="Y39" s="36">
        <f t="shared" ref="Y39" si="1823">X34*$G$39</f>
        <v>0</v>
      </c>
      <c r="Z39" s="54"/>
      <c r="AA39" s="36">
        <f t="shared" ref="AA39" si="1824">Z34*$G$39</f>
        <v>0</v>
      </c>
      <c r="AB39" s="54"/>
      <c r="AC39" s="36">
        <f t="shared" ref="AC39" si="1825">AB34*$G$39</f>
        <v>0</v>
      </c>
      <c r="AD39" s="54"/>
      <c r="AE39" s="36">
        <f t="shared" ref="AE39" si="1826">AD34*$G$39</f>
        <v>0</v>
      </c>
      <c r="AF39" s="54"/>
      <c r="AG39" s="36">
        <f t="shared" ref="AG39" si="1827">AF34*$G$39</f>
        <v>0</v>
      </c>
      <c r="AH39" s="54"/>
      <c r="AI39" s="36">
        <f t="shared" ref="AI39" si="1828">AH34*$G$39</f>
        <v>0</v>
      </c>
      <c r="AJ39" s="54"/>
      <c r="AK39" s="36">
        <f t="shared" ref="AK39" si="1829">AJ34*$G$39</f>
        <v>0</v>
      </c>
      <c r="AL39" s="54"/>
      <c r="AM39" s="36">
        <f t="shared" ref="AM39" si="1830">AL34*$G$39</f>
        <v>0</v>
      </c>
      <c r="AN39" s="54"/>
      <c r="AO39" s="36">
        <f t="shared" ref="AO39" si="1831">AN34*$G$39</f>
        <v>0</v>
      </c>
      <c r="AP39" s="54"/>
      <c r="AQ39" s="36">
        <f t="shared" ref="AQ39" si="1832">AP34*$G$39</f>
        <v>0</v>
      </c>
      <c r="AR39" s="54"/>
      <c r="AS39" s="36">
        <f t="shared" ref="AS39" si="1833">AR34*$G$39</f>
        <v>0</v>
      </c>
      <c r="AT39" s="54"/>
      <c r="AU39" s="36">
        <f t="shared" ref="AU39" si="1834">AT34*$G$39</f>
        <v>0</v>
      </c>
      <c r="AV39" s="54"/>
      <c r="AW39" s="36">
        <f t="shared" ref="AW39" si="1835">AV34*$G$39</f>
        <v>0</v>
      </c>
      <c r="AX39" s="54"/>
      <c r="AY39" s="36">
        <f t="shared" ref="AY39" si="1836">AX34*$G$39</f>
        <v>0</v>
      </c>
      <c r="AZ39" s="54"/>
      <c r="BA39" s="36">
        <f t="shared" ref="BA39" si="1837">AZ34*$G$39</f>
        <v>0</v>
      </c>
      <c r="BB39" s="54"/>
      <c r="BC39" s="36">
        <f t="shared" ref="BC39" si="1838">BB34*$G$39</f>
        <v>0</v>
      </c>
      <c r="BD39" s="54"/>
      <c r="BE39" s="36">
        <f t="shared" ref="BE39" si="1839">BD34*$G$39</f>
        <v>0</v>
      </c>
      <c r="BF39" s="54"/>
      <c r="BG39" s="36">
        <f t="shared" ref="BG39" si="1840">BF34*$G$39</f>
        <v>0</v>
      </c>
      <c r="BH39" s="54"/>
      <c r="BI39" s="36">
        <f t="shared" ref="BI39" si="1841">BH34*$G$39</f>
        <v>0</v>
      </c>
      <c r="BJ39" s="54"/>
      <c r="BK39" s="36">
        <f t="shared" ref="BK39" si="1842">BJ34*$G$39</f>
        <v>0</v>
      </c>
      <c r="BL39" s="54"/>
      <c r="BM39" s="36">
        <f t="shared" ref="BM39" si="1843">BL34*$G$39</f>
        <v>0</v>
      </c>
      <c r="BN39" s="54"/>
      <c r="BO39" s="36">
        <f t="shared" ref="BO39" si="1844">BN34*$G$39</f>
        <v>0</v>
      </c>
      <c r="BP39" s="54"/>
      <c r="BQ39" s="36">
        <f t="shared" ref="BQ39" si="1845">BP34*$G$39</f>
        <v>0</v>
      </c>
      <c r="BR39" s="54"/>
      <c r="BS39" s="36">
        <f t="shared" ref="BS39" si="1846">BR34*$G$39</f>
        <v>0</v>
      </c>
      <c r="BT39" s="54"/>
      <c r="BU39" s="36">
        <f t="shared" ref="BU39" si="1847">BT34*$G$39</f>
        <v>0</v>
      </c>
      <c r="BV39" s="54"/>
      <c r="BW39" s="36">
        <f t="shared" ref="BW39" si="1848">BV34*$G$39</f>
        <v>0</v>
      </c>
      <c r="BX39" s="54"/>
      <c r="BY39" s="36">
        <f t="shared" ref="BY39" si="1849">BX34*$G$39</f>
        <v>0</v>
      </c>
      <c r="BZ39" s="54"/>
      <c r="CA39" s="36">
        <f t="shared" ref="CA39" si="1850">BZ34*$G$39</f>
        <v>0</v>
      </c>
      <c r="CB39" s="54"/>
      <c r="CC39" s="36">
        <f t="shared" ref="CC39" si="1851">CB34*$G$39</f>
        <v>0</v>
      </c>
      <c r="CD39" s="54"/>
      <c r="CE39" s="36">
        <f t="shared" ref="CE39" si="1852">CD34*$G$39</f>
        <v>0</v>
      </c>
      <c r="CF39" s="54"/>
      <c r="CG39" s="36">
        <f t="shared" ref="CG39" si="1853">CF34*$G$39</f>
        <v>0</v>
      </c>
      <c r="CH39" s="54"/>
      <c r="CI39" s="36">
        <f t="shared" ref="CI39" si="1854">CH34*$G$39</f>
        <v>0</v>
      </c>
      <c r="CJ39" s="54"/>
      <c r="CK39" s="36">
        <f t="shared" ref="CK39" si="1855">CJ34*$G$39</f>
        <v>0</v>
      </c>
      <c r="CL39" s="54"/>
      <c r="CM39" s="36">
        <f t="shared" ref="CM39" si="1856">CL34*$G$39</f>
        <v>0</v>
      </c>
      <c r="CN39" s="54"/>
      <c r="CO39" s="36">
        <f t="shared" ref="CO39" si="1857">CN34*$G$39</f>
        <v>0</v>
      </c>
      <c r="CP39" s="54"/>
      <c r="CQ39" s="36">
        <f t="shared" ref="CQ39" si="1858">CP34*$G$39</f>
        <v>0</v>
      </c>
      <c r="CR39" s="54"/>
      <c r="CS39" s="36">
        <f t="shared" ref="CS39" si="1859">CR34*$G$39</f>
        <v>0</v>
      </c>
      <c r="CT39" s="54"/>
      <c r="CU39" s="36">
        <f t="shared" ref="CU39" si="1860">CT34*$G$39</f>
        <v>0</v>
      </c>
      <c r="CV39" s="54"/>
      <c r="CW39" s="36">
        <f t="shared" ref="CW39" si="1861">CV34*$G$39</f>
        <v>0</v>
      </c>
      <c r="CX39" s="54"/>
      <c r="CY39" s="36">
        <f t="shared" ref="CY39" si="1862">CX34*$G$39</f>
        <v>0</v>
      </c>
      <c r="CZ39" s="54"/>
      <c r="DA39" s="36">
        <f t="shared" ref="DA39" si="1863">CZ34*$G$39</f>
        <v>0</v>
      </c>
      <c r="DB39" s="54"/>
      <c r="DC39" s="36">
        <f t="shared" ref="DC39" si="1864">DB34*$G$39</f>
        <v>0</v>
      </c>
      <c r="DD39" s="54"/>
      <c r="DE39" s="36">
        <f t="shared" ref="DE39" si="1865">DD34*$G$39</f>
        <v>0</v>
      </c>
      <c r="DF39" s="54"/>
      <c r="DG39" s="36">
        <f t="shared" ref="DG39" si="1866">DF34*$G$39</f>
        <v>0</v>
      </c>
      <c r="DH39" s="54"/>
      <c r="DI39" s="36">
        <f t="shared" ref="DI39" si="1867">DH34*$G$39</f>
        <v>0</v>
      </c>
      <c r="DJ39" s="54"/>
      <c r="DK39" s="36">
        <f t="shared" ref="DK39" si="1868">DJ34*$G$39</f>
        <v>0</v>
      </c>
      <c r="DL39" s="54"/>
      <c r="DM39" s="36">
        <f t="shared" ref="DM39" si="1869">DL34*$G$39</f>
        <v>0</v>
      </c>
      <c r="DN39" s="54"/>
      <c r="DO39" s="36">
        <f t="shared" ref="DO39" si="1870">DN34*$G$39</f>
        <v>0</v>
      </c>
      <c r="DP39" s="54"/>
      <c r="DQ39" s="36">
        <f t="shared" ref="DQ39" si="1871">DP34*$G$39</f>
        <v>0</v>
      </c>
      <c r="DR39" s="54"/>
      <c r="DS39" s="36">
        <f t="shared" ref="DS39" si="1872">DR34*$G$39</f>
        <v>0</v>
      </c>
      <c r="DT39" s="54"/>
      <c r="DU39" s="36">
        <f t="shared" ref="DU39" si="1873">DT34*$G$39</f>
        <v>0</v>
      </c>
      <c r="DV39" s="54"/>
      <c r="DW39" s="36">
        <f t="shared" ref="DW39" si="1874">DV34*$G$39</f>
        <v>0</v>
      </c>
      <c r="DX39" s="54"/>
      <c r="DY39" s="36">
        <f t="shared" ref="DY39" si="1875">DX34*$G$39</f>
        <v>0</v>
      </c>
      <c r="DZ39" s="54"/>
      <c r="EA39" s="36">
        <f t="shared" ref="EA39" si="1876">DZ34*$G$39</f>
        <v>0</v>
      </c>
      <c r="EB39" s="54"/>
      <c r="EC39" s="36">
        <f t="shared" ref="EC39" si="1877">EB34*$G$39</f>
        <v>0</v>
      </c>
      <c r="ED39" s="54"/>
      <c r="EE39" s="36">
        <f t="shared" ref="EE39" si="1878">ED34*$G$39</f>
        <v>0</v>
      </c>
      <c r="EF39" s="54"/>
      <c r="EG39" s="36">
        <f t="shared" ref="EG39" si="1879">EF34*$G$39</f>
        <v>0</v>
      </c>
      <c r="EH39" s="54"/>
      <c r="EI39" s="36">
        <f t="shared" ref="EI39" si="1880">EH34*$G$39</f>
        <v>0</v>
      </c>
      <c r="EJ39" s="54"/>
      <c r="EK39" s="36">
        <f t="shared" ref="EK39" si="1881">EJ34*$G$39</f>
        <v>0</v>
      </c>
      <c r="EL39" s="54"/>
      <c r="EM39" s="36">
        <f t="shared" ref="EM39" si="1882">EL34*$G$39</f>
        <v>0</v>
      </c>
      <c r="EN39" s="54"/>
      <c r="EO39" s="36">
        <f t="shared" ref="EO39" si="1883">EN34*$G$39</f>
        <v>0</v>
      </c>
      <c r="EP39" s="54"/>
      <c r="EQ39" s="36">
        <f t="shared" ref="EQ39" si="1884">EP34*$G$39</f>
        <v>0</v>
      </c>
      <c r="ER39" s="54"/>
      <c r="ES39" s="36">
        <f t="shared" ref="ES39" si="1885">ER34*$G$39</f>
        <v>0</v>
      </c>
      <c r="ET39" s="54"/>
      <c r="EU39" s="36">
        <f t="shared" ref="EU39" si="1886">ET34*$G$39</f>
        <v>0</v>
      </c>
      <c r="EV39" s="54"/>
      <c r="EW39" s="36">
        <f t="shared" ref="EW39" si="1887">EV34*$G$39</f>
        <v>0</v>
      </c>
      <c r="EX39" s="54"/>
      <c r="EY39" s="36">
        <f t="shared" ref="EY39" si="1888">EX34*$G$39</f>
        <v>0</v>
      </c>
      <c r="EZ39" s="54"/>
      <c r="FA39" s="36">
        <f t="shared" ref="FA39" si="1889">EZ34*$G$39</f>
        <v>0</v>
      </c>
      <c r="FB39" s="54"/>
      <c r="FC39" s="36">
        <f t="shared" ref="FC39" si="1890">FB34*$G$39</f>
        <v>0</v>
      </c>
      <c r="FD39" s="54"/>
      <c r="FE39" s="36">
        <f t="shared" ref="FE39" si="1891">FD34*$G$39</f>
        <v>0</v>
      </c>
      <c r="FF39" s="54"/>
      <c r="FG39" s="36">
        <f t="shared" ref="FG39" si="1892">FF34*$G$39</f>
        <v>0</v>
      </c>
      <c r="FH39" s="54"/>
      <c r="FI39" s="36">
        <f t="shared" ref="FI39" si="1893">FH34*$G$39</f>
        <v>0</v>
      </c>
      <c r="FJ39" s="54"/>
      <c r="FK39" s="36">
        <f t="shared" ref="FK39" si="1894">FJ34*$G$39</f>
        <v>0</v>
      </c>
      <c r="FL39" s="54"/>
      <c r="FM39" s="36">
        <f t="shared" ref="FM39" si="1895">FL34*$G$39</f>
        <v>0</v>
      </c>
      <c r="FN39" s="54"/>
      <c r="FO39" s="36">
        <f t="shared" ref="FO39" si="1896">FN34*$G$39</f>
        <v>0</v>
      </c>
      <c r="FP39" s="54"/>
      <c r="FQ39" s="36">
        <f t="shared" ref="FQ39" si="1897">FP34*$G$39</f>
        <v>0</v>
      </c>
    </row>
    <row r="40" spans="1:174" x14ac:dyDescent="0.35">
      <c r="A40" s="13" t="s">
        <v>129</v>
      </c>
      <c r="B40" s="13">
        <v>913</v>
      </c>
      <c r="C40" s="13" t="s">
        <v>13</v>
      </c>
      <c r="D40" s="13" t="s">
        <v>136</v>
      </c>
      <c r="E40" s="13" t="s">
        <v>22</v>
      </c>
      <c r="F40" s="13">
        <v>1</v>
      </c>
      <c r="G40" s="13">
        <v>0</v>
      </c>
      <c r="H40" s="55">
        <v>52</v>
      </c>
      <c r="I40" s="13">
        <f t="shared" ref="I40" si="1898">H40*G40</f>
        <v>0</v>
      </c>
      <c r="J40" s="55">
        <v>2</v>
      </c>
      <c r="K40" s="37">
        <f>J40*$G$40</f>
        <v>0</v>
      </c>
      <c r="L40" s="55">
        <v>2</v>
      </c>
      <c r="M40" s="37">
        <f t="shared" ref="M40" si="1899">L40*$G$40</f>
        <v>0</v>
      </c>
      <c r="N40" s="55">
        <v>2</v>
      </c>
      <c r="O40" s="37">
        <f t="shared" ref="O40" si="1900">N40*$G$40</f>
        <v>0</v>
      </c>
      <c r="P40" s="55">
        <v>2</v>
      </c>
      <c r="Q40" s="37">
        <f t="shared" ref="Q40" si="1901">P40*$G$40</f>
        <v>0</v>
      </c>
      <c r="R40" s="55">
        <v>2</v>
      </c>
      <c r="S40" s="37">
        <f t="shared" ref="S40" si="1902">R40*$G$40</f>
        <v>0</v>
      </c>
      <c r="T40" s="55">
        <v>2</v>
      </c>
      <c r="U40" s="37">
        <f t="shared" ref="U40" si="1903">T40*$G$40</f>
        <v>0</v>
      </c>
      <c r="V40" s="55">
        <v>2</v>
      </c>
      <c r="W40" s="37">
        <f t="shared" ref="W40" si="1904">V40*$G$40</f>
        <v>0</v>
      </c>
      <c r="X40" s="55">
        <v>2</v>
      </c>
      <c r="Y40" s="37">
        <f t="shared" ref="Y40" si="1905">X40*$G$40</f>
        <v>0</v>
      </c>
      <c r="Z40" s="55">
        <v>2</v>
      </c>
      <c r="AA40" s="37">
        <f t="shared" ref="AA40" si="1906">Z40*$G$40</f>
        <v>0</v>
      </c>
      <c r="AB40" s="55">
        <v>2</v>
      </c>
      <c r="AC40" s="37">
        <f t="shared" ref="AC40" si="1907">AB40*$G$40</f>
        <v>0</v>
      </c>
      <c r="AD40" s="55">
        <v>2</v>
      </c>
      <c r="AE40" s="37">
        <f t="shared" ref="AE40" si="1908">AD40*$G$40</f>
        <v>0</v>
      </c>
      <c r="AF40" s="55">
        <v>2</v>
      </c>
      <c r="AG40" s="37">
        <f t="shared" ref="AG40" si="1909">AF40*$G$40</f>
        <v>0</v>
      </c>
      <c r="AH40" s="55">
        <v>2</v>
      </c>
      <c r="AI40" s="37">
        <f t="shared" ref="AI40" si="1910">AH40*$G$40</f>
        <v>0</v>
      </c>
      <c r="AJ40" s="55">
        <v>1</v>
      </c>
      <c r="AK40" s="37">
        <f t="shared" ref="AK40" si="1911">AJ40*$G$40</f>
        <v>0</v>
      </c>
      <c r="AL40" s="55">
        <v>1</v>
      </c>
      <c r="AM40" s="37">
        <f t="shared" ref="AM40" si="1912">AL40*$G$40</f>
        <v>0</v>
      </c>
      <c r="AN40" s="55">
        <v>1</v>
      </c>
      <c r="AO40" s="37">
        <f t="shared" ref="AO40" si="1913">AN40*$G$40</f>
        <v>0</v>
      </c>
      <c r="AP40" s="55">
        <v>1</v>
      </c>
      <c r="AQ40" s="37">
        <f t="shared" ref="AQ40" si="1914">AP40*$G$40</f>
        <v>0</v>
      </c>
      <c r="AR40" s="55">
        <v>1</v>
      </c>
      <c r="AS40" s="37">
        <f t="shared" ref="AS40" si="1915">AR40*$G$40</f>
        <v>0</v>
      </c>
      <c r="AT40" s="55">
        <v>1</v>
      </c>
      <c r="AU40" s="37">
        <f t="shared" ref="AU40" si="1916">AT40*$G$40</f>
        <v>0</v>
      </c>
      <c r="AV40" s="55">
        <v>1</v>
      </c>
      <c r="AW40" s="37">
        <f t="shared" ref="AW40" si="1917">AV40*$G$40</f>
        <v>0</v>
      </c>
      <c r="AX40" s="55">
        <v>1</v>
      </c>
      <c r="AY40" s="37">
        <f t="shared" ref="AY40" si="1918">AX40*$G$40</f>
        <v>0</v>
      </c>
      <c r="AZ40" s="55">
        <v>1</v>
      </c>
      <c r="BA40" s="37">
        <f t="shared" ref="BA40" si="1919">AZ40*$G$40</f>
        <v>0</v>
      </c>
      <c r="BB40" s="55">
        <v>1</v>
      </c>
      <c r="BC40" s="37">
        <f t="shared" ref="BC40" si="1920">BB40*$G$40</f>
        <v>0</v>
      </c>
      <c r="BD40" s="55">
        <v>1</v>
      </c>
      <c r="BE40" s="37">
        <f t="shared" ref="BE40" si="1921">BD40*$G$40</f>
        <v>0</v>
      </c>
      <c r="BF40" s="55">
        <v>1</v>
      </c>
      <c r="BG40" s="37">
        <f t="shared" ref="BG40" si="1922">BF40*$G$40</f>
        <v>0</v>
      </c>
      <c r="BH40" s="55">
        <v>1</v>
      </c>
      <c r="BI40" s="37">
        <f t="shared" ref="BI40" si="1923">BH40*$G$40</f>
        <v>0</v>
      </c>
      <c r="BJ40" s="55">
        <v>1</v>
      </c>
      <c r="BK40" s="37">
        <f t="shared" ref="BK40" si="1924">BJ40*$G$40</f>
        <v>0</v>
      </c>
      <c r="BL40" s="55">
        <v>1</v>
      </c>
      <c r="BM40" s="37">
        <f t="shared" ref="BM40" si="1925">BL40*$G$40</f>
        <v>0</v>
      </c>
      <c r="BN40" s="55">
        <v>1</v>
      </c>
      <c r="BO40" s="37">
        <f t="shared" ref="BO40" si="1926">BN40*$G$40</f>
        <v>0</v>
      </c>
      <c r="BP40" s="55">
        <v>1</v>
      </c>
      <c r="BQ40" s="37">
        <f t="shared" ref="BQ40" si="1927">BP40*$G$40</f>
        <v>0</v>
      </c>
      <c r="BR40" s="55">
        <v>1</v>
      </c>
      <c r="BS40" s="37">
        <f t="shared" ref="BS40" si="1928">BR40*$G$40</f>
        <v>0</v>
      </c>
      <c r="BT40" s="55">
        <v>1</v>
      </c>
      <c r="BU40" s="37">
        <f t="shared" ref="BU40" si="1929">BT40*$G$40</f>
        <v>0</v>
      </c>
      <c r="BV40" s="55">
        <v>1</v>
      </c>
      <c r="BW40" s="37">
        <f t="shared" ref="BW40" si="1930">BV40*$G$40</f>
        <v>0</v>
      </c>
      <c r="BX40" s="55">
        <v>1</v>
      </c>
      <c r="BY40" s="37">
        <f t="shared" ref="BY40" si="1931">BX40*$G$40</f>
        <v>0</v>
      </c>
      <c r="BZ40" s="55">
        <v>1</v>
      </c>
      <c r="CA40" s="37">
        <f t="shared" ref="CA40" si="1932">BZ40*$G$40</f>
        <v>0</v>
      </c>
      <c r="CB40" s="55">
        <v>1</v>
      </c>
      <c r="CC40" s="37">
        <f t="shared" ref="CC40" si="1933">CB40*$G$40</f>
        <v>0</v>
      </c>
      <c r="CD40" s="55">
        <v>1</v>
      </c>
      <c r="CE40" s="37">
        <f t="shared" ref="CE40" si="1934">CD40*$G$40</f>
        <v>0</v>
      </c>
      <c r="CF40" s="55">
        <v>1</v>
      </c>
      <c r="CG40" s="37">
        <f t="shared" ref="CG40" si="1935">CF40*$G$40</f>
        <v>0</v>
      </c>
      <c r="CH40" s="55">
        <v>1</v>
      </c>
      <c r="CI40" s="37">
        <f t="shared" ref="CI40" si="1936">CH40*$G$40</f>
        <v>0</v>
      </c>
      <c r="CJ40" s="55"/>
      <c r="CK40" s="37">
        <f t="shared" ref="CK40" si="1937">CJ40*$G$40</f>
        <v>0</v>
      </c>
      <c r="CL40" s="55"/>
      <c r="CM40" s="37">
        <f t="shared" ref="CM40" si="1938">CL40*$G$40</f>
        <v>0</v>
      </c>
      <c r="CN40" s="55"/>
      <c r="CO40" s="37">
        <f t="shared" ref="CO40" si="1939">CN40*$G$40</f>
        <v>0</v>
      </c>
      <c r="CP40" s="55"/>
      <c r="CQ40" s="37">
        <f t="shared" ref="CQ40" si="1940">CP40*$G$40</f>
        <v>0</v>
      </c>
      <c r="CR40" s="55"/>
      <c r="CS40" s="37">
        <f t="shared" ref="CS40" si="1941">CR40*$G$40</f>
        <v>0</v>
      </c>
      <c r="CT40" s="55"/>
      <c r="CU40" s="37">
        <f t="shared" ref="CU40" si="1942">CT40*$G$40</f>
        <v>0</v>
      </c>
      <c r="CV40" s="55"/>
      <c r="CW40" s="37">
        <f t="shared" ref="CW40" si="1943">CV40*$G$40</f>
        <v>0</v>
      </c>
      <c r="CX40" s="55"/>
      <c r="CY40" s="37">
        <f t="shared" ref="CY40" si="1944">CX40*$G$40</f>
        <v>0</v>
      </c>
      <c r="CZ40" s="55"/>
      <c r="DA40" s="37">
        <f t="shared" ref="DA40" si="1945">CZ40*$G$40</f>
        <v>0</v>
      </c>
      <c r="DB40" s="55"/>
      <c r="DC40" s="37">
        <f t="shared" ref="DC40" si="1946">DB40*$G$40</f>
        <v>0</v>
      </c>
      <c r="DD40" s="55"/>
      <c r="DE40" s="37">
        <f t="shared" ref="DE40" si="1947">DD40*$G$40</f>
        <v>0</v>
      </c>
      <c r="DF40" s="55"/>
      <c r="DG40" s="37">
        <f t="shared" ref="DG40" si="1948">DF40*$G$40</f>
        <v>0</v>
      </c>
      <c r="DH40" s="55"/>
      <c r="DI40" s="37">
        <f t="shared" ref="DI40" si="1949">DH40*$G$40</f>
        <v>0</v>
      </c>
      <c r="DJ40" s="55"/>
      <c r="DK40" s="37">
        <f t="shared" ref="DK40" si="1950">DJ40*$G$40</f>
        <v>0</v>
      </c>
      <c r="DL40" s="55"/>
      <c r="DM40" s="37">
        <f t="shared" ref="DM40" si="1951">DL40*$G$40</f>
        <v>0</v>
      </c>
      <c r="DN40" s="55"/>
      <c r="DO40" s="37">
        <f t="shared" ref="DO40" si="1952">DN40*$G$40</f>
        <v>0</v>
      </c>
      <c r="DP40" s="55"/>
      <c r="DQ40" s="37">
        <f t="shared" ref="DQ40" si="1953">DP40*$G$40</f>
        <v>0</v>
      </c>
      <c r="DR40" s="55"/>
      <c r="DS40" s="37">
        <f t="shared" ref="DS40" si="1954">DR40*$G$40</f>
        <v>0</v>
      </c>
      <c r="DT40" s="55"/>
      <c r="DU40" s="37">
        <f t="shared" ref="DU40" si="1955">DT40*$G$40</f>
        <v>0</v>
      </c>
      <c r="DV40" s="55"/>
      <c r="DW40" s="37">
        <f t="shared" ref="DW40" si="1956">DV40*$G$40</f>
        <v>0</v>
      </c>
      <c r="DX40" s="55"/>
      <c r="DY40" s="37">
        <f t="shared" ref="DY40" si="1957">DX40*$G$40</f>
        <v>0</v>
      </c>
      <c r="DZ40" s="55"/>
      <c r="EA40" s="37">
        <f t="shared" ref="EA40" si="1958">DZ40*$G$40</f>
        <v>0</v>
      </c>
      <c r="EB40" s="55"/>
      <c r="EC40" s="37">
        <f t="shared" ref="EC40" si="1959">EB40*$G$40</f>
        <v>0</v>
      </c>
      <c r="ED40" s="55"/>
      <c r="EE40" s="37">
        <f t="shared" ref="EE40" si="1960">ED40*$G$40</f>
        <v>0</v>
      </c>
      <c r="EF40" s="55"/>
      <c r="EG40" s="37">
        <f t="shared" ref="EG40" si="1961">EF40*$G$40</f>
        <v>0</v>
      </c>
      <c r="EH40" s="55"/>
      <c r="EI40" s="37">
        <f t="shared" ref="EI40" si="1962">EH40*$G$40</f>
        <v>0</v>
      </c>
      <c r="EJ40" s="55"/>
      <c r="EK40" s="37">
        <f t="shared" ref="EK40" si="1963">EJ40*$G$40</f>
        <v>0</v>
      </c>
      <c r="EL40" s="55"/>
      <c r="EM40" s="37">
        <f t="shared" ref="EM40" si="1964">EL40*$G$40</f>
        <v>0</v>
      </c>
      <c r="EN40" s="55"/>
      <c r="EO40" s="37">
        <f t="shared" ref="EO40" si="1965">EN40*$G$40</f>
        <v>0</v>
      </c>
      <c r="EP40" s="55"/>
      <c r="EQ40" s="37">
        <f t="shared" ref="EQ40" si="1966">EP40*$G$40</f>
        <v>0</v>
      </c>
      <c r="ER40" s="55"/>
      <c r="ES40" s="37">
        <f t="shared" ref="ES40" si="1967">ER40*$G$40</f>
        <v>0</v>
      </c>
      <c r="ET40" s="55"/>
      <c r="EU40" s="37">
        <f t="shared" ref="EU40" si="1968">ET40*$G$40</f>
        <v>0</v>
      </c>
      <c r="EV40" s="55"/>
      <c r="EW40" s="37">
        <f t="shared" ref="EW40" si="1969">EV40*$G$40</f>
        <v>0</v>
      </c>
      <c r="EX40" s="55"/>
      <c r="EY40" s="37">
        <f t="shared" ref="EY40" si="1970">EX40*$G$40</f>
        <v>0</v>
      </c>
      <c r="EZ40" s="55"/>
      <c r="FA40" s="37">
        <f t="shared" ref="FA40" si="1971">EZ40*$G$40</f>
        <v>0</v>
      </c>
      <c r="FB40" s="55"/>
      <c r="FC40" s="37">
        <f t="shared" ref="FC40" si="1972">FB40*$G$40</f>
        <v>0</v>
      </c>
      <c r="FD40" s="55"/>
      <c r="FE40" s="37">
        <f t="shared" ref="FE40" si="1973">FD40*$G$40</f>
        <v>0</v>
      </c>
      <c r="FF40" s="55"/>
      <c r="FG40" s="37">
        <f t="shared" ref="FG40" si="1974">FF40*$G$40</f>
        <v>0</v>
      </c>
      <c r="FH40" s="55"/>
      <c r="FI40" s="37">
        <f t="shared" ref="FI40" si="1975">FH40*$G$40</f>
        <v>0</v>
      </c>
      <c r="FJ40" s="55"/>
      <c r="FK40" s="37">
        <f t="shared" ref="FK40" si="1976">FJ40*$G$40</f>
        <v>0</v>
      </c>
      <c r="FL40" s="55"/>
      <c r="FM40" s="37">
        <f t="shared" ref="FM40" si="1977">FL40*$G$40</f>
        <v>0</v>
      </c>
      <c r="FN40" s="55"/>
      <c r="FO40" s="37">
        <f t="shared" ref="FO40" si="1978">FN40*$G$40</f>
        <v>0</v>
      </c>
      <c r="FP40" s="55"/>
      <c r="FQ40" s="37">
        <f t="shared" ref="FQ40" si="1979">FP40*$G$40</f>
        <v>0</v>
      </c>
    </row>
    <row r="41" spans="1:174" x14ac:dyDescent="0.35">
      <c r="A41" s="13" t="s">
        <v>129</v>
      </c>
      <c r="B41" s="13">
        <v>913</v>
      </c>
      <c r="C41" s="13" t="s">
        <v>13</v>
      </c>
      <c r="D41" s="13" t="s">
        <v>136</v>
      </c>
      <c r="E41" s="13" t="s">
        <v>23</v>
      </c>
      <c r="F41" s="13">
        <v>2</v>
      </c>
      <c r="G41" s="13">
        <v>1</v>
      </c>
      <c r="H41" s="55"/>
      <c r="I41" s="13">
        <f t="shared" ref="I41" si="1980">H40*G41</f>
        <v>52</v>
      </c>
      <c r="J41" s="55"/>
      <c r="K41" s="37">
        <f>J40*$G$41</f>
        <v>2</v>
      </c>
      <c r="L41" s="55"/>
      <c r="M41" s="37">
        <f t="shared" ref="M41" si="1981">L40*$G$41</f>
        <v>2</v>
      </c>
      <c r="N41" s="55"/>
      <c r="O41" s="37">
        <f t="shared" ref="O41" si="1982">N40*$G$41</f>
        <v>2</v>
      </c>
      <c r="P41" s="55"/>
      <c r="Q41" s="37">
        <f t="shared" ref="Q41" si="1983">P40*$G$41</f>
        <v>2</v>
      </c>
      <c r="R41" s="55"/>
      <c r="S41" s="37">
        <f t="shared" ref="S41" si="1984">R40*$G$41</f>
        <v>2</v>
      </c>
      <c r="T41" s="55"/>
      <c r="U41" s="37">
        <f t="shared" ref="U41" si="1985">T40*$G$41</f>
        <v>2</v>
      </c>
      <c r="V41" s="55"/>
      <c r="W41" s="37">
        <f t="shared" ref="W41" si="1986">V40*$G$41</f>
        <v>2</v>
      </c>
      <c r="X41" s="55"/>
      <c r="Y41" s="37">
        <f t="shared" ref="Y41" si="1987">X40*$G$41</f>
        <v>2</v>
      </c>
      <c r="Z41" s="55"/>
      <c r="AA41" s="37">
        <f t="shared" ref="AA41" si="1988">Z40*$G$41</f>
        <v>2</v>
      </c>
      <c r="AB41" s="55"/>
      <c r="AC41" s="37">
        <f t="shared" ref="AC41" si="1989">AB40*$G$41</f>
        <v>2</v>
      </c>
      <c r="AD41" s="55"/>
      <c r="AE41" s="37">
        <f t="shared" ref="AE41" si="1990">AD40*$G$41</f>
        <v>2</v>
      </c>
      <c r="AF41" s="55"/>
      <c r="AG41" s="37">
        <f t="shared" ref="AG41" si="1991">AF40*$G$41</f>
        <v>2</v>
      </c>
      <c r="AH41" s="55"/>
      <c r="AI41" s="37">
        <f t="shared" ref="AI41" si="1992">AH40*$G$41</f>
        <v>2</v>
      </c>
      <c r="AJ41" s="55"/>
      <c r="AK41" s="37">
        <f t="shared" ref="AK41" si="1993">AJ40*$G$41</f>
        <v>1</v>
      </c>
      <c r="AL41" s="55"/>
      <c r="AM41" s="37">
        <f t="shared" ref="AM41" si="1994">AL40*$G$41</f>
        <v>1</v>
      </c>
      <c r="AN41" s="55"/>
      <c r="AO41" s="37">
        <f t="shared" ref="AO41" si="1995">AN40*$G$41</f>
        <v>1</v>
      </c>
      <c r="AP41" s="55"/>
      <c r="AQ41" s="37">
        <f t="shared" ref="AQ41" si="1996">AP40*$G$41</f>
        <v>1</v>
      </c>
      <c r="AR41" s="55"/>
      <c r="AS41" s="37">
        <f t="shared" ref="AS41" si="1997">AR40*$G$41</f>
        <v>1</v>
      </c>
      <c r="AT41" s="55"/>
      <c r="AU41" s="37">
        <f t="shared" ref="AU41" si="1998">AT40*$G$41</f>
        <v>1</v>
      </c>
      <c r="AV41" s="55"/>
      <c r="AW41" s="37">
        <f t="shared" ref="AW41" si="1999">AV40*$G$41</f>
        <v>1</v>
      </c>
      <c r="AX41" s="55"/>
      <c r="AY41" s="37">
        <f t="shared" ref="AY41" si="2000">AX40*$G$41</f>
        <v>1</v>
      </c>
      <c r="AZ41" s="55"/>
      <c r="BA41" s="37">
        <f t="shared" ref="BA41" si="2001">AZ40*$G$41</f>
        <v>1</v>
      </c>
      <c r="BB41" s="55"/>
      <c r="BC41" s="37">
        <f t="shared" ref="BC41" si="2002">BB40*$G$41</f>
        <v>1</v>
      </c>
      <c r="BD41" s="55"/>
      <c r="BE41" s="37">
        <f t="shared" ref="BE41" si="2003">BD40*$G$41</f>
        <v>1</v>
      </c>
      <c r="BF41" s="55"/>
      <c r="BG41" s="37">
        <f t="shared" ref="BG41" si="2004">BF40*$G$41</f>
        <v>1</v>
      </c>
      <c r="BH41" s="55"/>
      <c r="BI41" s="37">
        <f t="shared" ref="BI41" si="2005">BH40*$G$41</f>
        <v>1</v>
      </c>
      <c r="BJ41" s="55"/>
      <c r="BK41" s="37">
        <f t="shared" ref="BK41" si="2006">BJ40*$G$41</f>
        <v>1</v>
      </c>
      <c r="BL41" s="55"/>
      <c r="BM41" s="37">
        <f t="shared" ref="BM41" si="2007">BL40*$G$41</f>
        <v>1</v>
      </c>
      <c r="BN41" s="55"/>
      <c r="BO41" s="37">
        <f t="shared" ref="BO41" si="2008">BN40*$G$41</f>
        <v>1</v>
      </c>
      <c r="BP41" s="55"/>
      <c r="BQ41" s="37">
        <f t="shared" ref="BQ41" si="2009">BP40*$G$41</f>
        <v>1</v>
      </c>
      <c r="BR41" s="55"/>
      <c r="BS41" s="37">
        <f t="shared" ref="BS41" si="2010">BR40*$G$41</f>
        <v>1</v>
      </c>
      <c r="BT41" s="55"/>
      <c r="BU41" s="37">
        <f t="shared" ref="BU41" si="2011">BT40*$G$41</f>
        <v>1</v>
      </c>
      <c r="BV41" s="55"/>
      <c r="BW41" s="37">
        <f t="shared" ref="BW41" si="2012">BV40*$G$41</f>
        <v>1</v>
      </c>
      <c r="BX41" s="55"/>
      <c r="BY41" s="37">
        <f t="shared" ref="BY41" si="2013">BX40*$G$41</f>
        <v>1</v>
      </c>
      <c r="BZ41" s="55"/>
      <c r="CA41" s="37">
        <f t="shared" ref="CA41" si="2014">BZ40*$G$41</f>
        <v>1</v>
      </c>
      <c r="CB41" s="55"/>
      <c r="CC41" s="37">
        <f t="shared" ref="CC41" si="2015">CB40*$G$41</f>
        <v>1</v>
      </c>
      <c r="CD41" s="55"/>
      <c r="CE41" s="37">
        <f t="shared" ref="CE41" si="2016">CD40*$G$41</f>
        <v>1</v>
      </c>
      <c r="CF41" s="55"/>
      <c r="CG41" s="37">
        <f t="shared" ref="CG41" si="2017">CF40*$G$41</f>
        <v>1</v>
      </c>
      <c r="CH41" s="55"/>
      <c r="CI41" s="37">
        <f t="shared" ref="CI41" si="2018">CH40*$G$41</f>
        <v>1</v>
      </c>
      <c r="CJ41" s="55"/>
      <c r="CK41" s="37">
        <f t="shared" ref="CK41" si="2019">CJ40*$G$41</f>
        <v>0</v>
      </c>
      <c r="CL41" s="55"/>
      <c r="CM41" s="37">
        <f t="shared" ref="CM41" si="2020">CL40*$G$41</f>
        <v>0</v>
      </c>
      <c r="CN41" s="55"/>
      <c r="CO41" s="37">
        <f t="shared" ref="CO41" si="2021">CN40*$G$41</f>
        <v>0</v>
      </c>
      <c r="CP41" s="55"/>
      <c r="CQ41" s="37">
        <f t="shared" ref="CQ41" si="2022">CP40*$G$41</f>
        <v>0</v>
      </c>
      <c r="CR41" s="55"/>
      <c r="CS41" s="37">
        <f t="shared" ref="CS41" si="2023">CR40*$G$41</f>
        <v>0</v>
      </c>
      <c r="CT41" s="55"/>
      <c r="CU41" s="37">
        <f t="shared" ref="CU41" si="2024">CT40*$G$41</f>
        <v>0</v>
      </c>
      <c r="CV41" s="55"/>
      <c r="CW41" s="37">
        <f t="shared" ref="CW41" si="2025">CV40*$G$41</f>
        <v>0</v>
      </c>
      <c r="CX41" s="55"/>
      <c r="CY41" s="37">
        <f t="shared" ref="CY41" si="2026">CX40*$G$41</f>
        <v>0</v>
      </c>
      <c r="CZ41" s="55"/>
      <c r="DA41" s="37">
        <f t="shared" ref="DA41" si="2027">CZ40*$G$41</f>
        <v>0</v>
      </c>
      <c r="DB41" s="55"/>
      <c r="DC41" s="37">
        <f t="shared" ref="DC41" si="2028">DB40*$G$41</f>
        <v>0</v>
      </c>
      <c r="DD41" s="55"/>
      <c r="DE41" s="37">
        <f t="shared" ref="DE41" si="2029">DD40*$G$41</f>
        <v>0</v>
      </c>
      <c r="DF41" s="55"/>
      <c r="DG41" s="37">
        <f t="shared" ref="DG41" si="2030">DF40*$G$41</f>
        <v>0</v>
      </c>
      <c r="DH41" s="55"/>
      <c r="DI41" s="37">
        <f t="shared" ref="DI41" si="2031">DH40*$G$41</f>
        <v>0</v>
      </c>
      <c r="DJ41" s="55"/>
      <c r="DK41" s="37">
        <f t="shared" ref="DK41" si="2032">DJ40*$G$41</f>
        <v>0</v>
      </c>
      <c r="DL41" s="55"/>
      <c r="DM41" s="37">
        <f t="shared" ref="DM41" si="2033">DL40*$G$41</f>
        <v>0</v>
      </c>
      <c r="DN41" s="55"/>
      <c r="DO41" s="37">
        <f t="shared" ref="DO41" si="2034">DN40*$G$41</f>
        <v>0</v>
      </c>
      <c r="DP41" s="55"/>
      <c r="DQ41" s="37">
        <f t="shared" ref="DQ41" si="2035">DP40*$G$41</f>
        <v>0</v>
      </c>
      <c r="DR41" s="55"/>
      <c r="DS41" s="37">
        <f t="shared" ref="DS41" si="2036">DR40*$G$41</f>
        <v>0</v>
      </c>
      <c r="DT41" s="55"/>
      <c r="DU41" s="37">
        <f t="shared" ref="DU41" si="2037">DT40*$G$41</f>
        <v>0</v>
      </c>
      <c r="DV41" s="55"/>
      <c r="DW41" s="37">
        <f t="shared" ref="DW41" si="2038">DV40*$G$41</f>
        <v>0</v>
      </c>
      <c r="DX41" s="55"/>
      <c r="DY41" s="37">
        <f t="shared" ref="DY41" si="2039">DX40*$G$41</f>
        <v>0</v>
      </c>
      <c r="DZ41" s="55"/>
      <c r="EA41" s="37">
        <f t="shared" ref="EA41" si="2040">DZ40*$G$41</f>
        <v>0</v>
      </c>
      <c r="EB41" s="55"/>
      <c r="EC41" s="37">
        <f t="shared" ref="EC41" si="2041">EB40*$G$41</f>
        <v>0</v>
      </c>
      <c r="ED41" s="55"/>
      <c r="EE41" s="37">
        <f t="shared" ref="EE41" si="2042">ED40*$G$41</f>
        <v>0</v>
      </c>
      <c r="EF41" s="55"/>
      <c r="EG41" s="37">
        <f t="shared" ref="EG41" si="2043">EF40*$G$41</f>
        <v>0</v>
      </c>
      <c r="EH41" s="55"/>
      <c r="EI41" s="37">
        <f t="shared" ref="EI41" si="2044">EH40*$G$41</f>
        <v>0</v>
      </c>
      <c r="EJ41" s="55"/>
      <c r="EK41" s="37">
        <f t="shared" ref="EK41" si="2045">EJ40*$G$41</f>
        <v>0</v>
      </c>
      <c r="EL41" s="55"/>
      <c r="EM41" s="37">
        <f t="shared" ref="EM41" si="2046">EL40*$G$41</f>
        <v>0</v>
      </c>
      <c r="EN41" s="55"/>
      <c r="EO41" s="37">
        <f t="shared" ref="EO41" si="2047">EN40*$G$41</f>
        <v>0</v>
      </c>
      <c r="EP41" s="55"/>
      <c r="EQ41" s="37">
        <f t="shared" ref="EQ41" si="2048">EP40*$G$41</f>
        <v>0</v>
      </c>
      <c r="ER41" s="55"/>
      <c r="ES41" s="37">
        <f t="shared" ref="ES41" si="2049">ER40*$G$41</f>
        <v>0</v>
      </c>
      <c r="ET41" s="55"/>
      <c r="EU41" s="37">
        <f t="shared" ref="EU41" si="2050">ET40*$G$41</f>
        <v>0</v>
      </c>
      <c r="EV41" s="55"/>
      <c r="EW41" s="37">
        <f t="shared" ref="EW41" si="2051">EV40*$G$41</f>
        <v>0</v>
      </c>
      <c r="EX41" s="55"/>
      <c r="EY41" s="37">
        <f t="shared" ref="EY41" si="2052">EX40*$G$41</f>
        <v>0</v>
      </c>
      <c r="EZ41" s="55"/>
      <c r="FA41" s="37">
        <f t="shared" ref="FA41" si="2053">EZ40*$G$41</f>
        <v>0</v>
      </c>
      <c r="FB41" s="55"/>
      <c r="FC41" s="37">
        <f t="shared" ref="FC41" si="2054">FB40*$G$41</f>
        <v>0</v>
      </c>
      <c r="FD41" s="55"/>
      <c r="FE41" s="37">
        <f t="shared" ref="FE41" si="2055">FD40*$G$41</f>
        <v>0</v>
      </c>
      <c r="FF41" s="55"/>
      <c r="FG41" s="37">
        <f t="shared" ref="FG41" si="2056">FF40*$G$41</f>
        <v>0</v>
      </c>
      <c r="FH41" s="55"/>
      <c r="FI41" s="37">
        <f t="shared" ref="FI41" si="2057">FH40*$G$41</f>
        <v>0</v>
      </c>
      <c r="FJ41" s="55"/>
      <c r="FK41" s="37">
        <f t="shared" ref="FK41" si="2058">FJ40*$G$41</f>
        <v>0</v>
      </c>
      <c r="FL41" s="55"/>
      <c r="FM41" s="37">
        <f t="shared" ref="FM41" si="2059">FL40*$G$41</f>
        <v>0</v>
      </c>
      <c r="FN41" s="55"/>
      <c r="FO41" s="37">
        <f t="shared" ref="FO41" si="2060">FN40*$G$41</f>
        <v>0</v>
      </c>
      <c r="FP41" s="55"/>
      <c r="FQ41" s="37">
        <f t="shared" ref="FQ41" si="2061">FP40*$G$41</f>
        <v>0</v>
      </c>
    </row>
    <row r="42" spans="1:174" x14ac:dyDescent="0.35">
      <c r="A42" s="13" t="s">
        <v>129</v>
      </c>
      <c r="B42" s="13">
        <v>913</v>
      </c>
      <c r="C42" s="13" t="s">
        <v>13</v>
      </c>
      <c r="D42" s="13" t="s">
        <v>136</v>
      </c>
      <c r="E42" s="13" t="s">
        <v>24</v>
      </c>
      <c r="F42" s="13">
        <v>3</v>
      </c>
      <c r="G42" s="13">
        <v>6</v>
      </c>
      <c r="H42" s="55"/>
      <c r="I42" s="13">
        <f t="shared" ref="I42" si="2062">H40*G42</f>
        <v>312</v>
      </c>
      <c r="J42" s="55"/>
      <c r="K42" s="37">
        <f>J40*$G$42</f>
        <v>12</v>
      </c>
      <c r="L42" s="55"/>
      <c r="M42" s="37">
        <f t="shared" ref="M42" si="2063">L40*$G$42</f>
        <v>12</v>
      </c>
      <c r="N42" s="55"/>
      <c r="O42" s="37">
        <f t="shared" ref="O42" si="2064">N40*$G$42</f>
        <v>12</v>
      </c>
      <c r="P42" s="55"/>
      <c r="Q42" s="37">
        <f t="shared" ref="Q42" si="2065">P40*$G$42</f>
        <v>12</v>
      </c>
      <c r="R42" s="55"/>
      <c r="S42" s="37">
        <f t="shared" ref="S42" si="2066">R40*$G$42</f>
        <v>12</v>
      </c>
      <c r="T42" s="55"/>
      <c r="U42" s="37">
        <f t="shared" ref="U42" si="2067">T40*$G$42</f>
        <v>12</v>
      </c>
      <c r="V42" s="55"/>
      <c r="W42" s="37">
        <f t="shared" ref="W42" si="2068">V40*$G$42</f>
        <v>12</v>
      </c>
      <c r="X42" s="55"/>
      <c r="Y42" s="37">
        <f t="shared" ref="Y42" si="2069">X40*$G$42</f>
        <v>12</v>
      </c>
      <c r="Z42" s="55"/>
      <c r="AA42" s="37">
        <f t="shared" ref="AA42" si="2070">Z40*$G$42</f>
        <v>12</v>
      </c>
      <c r="AB42" s="55"/>
      <c r="AC42" s="37">
        <f t="shared" ref="AC42" si="2071">AB40*$G$42</f>
        <v>12</v>
      </c>
      <c r="AD42" s="55"/>
      <c r="AE42" s="37">
        <f t="shared" ref="AE42" si="2072">AD40*$G$42</f>
        <v>12</v>
      </c>
      <c r="AF42" s="55"/>
      <c r="AG42" s="37">
        <f t="shared" ref="AG42" si="2073">AF40*$G$42</f>
        <v>12</v>
      </c>
      <c r="AH42" s="55"/>
      <c r="AI42" s="37">
        <f t="shared" ref="AI42" si="2074">AH40*$G$42</f>
        <v>12</v>
      </c>
      <c r="AJ42" s="55"/>
      <c r="AK42" s="37">
        <f t="shared" ref="AK42" si="2075">AJ40*$G$42</f>
        <v>6</v>
      </c>
      <c r="AL42" s="55"/>
      <c r="AM42" s="37">
        <f t="shared" ref="AM42" si="2076">AL40*$G$42</f>
        <v>6</v>
      </c>
      <c r="AN42" s="55"/>
      <c r="AO42" s="37">
        <f t="shared" ref="AO42" si="2077">AN40*$G$42</f>
        <v>6</v>
      </c>
      <c r="AP42" s="55"/>
      <c r="AQ42" s="37">
        <f t="shared" ref="AQ42" si="2078">AP40*$G$42</f>
        <v>6</v>
      </c>
      <c r="AR42" s="55"/>
      <c r="AS42" s="37">
        <f t="shared" ref="AS42" si="2079">AR40*$G$42</f>
        <v>6</v>
      </c>
      <c r="AT42" s="55"/>
      <c r="AU42" s="37">
        <f t="shared" ref="AU42" si="2080">AT40*$G$42</f>
        <v>6</v>
      </c>
      <c r="AV42" s="55"/>
      <c r="AW42" s="37">
        <f t="shared" ref="AW42" si="2081">AV40*$G$42</f>
        <v>6</v>
      </c>
      <c r="AX42" s="55"/>
      <c r="AY42" s="37">
        <f t="shared" ref="AY42" si="2082">AX40*$G$42</f>
        <v>6</v>
      </c>
      <c r="AZ42" s="55"/>
      <c r="BA42" s="37">
        <f t="shared" ref="BA42" si="2083">AZ40*$G$42</f>
        <v>6</v>
      </c>
      <c r="BB42" s="55"/>
      <c r="BC42" s="37">
        <f t="shared" ref="BC42" si="2084">BB40*$G$42</f>
        <v>6</v>
      </c>
      <c r="BD42" s="55"/>
      <c r="BE42" s="37">
        <f t="shared" ref="BE42" si="2085">BD40*$G$42</f>
        <v>6</v>
      </c>
      <c r="BF42" s="55"/>
      <c r="BG42" s="37">
        <f t="shared" ref="BG42" si="2086">BF40*$G$42</f>
        <v>6</v>
      </c>
      <c r="BH42" s="55"/>
      <c r="BI42" s="37">
        <f t="shared" ref="BI42" si="2087">BH40*$G$42</f>
        <v>6</v>
      </c>
      <c r="BJ42" s="55"/>
      <c r="BK42" s="37">
        <f t="shared" ref="BK42" si="2088">BJ40*$G$42</f>
        <v>6</v>
      </c>
      <c r="BL42" s="55"/>
      <c r="BM42" s="37">
        <f t="shared" ref="BM42" si="2089">BL40*$G$42</f>
        <v>6</v>
      </c>
      <c r="BN42" s="55"/>
      <c r="BO42" s="37">
        <f t="shared" ref="BO42" si="2090">BN40*$G$42</f>
        <v>6</v>
      </c>
      <c r="BP42" s="55"/>
      <c r="BQ42" s="37">
        <f t="shared" ref="BQ42" si="2091">BP40*$G$42</f>
        <v>6</v>
      </c>
      <c r="BR42" s="55"/>
      <c r="BS42" s="37">
        <f t="shared" ref="BS42" si="2092">BR40*$G$42</f>
        <v>6</v>
      </c>
      <c r="BT42" s="55"/>
      <c r="BU42" s="37">
        <f t="shared" ref="BU42" si="2093">BT40*$G$42</f>
        <v>6</v>
      </c>
      <c r="BV42" s="55"/>
      <c r="BW42" s="37">
        <f t="shared" ref="BW42" si="2094">BV40*$G$42</f>
        <v>6</v>
      </c>
      <c r="BX42" s="55"/>
      <c r="BY42" s="37">
        <f t="shared" ref="BY42" si="2095">BX40*$G$42</f>
        <v>6</v>
      </c>
      <c r="BZ42" s="55"/>
      <c r="CA42" s="37">
        <f t="shared" ref="CA42" si="2096">BZ40*$G$42</f>
        <v>6</v>
      </c>
      <c r="CB42" s="55"/>
      <c r="CC42" s="37">
        <f t="shared" ref="CC42" si="2097">CB40*$G$42</f>
        <v>6</v>
      </c>
      <c r="CD42" s="55"/>
      <c r="CE42" s="37">
        <f t="shared" ref="CE42" si="2098">CD40*$G$42</f>
        <v>6</v>
      </c>
      <c r="CF42" s="55"/>
      <c r="CG42" s="37">
        <f t="shared" ref="CG42" si="2099">CF40*$G$42</f>
        <v>6</v>
      </c>
      <c r="CH42" s="55"/>
      <c r="CI42" s="37">
        <f t="shared" ref="CI42" si="2100">CH40*$G$42</f>
        <v>6</v>
      </c>
      <c r="CJ42" s="55"/>
      <c r="CK42" s="37">
        <f t="shared" ref="CK42" si="2101">CJ40*$G$42</f>
        <v>0</v>
      </c>
      <c r="CL42" s="55"/>
      <c r="CM42" s="37">
        <f t="shared" ref="CM42" si="2102">CL40*$G$42</f>
        <v>0</v>
      </c>
      <c r="CN42" s="55"/>
      <c r="CO42" s="37">
        <f t="shared" ref="CO42" si="2103">CN40*$G$42</f>
        <v>0</v>
      </c>
      <c r="CP42" s="55"/>
      <c r="CQ42" s="37">
        <f t="shared" ref="CQ42" si="2104">CP40*$G$42</f>
        <v>0</v>
      </c>
      <c r="CR42" s="55"/>
      <c r="CS42" s="37">
        <f t="shared" ref="CS42" si="2105">CR40*$G$42</f>
        <v>0</v>
      </c>
      <c r="CT42" s="55"/>
      <c r="CU42" s="37">
        <f t="shared" ref="CU42" si="2106">CT40*$G$42</f>
        <v>0</v>
      </c>
      <c r="CV42" s="55"/>
      <c r="CW42" s="37">
        <f t="shared" ref="CW42" si="2107">CV40*$G$42</f>
        <v>0</v>
      </c>
      <c r="CX42" s="55"/>
      <c r="CY42" s="37">
        <f t="shared" ref="CY42" si="2108">CX40*$G$42</f>
        <v>0</v>
      </c>
      <c r="CZ42" s="55"/>
      <c r="DA42" s="37">
        <f t="shared" ref="DA42" si="2109">CZ40*$G$42</f>
        <v>0</v>
      </c>
      <c r="DB42" s="55"/>
      <c r="DC42" s="37">
        <f t="shared" ref="DC42" si="2110">DB40*$G$42</f>
        <v>0</v>
      </c>
      <c r="DD42" s="55"/>
      <c r="DE42" s="37">
        <f t="shared" ref="DE42" si="2111">DD40*$G$42</f>
        <v>0</v>
      </c>
      <c r="DF42" s="55"/>
      <c r="DG42" s="37">
        <f t="shared" ref="DG42" si="2112">DF40*$G$42</f>
        <v>0</v>
      </c>
      <c r="DH42" s="55"/>
      <c r="DI42" s="37">
        <f t="shared" ref="DI42" si="2113">DH40*$G$42</f>
        <v>0</v>
      </c>
      <c r="DJ42" s="55"/>
      <c r="DK42" s="37">
        <f t="shared" ref="DK42" si="2114">DJ40*$G$42</f>
        <v>0</v>
      </c>
      <c r="DL42" s="55"/>
      <c r="DM42" s="37">
        <f t="shared" ref="DM42" si="2115">DL40*$G$42</f>
        <v>0</v>
      </c>
      <c r="DN42" s="55"/>
      <c r="DO42" s="37">
        <f t="shared" ref="DO42" si="2116">DN40*$G$42</f>
        <v>0</v>
      </c>
      <c r="DP42" s="55"/>
      <c r="DQ42" s="37">
        <f t="shared" ref="DQ42" si="2117">DP40*$G$42</f>
        <v>0</v>
      </c>
      <c r="DR42" s="55"/>
      <c r="DS42" s="37">
        <f t="shared" ref="DS42" si="2118">DR40*$G$42</f>
        <v>0</v>
      </c>
      <c r="DT42" s="55"/>
      <c r="DU42" s="37">
        <f t="shared" ref="DU42" si="2119">DT40*$G$42</f>
        <v>0</v>
      </c>
      <c r="DV42" s="55"/>
      <c r="DW42" s="37">
        <f t="shared" ref="DW42" si="2120">DV40*$G$42</f>
        <v>0</v>
      </c>
      <c r="DX42" s="55"/>
      <c r="DY42" s="37">
        <f t="shared" ref="DY42" si="2121">DX40*$G$42</f>
        <v>0</v>
      </c>
      <c r="DZ42" s="55"/>
      <c r="EA42" s="37">
        <f t="shared" ref="EA42" si="2122">DZ40*$G$42</f>
        <v>0</v>
      </c>
      <c r="EB42" s="55"/>
      <c r="EC42" s="37">
        <f t="shared" ref="EC42" si="2123">EB40*$G$42</f>
        <v>0</v>
      </c>
      <c r="ED42" s="55"/>
      <c r="EE42" s="37">
        <f t="shared" ref="EE42" si="2124">ED40*$G$42</f>
        <v>0</v>
      </c>
      <c r="EF42" s="55"/>
      <c r="EG42" s="37">
        <f t="shared" ref="EG42" si="2125">EF40*$G$42</f>
        <v>0</v>
      </c>
      <c r="EH42" s="55"/>
      <c r="EI42" s="37">
        <f t="shared" ref="EI42" si="2126">EH40*$G$42</f>
        <v>0</v>
      </c>
      <c r="EJ42" s="55"/>
      <c r="EK42" s="37">
        <f t="shared" ref="EK42" si="2127">EJ40*$G$42</f>
        <v>0</v>
      </c>
      <c r="EL42" s="55"/>
      <c r="EM42" s="37">
        <f t="shared" ref="EM42" si="2128">EL40*$G$42</f>
        <v>0</v>
      </c>
      <c r="EN42" s="55"/>
      <c r="EO42" s="37">
        <f t="shared" ref="EO42" si="2129">EN40*$G$42</f>
        <v>0</v>
      </c>
      <c r="EP42" s="55"/>
      <c r="EQ42" s="37">
        <f t="shared" ref="EQ42" si="2130">EP40*$G$42</f>
        <v>0</v>
      </c>
      <c r="ER42" s="55"/>
      <c r="ES42" s="37">
        <f t="shared" ref="ES42" si="2131">ER40*$G$42</f>
        <v>0</v>
      </c>
      <c r="ET42" s="55"/>
      <c r="EU42" s="37">
        <f t="shared" ref="EU42" si="2132">ET40*$G$42</f>
        <v>0</v>
      </c>
      <c r="EV42" s="55"/>
      <c r="EW42" s="37">
        <f t="shared" ref="EW42" si="2133">EV40*$G$42</f>
        <v>0</v>
      </c>
      <c r="EX42" s="55"/>
      <c r="EY42" s="37">
        <f t="shared" ref="EY42" si="2134">EX40*$G$42</f>
        <v>0</v>
      </c>
      <c r="EZ42" s="55"/>
      <c r="FA42" s="37">
        <f t="shared" ref="FA42" si="2135">EZ40*$G$42</f>
        <v>0</v>
      </c>
      <c r="FB42" s="55"/>
      <c r="FC42" s="37">
        <f t="shared" ref="FC42" si="2136">FB40*$G$42</f>
        <v>0</v>
      </c>
      <c r="FD42" s="55"/>
      <c r="FE42" s="37">
        <f t="shared" ref="FE42" si="2137">FD40*$G$42</f>
        <v>0</v>
      </c>
      <c r="FF42" s="55"/>
      <c r="FG42" s="37">
        <f t="shared" ref="FG42" si="2138">FF40*$G$42</f>
        <v>0</v>
      </c>
      <c r="FH42" s="55"/>
      <c r="FI42" s="37">
        <f t="shared" ref="FI42" si="2139">FH40*$G$42</f>
        <v>0</v>
      </c>
      <c r="FJ42" s="55"/>
      <c r="FK42" s="37">
        <f t="shared" ref="FK42" si="2140">FJ40*$G$42</f>
        <v>0</v>
      </c>
      <c r="FL42" s="55"/>
      <c r="FM42" s="37">
        <f t="shared" ref="FM42" si="2141">FL40*$G$42</f>
        <v>0</v>
      </c>
      <c r="FN42" s="55"/>
      <c r="FO42" s="37">
        <f t="shared" ref="FO42" si="2142">FN40*$G$42</f>
        <v>0</v>
      </c>
      <c r="FP42" s="55"/>
      <c r="FQ42" s="37">
        <f t="shared" ref="FQ42" si="2143">FP40*$G$42</f>
        <v>0</v>
      </c>
    </row>
    <row r="43" spans="1:174" x14ac:dyDescent="0.35">
      <c r="A43" s="13" t="s">
        <v>129</v>
      </c>
      <c r="B43" s="13">
        <v>913</v>
      </c>
      <c r="C43" s="13" t="s">
        <v>13</v>
      </c>
      <c r="D43" s="13" t="s">
        <v>136</v>
      </c>
      <c r="E43" s="13" t="s">
        <v>25</v>
      </c>
      <c r="F43" s="13">
        <v>4</v>
      </c>
      <c r="G43" s="13">
        <v>2</v>
      </c>
      <c r="H43" s="55"/>
      <c r="I43" s="13">
        <f t="shared" ref="I43" si="2144">H40*G43</f>
        <v>104</v>
      </c>
      <c r="J43" s="55"/>
      <c r="K43" s="37">
        <f>J40*$G$43</f>
        <v>4</v>
      </c>
      <c r="L43" s="55"/>
      <c r="M43" s="37">
        <f t="shared" ref="M43" si="2145">L40*$G$43</f>
        <v>4</v>
      </c>
      <c r="N43" s="55"/>
      <c r="O43" s="37">
        <f t="shared" ref="O43" si="2146">N40*$G$43</f>
        <v>4</v>
      </c>
      <c r="P43" s="55"/>
      <c r="Q43" s="37">
        <f t="shared" ref="Q43" si="2147">P40*$G$43</f>
        <v>4</v>
      </c>
      <c r="R43" s="55"/>
      <c r="S43" s="37">
        <f t="shared" ref="S43" si="2148">R40*$G$43</f>
        <v>4</v>
      </c>
      <c r="T43" s="55"/>
      <c r="U43" s="37">
        <f t="shared" ref="U43" si="2149">T40*$G$43</f>
        <v>4</v>
      </c>
      <c r="V43" s="55"/>
      <c r="W43" s="37">
        <f t="shared" ref="W43" si="2150">V40*$G$43</f>
        <v>4</v>
      </c>
      <c r="X43" s="55"/>
      <c r="Y43" s="37">
        <f t="shared" ref="Y43" si="2151">X40*$G$43</f>
        <v>4</v>
      </c>
      <c r="Z43" s="55"/>
      <c r="AA43" s="37">
        <f t="shared" ref="AA43" si="2152">Z40*$G$43</f>
        <v>4</v>
      </c>
      <c r="AB43" s="55"/>
      <c r="AC43" s="37">
        <f t="shared" ref="AC43" si="2153">AB40*$G$43</f>
        <v>4</v>
      </c>
      <c r="AD43" s="55"/>
      <c r="AE43" s="37">
        <f t="shared" ref="AE43" si="2154">AD40*$G$43</f>
        <v>4</v>
      </c>
      <c r="AF43" s="55"/>
      <c r="AG43" s="37">
        <f t="shared" ref="AG43" si="2155">AF40*$G$43</f>
        <v>4</v>
      </c>
      <c r="AH43" s="55"/>
      <c r="AI43" s="37">
        <f t="shared" ref="AI43" si="2156">AH40*$G$43</f>
        <v>4</v>
      </c>
      <c r="AJ43" s="55"/>
      <c r="AK43" s="37">
        <f t="shared" ref="AK43" si="2157">AJ40*$G$43</f>
        <v>2</v>
      </c>
      <c r="AL43" s="55"/>
      <c r="AM43" s="37">
        <f t="shared" ref="AM43" si="2158">AL40*$G$43</f>
        <v>2</v>
      </c>
      <c r="AN43" s="55"/>
      <c r="AO43" s="37">
        <f t="shared" ref="AO43" si="2159">AN40*$G$43</f>
        <v>2</v>
      </c>
      <c r="AP43" s="55"/>
      <c r="AQ43" s="37">
        <f t="shared" ref="AQ43" si="2160">AP40*$G$43</f>
        <v>2</v>
      </c>
      <c r="AR43" s="55"/>
      <c r="AS43" s="37">
        <f t="shared" ref="AS43" si="2161">AR40*$G$43</f>
        <v>2</v>
      </c>
      <c r="AT43" s="55"/>
      <c r="AU43" s="37">
        <f t="shared" ref="AU43" si="2162">AT40*$G$43</f>
        <v>2</v>
      </c>
      <c r="AV43" s="55"/>
      <c r="AW43" s="37">
        <f t="shared" ref="AW43" si="2163">AV40*$G$43</f>
        <v>2</v>
      </c>
      <c r="AX43" s="55"/>
      <c r="AY43" s="37">
        <f t="shared" ref="AY43" si="2164">AX40*$G$43</f>
        <v>2</v>
      </c>
      <c r="AZ43" s="55"/>
      <c r="BA43" s="37">
        <f t="shared" ref="BA43" si="2165">AZ40*$G$43</f>
        <v>2</v>
      </c>
      <c r="BB43" s="55"/>
      <c r="BC43" s="37">
        <f t="shared" ref="BC43" si="2166">BB40*$G$43</f>
        <v>2</v>
      </c>
      <c r="BD43" s="55"/>
      <c r="BE43" s="37">
        <f t="shared" ref="BE43" si="2167">BD40*$G$43</f>
        <v>2</v>
      </c>
      <c r="BF43" s="55"/>
      <c r="BG43" s="37">
        <f t="shared" ref="BG43" si="2168">BF40*$G$43</f>
        <v>2</v>
      </c>
      <c r="BH43" s="55"/>
      <c r="BI43" s="37">
        <f t="shared" ref="BI43" si="2169">BH40*$G$43</f>
        <v>2</v>
      </c>
      <c r="BJ43" s="55"/>
      <c r="BK43" s="37">
        <f t="shared" ref="BK43" si="2170">BJ40*$G$43</f>
        <v>2</v>
      </c>
      <c r="BL43" s="55"/>
      <c r="BM43" s="37">
        <f t="shared" ref="BM43" si="2171">BL40*$G$43</f>
        <v>2</v>
      </c>
      <c r="BN43" s="55"/>
      <c r="BO43" s="37">
        <f t="shared" ref="BO43" si="2172">BN40*$G$43</f>
        <v>2</v>
      </c>
      <c r="BP43" s="55"/>
      <c r="BQ43" s="37">
        <f t="shared" ref="BQ43" si="2173">BP40*$G$43</f>
        <v>2</v>
      </c>
      <c r="BR43" s="55"/>
      <c r="BS43" s="37">
        <f t="shared" ref="BS43" si="2174">BR40*$G$43</f>
        <v>2</v>
      </c>
      <c r="BT43" s="55"/>
      <c r="BU43" s="37">
        <f t="shared" ref="BU43" si="2175">BT40*$G$43</f>
        <v>2</v>
      </c>
      <c r="BV43" s="55"/>
      <c r="BW43" s="37">
        <f t="shared" ref="BW43" si="2176">BV40*$G$43</f>
        <v>2</v>
      </c>
      <c r="BX43" s="55"/>
      <c r="BY43" s="37">
        <f t="shared" ref="BY43" si="2177">BX40*$G$43</f>
        <v>2</v>
      </c>
      <c r="BZ43" s="55"/>
      <c r="CA43" s="37">
        <f t="shared" ref="CA43" si="2178">BZ40*$G$43</f>
        <v>2</v>
      </c>
      <c r="CB43" s="55"/>
      <c r="CC43" s="37">
        <f t="shared" ref="CC43" si="2179">CB40*$G$43</f>
        <v>2</v>
      </c>
      <c r="CD43" s="55"/>
      <c r="CE43" s="37">
        <f t="shared" ref="CE43" si="2180">CD40*$G$43</f>
        <v>2</v>
      </c>
      <c r="CF43" s="55"/>
      <c r="CG43" s="37">
        <f t="shared" ref="CG43" si="2181">CF40*$G$43</f>
        <v>2</v>
      </c>
      <c r="CH43" s="55"/>
      <c r="CI43" s="37">
        <f t="shared" ref="CI43" si="2182">CH40*$G$43</f>
        <v>2</v>
      </c>
      <c r="CJ43" s="55"/>
      <c r="CK43" s="37">
        <f t="shared" ref="CK43" si="2183">CJ40*$G$43</f>
        <v>0</v>
      </c>
      <c r="CL43" s="55"/>
      <c r="CM43" s="37">
        <f t="shared" ref="CM43" si="2184">CL40*$G$43</f>
        <v>0</v>
      </c>
      <c r="CN43" s="55"/>
      <c r="CO43" s="37">
        <f t="shared" ref="CO43" si="2185">CN40*$G$43</f>
        <v>0</v>
      </c>
      <c r="CP43" s="55"/>
      <c r="CQ43" s="37">
        <f t="shared" ref="CQ43" si="2186">CP40*$G$43</f>
        <v>0</v>
      </c>
      <c r="CR43" s="55"/>
      <c r="CS43" s="37">
        <f t="shared" ref="CS43" si="2187">CR40*$G$43</f>
        <v>0</v>
      </c>
      <c r="CT43" s="55"/>
      <c r="CU43" s="37">
        <f t="shared" ref="CU43" si="2188">CT40*$G$43</f>
        <v>0</v>
      </c>
      <c r="CV43" s="55"/>
      <c r="CW43" s="37">
        <f t="shared" ref="CW43" si="2189">CV40*$G$43</f>
        <v>0</v>
      </c>
      <c r="CX43" s="55"/>
      <c r="CY43" s="37">
        <f t="shared" ref="CY43" si="2190">CX40*$G$43</f>
        <v>0</v>
      </c>
      <c r="CZ43" s="55"/>
      <c r="DA43" s="37">
        <f t="shared" ref="DA43" si="2191">CZ40*$G$43</f>
        <v>0</v>
      </c>
      <c r="DB43" s="55"/>
      <c r="DC43" s="37">
        <f t="shared" ref="DC43" si="2192">DB40*$G$43</f>
        <v>0</v>
      </c>
      <c r="DD43" s="55"/>
      <c r="DE43" s="37">
        <f t="shared" ref="DE43" si="2193">DD40*$G$43</f>
        <v>0</v>
      </c>
      <c r="DF43" s="55"/>
      <c r="DG43" s="37">
        <f t="shared" ref="DG43" si="2194">DF40*$G$43</f>
        <v>0</v>
      </c>
      <c r="DH43" s="55"/>
      <c r="DI43" s="37">
        <f t="shared" ref="DI43" si="2195">DH40*$G$43</f>
        <v>0</v>
      </c>
      <c r="DJ43" s="55"/>
      <c r="DK43" s="37">
        <f t="shared" ref="DK43" si="2196">DJ40*$G$43</f>
        <v>0</v>
      </c>
      <c r="DL43" s="55"/>
      <c r="DM43" s="37">
        <f t="shared" ref="DM43" si="2197">DL40*$G$43</f>
        <v>0</v>
      </c>
      <c r="DN43" s="55"/>
      <c r="DO43" s="37">
        <f t="shared" ref="DO43" si="2198">DN40*$G$43</f>
        <v>0</v>
      </c>
      <c r="DP43" s="55"/>
      <c r="DQ43" s="37">
        <f t="shared" ref="DQ43" si="2199">DP40*$G$43</f>
        <v>0</v>
      </c>
      <c r="DR43" s="55"/>
      <c r="DS43" s="37">
        <f t="shared" ref="DS43" si="2200">DR40*$G$43</f>
        <v>0</v>
      </c>
      <c r="DT43" s="55"/>
      <c r="DU43" s="37">
        <f t="shared" ref="DU43" si="2201">DT40*$G$43</f>
        <v>0</v>
      </c>
      <c r="DV43" s="55"/>
      <c r="DW43" s="37">
        <f t="shared" ref="DW43" si="2202">DV40*$G$43</f>
        <v>0</v>
      </c>
      <c r="DX43" s="55"/>
      <c r="DY43" s="37">
        <f t="shared" ref="DY43" si="2203">DX40*$G$43</f>
        <v>0</v>
      </c>
      <c r="DZ43" s="55"/>
      <c r="EA43" s="37">
        <f t="shared" ref="EA43" si="2204">DZ40*$G$43</f>
        <v>0</v>
      </c>
      <c r="EB43" s="55"/>
      <c r="EC43" s="37">
        <f t="shared" ref="EC43" si="2205">EB40*$G$43</f>
        <v>0</v>
      </c>
      <c r="ED43" s="55"/>
      <c r="EE43" s="37">
        <f t="shared" ref="EE43" si="2206">ED40*$G$43</f>
        <v>0</v>
      </c>
      <c r="EF43" s="55"/>
      <c r="EG43" s="37">
        <f t="shared" ref="EG43" si="2207">EF40*$G$43</f>
        <v>0</v>
      </c>
      <c r="EH43" s="55"/>
      <c r="EI43" s="37">
        <f t="shared" ref="EI43" si="2208">EH40*$G$43</f>
        <v>0</v>
      </c>
      <c r="EJ43" s="55"/>
      <c r="EK43" s="37">
        <f t="shared" ref="EK43" si="2209">EJ40*$G$43</f>
        <v>0</v>
      </c>
      <c r="EL43" s="55"/>
      <c r="EM43" s="37">
        <f t="shared" ref="EM43" si="2210">EL40*$G$43</f>
        <v>0</v>
      </c>
      <c r="EN43" s="55"/>
      <c r="EO43" s="37">
        <f t="shared" ref="EO43" si="2211">EN40*$G$43</f>
        <v>0</v>
      </c>
      <c r="EP43" s="55"/>
      <c r="EQ43" s="37">
        <f t="shared" ref="EQ43" si="2212">EP40*$G$43</f>
        <v>0</v>
      </c>
      <c r="ER43" s="55"/>
      <c r="ES43" s="37">
        <f t="shared" ref="ES43" si="2213">ER40*$G$43</f>
        <v>0</v>
      </c>
      <c r="ET43" s="55"/>
      <c r="EU43" s="37">
        <f t="shared" ref="EU43" si="2214">ET40*$G$43</f>
        <v>0</v>
      </c>
      <c r="EV43" s="55"/>
      <c r="EW43" s="37">
        <f t="shared" ref="EW43" si="2215">EV40*$G$43</f>
        <v>0</v>
      </c>
      <c r="EX43" s="55"/>
      <c r="EY43" s="37">
        <f t="shared" ref="EY43" si="2216">EX40*$G$43</f>
        <v>0</v>
      </c>
      <c r="EZ43" s="55"/>
      <c r="FA43" s="37">
        <f t="shared" ref="FA43" si="2217">EZ40*$G$43</f>
        <v>0</v>
      </c>
      <c r="FB43" s="55"/>
      <c r="FC43" s="37">
        <f t="shared" ref="FC43" si="2218">FB40*$G$43</f>
        <v>0</v>
      </c>
      <c r="FD43" s="55"/>
      <c r="FE43" s="37">
        <f t="shared" ref="FE43" si="2219">FD40*$G$43</f>
        <v>0</v>
      </c>
      <c r="FF43" s="55"/>
      <c r="FG43" s="37">
        <f t="shared" ref="FG43" si="2220">FF40*$G$43</f>
        <v>0</v>
      </c>
      <c r="FH43" s="55"/>
      <c r="FI43" s="37">
        <f t="shared" ref="FI43" si="2221">FH40*$G$43</f>
        <v>0</v>
      </c>
      <c r="FJ43" s="55"/>
      <c r="FK43" s="37">
        <f t="shared" ref="FK43" si="2222">FJ40*$G$43</f>
        <v>0</v>
      </c>
      <c r="FL43" s="55"/>
      <c r="FM43" s="37">
        <f t="shared" ref="FM43" si="2223">FL40*$G$43</f>
        <v>0</v>
      </c>
      <c r="FN43" s="55"/>
      <c r="FO43" s="37">
        <f t="shared" ref="FO43" si="2224">FN40*$G$43</f>
        <v>0</v>
      </c>
      <c r="FP43" s="55"/>
      <c r="FQ43" s="37">
        <f t="shared" ref="FQ43" si="2225">FP40*$G$43</f>
        <v>0</v>
      </c>
    </row>
    <row r="44" spans="1:174" x14ac:dyDescent="0.35">
      <c r="A44" s="13" t="s">
        <v>129</v>
      </c>
      <c r="B44" s="13">
        <v>913</v>
      </c>
      <c r="C44" s="13" t="s">
        <v>13</v>
      </c>
      <c r="D44" s="13" t="s">
        <v>136</v>
      </c>
      <c r="E44" s="13" t="s">
        <v>26</v>
      </c>
      <c r="F44" s="13">
        <v>5</v>
      </c>
      <c r="G44" s="13">
        <v>1</v>
      </c>
      <c r="H44" s="55"/>
      <c r="I44" s="13">
        <f t="shared" ref="I44" si="2226">H40*G44</f>
        <v>52</v>
      </c>
      <c r="J44" s="55"/>
      <c r="K44" s="37">
        <f>J40*$G$44</f>
        <v>2</v>
      </c>
      <c r="L44" s="55"/>
      <c r="M44" s="37">
        <f t="shared" ref="M44" si="2227">L40*$G$44</f>
        <v>2</v>
      </c>
      <c r="N44" s="55"/>
      <c r="O44" s="37">
        <f t="shared" ref="O44" si="2228">N40*$G$44</f>
        <v>2</v>
      </c>
      <c r="P44" s="55"/>
      <c r="Q44" s="37">
        <f t="shared" ref="Q44" si="2229">P40*$G$44</f>
        <v>2</v>
      </c>
      <c r="R44" s="55"/>
      <c r="S44" s="37">
        <f t="shared" ref="S44" si="2230">R40*$G$44</f>
        <v>2</v>
      </c>
      <c r="T44" s="55"/>
      <c r="U44" s="37">
        <f t="shared" ref="U44" si="2231">T40*$G$44</f>
        <v>2</v>
      </c>
      <c r="V44" s="55"/>
      <c r="W44" s="37">
        <f t="shared" ref="W44" si="2232">V40*$G$44</f>
        <v>2</v>
      </c>
      <c r="X44" s="55"/>
      <c r="Y44" s="37">
        <f t="shared" ref="Y44" si="2233">X40*$G$44</f>
        <v>2</v>
      </c>
      <c r="Z44" s="55"/>
      <c r="AA44" s="37">
        <f t="shared" ref="AA44" si="2234">Z40*$G$44</f>
        <v>2</v>
      </c>
      <c r="AB44" s="55"/>
      <c r="AC44" s="37">
        <f t="shared" ref="AC44" si="2235">AB40*$G$44</f>
        <v>2</v>
      </c>
      <c r="AD44" s="55"/>
      <c r="AE44" s="37">
        <f t="shared" ref="AE44" si="2236">AD40*$G$44</f>
        <v>2</v>
      </c>
      <c r="AF44" s="55"/>
      <c r="AG44" s="37">
        <f t="shared" ref="AG44" si="2237">AF40*$G$44</f>
        <v>2</v>
      </c>
      <c r="AH44" s="55"/>
      <c r="AI44" s="37">
        <f t="shared" ref="AI44" si="2238">AH40*$G$44</f>
        <v>2</v>
      </c>
      <c r="AJ44" s="55"/>
      <c r="AK44" s="37">
        <f t="shared" ref="AK44" si="2239">AJ40*$G$44</f>
        <v>1</v>
      </c>
      <c r="AL44" s="55"/>
      <c r="AM44" s="37">
        <f t="shared" ref="AM44" si="2240">AL40*$G$44</f>
        <v>1</v>
      </c>
      <c r="AN44" s="55"/>
      <c r="AO44" s="37">
        <f t="shared" ref="AO44" si="2241">AN40*$G$44</f>
        <v>1</v>
      </c>
      <c r="AP44" s="55"/>
      <c r="AQ44" s="37">
        <f t="shared" ref="AQ44" si="2242">AP40*$G$44</f>
        <v>1</v>
      </c>
      <c r="AR44" s="55"/>
      <c r="AS44" s="37">
        <f t="shared" ref="AS44" si="2243">AR40*$G$44</f>
        <v>1</v>
      </c>
      <c r="AT44" s="55"/>
      <c r="AU44" s="37">
        <f t="shared" ref="AU44" si="2244">AT40*$G$44</f>
        <v>1</v>
      </c>
      <c r="AV44" s="55"/>
      <c r="AW44" s="37">
        <f t="shared" ref="AW44" si="2245">AV40*$G$44</f>
        <v>1</v>
      </c>
      <c r="AX44" s="55"/>
      <c r="AY44" s="37">
        <f t="shared" ref="AY44" si="2246">AX40*$G$44</f>
        <v>1</v>
      </c>
      <c r="AZ44" s="55"/>
      <c r="BA44" s="37">
        <f t="shared" ref="BA44" si="2247">AZ40*$G$44</f>
        <v>1</v>
      </c>
      <c r="BB44" s="55"/>
      <c r="BC44" s="37">
        <f t="shared" ref="BC44" si="2248">BB40*$G$44</f>
        <v>1</v>
      </c>
      <c r="BD44" s="55"/>
      <c r="BE44" s="37">
        <f t="shared" ref="BE44" si="2249">BD40*$G$44</f>
        <v>1</v>
      </c>
      <c r="BF44" s="55"/>
      <c r="BG44" s="37">
        <f t="shared" ref="BG44" si="2250">BF40*$G$44</f>
        <v>1</v>
      </c>
      <c r="BH44" s="55"/>
      <c r="BI44" s="37">
        <f t="shared" ref="BI44" si="2251">BH40*$G$44</f>
        <v>1</v>
      </c>
      <c r="BJ44" s="55"/>
      <c r="BK44" s="37">
        <f t="shared" ref="BK44" si="2252">BJ40*$G$44</f>
        <v>1</v>
      </c>
      <c r="BL44" s="55"/>
      <c r="BM44" s="37">
        <f t="shared" ref="BM44" si="2253">BL40*$G$44</f>
        <v>1</v>
      </c>
      <c r="BN44" s="55"/>
      <c r="BO44" s="37">
        <f t="shared" ref="BO44" si="2254">BN40*$G$44</f>
        <v>1</v>
      </c>
      <c r="BP44" s="55"/>
      <c r="BQ44" s="37">
        <f t="shared" ref="BQ44" si="2255">BP40*$G$44</f>
        <v>1</v>
      </c>
      <c r="BR44" s="55"/>
      <c r="BS44" s="37">
        <f t="shared" ref="BS44" si="2256">BR40*$G$44</f>
        <v>1</v>
      </c>
      <c r="BT44" s="55"/>
      <c r="BU44" s="37">
        <f t="shared" ref="BU44" si="2257">BT40*$G$44</f>
        <v>1</v>
      </c>
      <c r="BV44" s="55"/>
      <c r="BW44" s="37">
        <f t="shared" ref="BW44" si="2258">BV40*$G$44</f>
        <v>1</v>
      </c>
      <c r="BX44" s="55"/>
      <c r="BY44" s="37">
        <f t="shared" ref="BY44" si="2259">BX40*$G$44</f>
        <v>1</v>
      </c>
      <c r="BZ44" s="55"/>
      <c r="CA44" s="37">
        <f t="shared" ref="CA44" si="2260">BZ40*$G$44</f>
        <v>1</v>
      </c>
      <c r="CB44" s="55"/>
      <c r="CC44" s="37">
        <f t="shared" ref="CC44" si="2261">CB40*$G$44</f>
        <v>1</v>
      </c>
      <c r="CD44" s="55"/>
      <c r="CE44" s="37">
        <f t="shared" ref="CE44" si="2262">CD40*$G$44</f>
        <v>1</v>
      </c>
      <c r="CF44" s="55"/>
      <c r="CG44" s="37">
        <f t="shared" ref="CG44" si="2263">CF40*$G$44</f>
        <v>1</v>
      </c>
      <c r="CH44" s="55"/>
      <c r="CI44" s="37">
        <f t="shared" ref="CI44" si="2264">CH40*$G$44</f>
        <v>1</v>
      </c>
      <c r="CJ44" s="55"/>
      <c r="CK44" s="37">
        <f t="shared" ref="CK44" si="2265">CJ40*$G$44</f>
        <v>0</v>
      </c>
      <c r="CL44" s="55"/>
      <c r="CM44" s="37">
        <f t="shared" ref="CM44" si="2266">CL40*$G$44</f>
        <v>0</v>
      </c>
      <c r="CN44" s="55"/>
      <c r="CO44" s="37">
        <f t="shared" ref="CO44" si="2267">CN40*$G$44</f>
        <v>0</v>
      </c>
      <c r="CP44" s="55"/>
      <c r="CQ44" s="37">
        <f t="shared" ref="CQ44" si="2268">CP40*$G$44</f>
        <v>0</v>
      </c>
      <c r="CR44" s="55"/>
      <c r="CS44" s="37">
        <f t="shared" ref="CS44" si="2269">CR40*$G$44</f>
        <v>0</v>
      </c>
      <c r="CT44" s="55"/>
      <c r="CU44" s="37">
        <f t="shared" ref="CU44" si="2270">CT40*$G$44</f>
        <v>0</v>
      </c>
      <c r="CV44" s="55"/>
      <c r="CW44" s="37">
        <f t="shared" ref="CW44" si="2271">CV40*$G$44</f>
        <v>0</v>
      </c>
      <c r="CX44" s="55"/>
      <c r="CY44" s="37">
        <f t="shared" ref="CY44" si="2272">CX40*$G$44</f>
        <v>0</v>
      </c>
      <c r="CZ44" s="55"/>
      <c r="DA44" s="37">
        <f t="shared" ref="DA44" si="2273">CZ40*$G$44</f>
        <v>0</v>
      </c>
      <c r="DB44" s="55"/>
      <c r="DC44" s="37">
        <f t="shared" ref="DC44" si="2274">DB40*$G$44</f>
        <v>0</v>
      </c>
      <c r="DD44" s="55"/>
      <c r="DE44" s="37">
        <f t="shared" ref="DE44" si="2275">DD40*$G$44</f>
        <v>0</v>
      </c>
      <c r="DF44" s="55"/>
      <c r="DG44" s="37">
        <f t="shared" ref="DG44" si="2276">DF40*$G$44</f>
        <v>0</v>
      </c>
      <c r="DH44" s="55"/>
      <c r="DI44" s="37">
        <f t="shared" ref="DI44" si="2277">DH40*$G$44</f>
        <v>0</v>
      </c>
      <c r="DJ44" s="55"/>
      <c r="DK44" s="37">
        <f t="shared" ref="DK44" si="2278">DJ40*$G$44</f>
        <v>0</v>
      </c>
      <c r="DL44" s="55"/>
      <c r="DM44" s="37">
        <f t="shared" ref="DM44" si="2279">DL40*$G$44</f>
        <v>0</v>
      </c>
      <c r="DN44" s="55"/>
      <c r="DO44" s="37">
        <f t="shared" ref="DO44" si="2280">DN40*$G$44</f>
        <v>0</v>
      </c>
      <c r="DP44" s="55"/>
      <c r="DQ44" s="37">
        <f t="shared" ref="DQ44" si="2281">DP40*$G$44</f>
        <v>0</v>
      </c>
      <c r="DR44" s="55"/>
      <c r="DS44" s="37">
        <f t="shared" ref="DS44" si="2282">DR40*$G$44</f>
        <v>0</v>
      </c>
      <c r="DT44" s="55"/>
      <c r="DU44" s="37">
        <f t="shared" ref="DU44" si="2283">DT40*$G$44</f>
        <v>0</v>
      </c>
      <c r="DV44" s="55"/>
      <c r="DW44" s="37">
        <f t="shared" ref="DW44" si="2284">DV40*$G$44</f>
        <v>0</v>
      </c>
      <c r="DX44" s="55"/>
      <c r="DY44" s="37">
        <f t="shared" ref="DY44" si="2285">DX40*$G$44</f>
        <v>0</v>
      </c>
      <c r="DZ44" s="55"/>
      <c r="EA44" s="37">
        <f t="shared" ref="EA44" si="2286">DZ40*$G$44</f>
        <v>0</v>
      </c>
      <c r="EB44" s="55"/>
      <c r="EC44" s="37">
        <f t="shared" ref="EC44" si="2287">EB40*$G$44</f>
        <v>0</v>
      </c>
      <c r="ED44" s="55"/>
      <c r="EE44" s="37">
        <f t="shared" ref="EE44" si="2288">ED40*$G$44</f>
        <v>0</v>
      </c>
      <c r="EF44" s="55"/>
      <c r="EG44" s="37">
        <f t="shared" ref="EG44" si="2289">EF40*$G$44</f>
        <v>0</v>
      </c>
      <c r="EH44" s="55"/>
      <c r="EI44" s="37">
        <f t="shared" ref="EI44" si="2290">EH40*$G$44</f>
        <v>0</v>
      </c>
      <c r="EJ44" s="55"/>
      <c r="EK44" s="37">
        <f t="shared" ref="EK44" si="2291">EJ40*$G$44</f>
        <v>0</v>
      </c>
      <c r="EL44" s="55"/>
      <c r="EM44" s="37">
        <f t="shared" ref="EM44" si="2292">EL40*$G$44</f>
        <v>0</v>
      </c>
      <c r="EN44" s="55"/>
      <c r="EO44" s="37">
        <f t="shared" ref="EO44" si="2293">EN40*$G$44</f>
        <v>0</v>
      </c>
      <c r="EP44" s="55"/>
      <c r="EQ44" s="37">
        <f t="shared" ref="EQ44" si="2294">EP40*$G$44</f>
        <v>0</v>
      </c>
      <c r="ER44" s="55"/>
      <c r="ES44" s="37">
        <f t="shared" ref="ES44" si="2295">ER40*$G$44</f>
        <v>0</v>
      </c>
      <c r="ET44" s="55"/>
      <c r="EU44" s="37">
        <f t="shared" ref="EU44" si="2296">ET40*$G$44</f>
        <v>0</v>
      </c>
      <c r="EV44" s="55"/>
      <c r="EW44" s="37">
        <f t="shared" ref="EW44" si="2297">EV40*$G$44</f>
        <v>0</v>
      </c>
      <c r="EX44" s="55"/>
      <c r="EY44" s="37">
        <f t="shared" ref="EY44" si="2298">EX40*$G$44</f>
        <v>0</v>
      </c>
      <c r="EZ44" s="55"/>
      <c r="FA44" s="37">
        <f t="shared" ref="FA44" si="2299">EZ40*$G$44</f>
        <v>0</v>
      </c>
      <c r="FB44" s="55"/>
      <c r="FC44" s="37">
        <f t="shared" ref="FC44" si="2300">FB40*$G$44</f>
        <v>0</v>
      </c>
      <c r="FD44" s="55"/>
      <c r="FE44" s="37">
        <f t="shared" ref="FE44" si="2301">FD40*$G$44</f>
        <v>0</v>
      </c>
      <c r="FF44" s="55"/>
      <c r="FG44" s="37">
        <f t="shared" ref="FG44" si="2302">FF40*$G$44</f>
        <v>0</v>
      </c>
      <c r="FH44" s="55"/>
      <c r="FI44" s="37">
        <f t="shared" ref="FI44" si="2303">FH40*$G$44</f>
        <v>0</v>
      </c>
      <c r="FJ44" s="55"/>
      <c r="FK44" s="37">
        <f t="shared" ref="FK44" si="2304">FJ40*$G$44</f>
        <v>0</v>
      </c>
      <c r="FL44" s="55"/>
      <c r="FM44" s="37">
        <f t="shared" ref="FM44" si="2305">FL40*$G$44</f>
        <v>0</v>
      </c>
      <c r="FN44" s="55"/>
      <c r="FO44" s="37">
        <f t="shared" ref="FO44" si="2306">FN40*$G$44</f>
        <v>0</v>
      </c>
      <c r="FP44" s="55"/>
      <c r="FQ44" s="37">
        <f t="shared" ref="FQ44" si="2307">FP40*$G$44</f>
        <v>0</v>
      </c>
    </row>
    <row r="45" spans="1:174" x14ac:dyDescent="0.35">
      <c r="A45" s="13" t="s">
        <v>129</v>
      </c>
      <c r="B45" s="13">
        <v>913</v>
      </c>
      <c r="C45" s="13" t="s">
        <v>13</v>
      </c>
      <c r="D45" s="13" t="s">
        <v>136</v>
      </c>
      <c r="E45" s="13" t="s">
        <v>27</v>
      </c>
      <c r="F45" s="13">
        <v>6</v>
      </c>
      <c r="G45" s="13">
        <v>0</v>
      </c>
      <c r="H45" s="55"/>
      <c r="I45" s="13">
        <f t="shared" ref="I45" si="2308">H40*G45</f>
        <v>0</v>
      </c>
      <c r="J45" s="55"/>
      <c r="K45" s="37">
        <f>J40*$G$45</f>
        <v>0</v>
      </c>
      <c r="L45" s="55"/>
      <c r="M45" s="37">
        <f t="shared" ref="M45" si="2309">L40*$G$45</f>
        <v>0</v>
      </c>
      <c r="N45" s="55"/>
      <c r="O45" s="37">
        <f t="shared" ref="O45" si="2310">N40*$G$45</f>
        <v>0</v>
      </c>
      <c r="P45" s="55"/>
      <c r="Q45" s="37">
        <f t="shared" ref="Q45" si="2311">P40*$G$45</f>
        <v>0</v>
      </c>
      <c r="R45" s="55"/>
      <c r="S45" s="37">
        <f t="shared" ref="S45" si="2312">R40*$G$45</f>
        <v>0</v>
      </c>
      <c r="T45" s="55"/>
      <c r="U45" s="37">
        <f t="shared" ref="U45" si="2313">T40*$G$45</f>
        <v>0</v>
      </c>
      <c r="V45" s="55"/>
      <c r="W45" s="37">
        <f t="shared" ref="W45" si="2314">V40*$G$45</f>
        <v>0</v>
      </c>
      <c r="X45" s="55"/>
      <c r="Y45" s="37">
        <f t="shared" ref="Y45" si="2315">X40*$G$45</f>
        <v>0</v>
      </c>
      <c r="Z45" s="55"/>
      <c r="AA45" s="37">
        <f t="shared" ref="AA45" si="2316">Z40*$G$45</f>
        <v>0</v>
      </c>
      <c r="AB45" s="55"/>
      <c r="AC45" s="37">
        <f t="shared" ref="AC45" si="2317">AB40*$G$45</f>
        <v>0</v>
      </c>
      <c r="AD45" s="55"/>
      <c r="AE45" s="37">
        <f t="shared" ref="AE45" si="2318">AD40*$G$45</f>
        <v>0</v>
      </c>
      <c r="AF45" s="55"/>
      <c r="AG45" s="37">
        <f t="shared" ref="AG45" si="2319">AF40*$G$45</f>
        <v>0</v>
      </c>
      <c r="AH45" s="55"/>
      <c r="AI45" s="37">
        <f t="shared" ref="AI45" si="2320">AH40*$G$45</f>
        <v>0</v>
      </c>
      <c r="AJ45" s="55"/>
      <c r="AK45" s="37">
        <f t="shared" ref="AK45" si="2321">AJ40*$G$45</f>
        <v>0</v>
      </c>
      <c r="AL45" s="55"/>
      <c r="AM45" s="37">
        <f t="shared" ref="AM45" si="2322">AL40*$G$45</f>
        <v>0</v>
      </c>
      <c r="AN45" s="55"/>
      <c r="AO45" s="37">
        <f t="shared" ref="AO45" si="2323">AN40*$G$45</f>
        <v>0</v>
      </c>
      <c r="AP45" s="55"/>
      <c r="AQ45" s="37">
        <f t="shared" ref="AQ45" si="2324">AP40*$G$45</f>
        <v>0</v>
      </c>
      <c r="AR45" s="55"/>
      <c r="AS45" s="37">
        <f t="shared" ref="AS45" si="2325">AR40*$G$45</f>
        <v>0</v>
      </c>
      <c r="AT45" s="55"/>
      <c r="AU45" s="37">
        <f t="shared" ref="AU45" si="2326">AT40*$G$45</f>
        <v>0</v>
      </c>
      <c r="AV45" s="55"/>
      <c r="AW45" s="37">
        <f t="shared" ref="AW45" si="2327">AV40*$G$45</f>
        <v>0</v>
      </c>
      <c r="AX45" s="55"/>
      <c r="AY45" s="37">
        <f t="shared" ref="AY45" si="2328">AX40*$G$45</f>
        <v>0</v>
      </c>
      <c r="AZ45" s="55"/>
      <c r="BA45" s="37">
        <f t="shared" ref="BA45" si="2329">AZ40*$G$45</f>
        <v>0</v>
      </c>
      <c r="BB45" s="55"/>
      <c r="BC45" s="37">
        <f t="shared" ref="BC45" si="2330">BB40*$G$45</f>
        <v>0</v>
      </c>
      <c r="BD45" s="55"/>
      <c r="BE45" s="37">
        <f t="shared" ref="BE45" si="2331">BD40*$G$45</f>
        <v>0</v>
      </c>
      <c r="BF45" s="55"/>
      <c r="BG45" s="37">
        <f t="shared" ref="BG45" si="2332">BF40*$G$45</f>
        <v>0</v>
      </c>
      <c r="BH45" s="55"/>
      <c r="BI45" s="37">
        <f t="shared" ref="BI45" si="2333">BH40*$G$45</f>
        <v>0</v>
      </c>
      <c r="BJ45" s="55"/>
      <c r="BK45" s="37">
        <f t="shared" ref="BK45" si="2334">BJ40*$G$45</f>
        <v>0</v>
      </c>
      <c r="BL45" s="55"/>
      <c r="BM45" s="37">
        <f t="shared" ref="BM45" si="2335">BL40*$G$45</f>
        <v>0</v>
      </c>
      <c r="BN45" s="55"/>
      <c r="BO45" s="37">
        <f t="shared" ref="BO45" si="2336">BN40*$G$45</f>
        <v>0</v>
      </c>
      <c r="BP45" s="55"/>
      <c r="BQ45" s="37">
        <f t="shared" ref="BQ45" si="2337">BP40*$G$45</f>
        <v>0</v>
      </c>
      <c r="BR45" s="55"/>
      <c r="BS45" s="37">
        <f t="shared" ref="BS45" si="2338">BR40*$G$45</f>
        <v>0</v>
      </c>
      <c r="BT45" s="55"/>
      <c r="BU45" s="37">
        <f t="shared" ref="BU45" si="2339">BT40*$G$45</f>
        <v>0</v>
      </c>
      <c r="BV45" s="55"/>
      <c r="BW45" s="37">
        <f t="shared" ref="BW45" si="2340">BV40*$G$45</f>
        <v>0</v>
      </c>
      <c r="BX45" s="55"/>
      <c r="BY45" s="37">
        <f t="shared" ref="BY45" si="2341">BX40*$G$45</f>
        <v>0</v>
      </c>
      <c r="BZ45" s="55"/>
      <c r="CA45" s="37">
        <f t="shared" ref="CA45" si="2342">BZ40*$G$45</f>
        <v>0</v>
      </c>
      <c r="CB45" s="55"/>
      <c r="CC45" s="37">
        <f t="shared" ref="CC45" si="2343">CB40*$G$45</f>
        <v>0</v>
      </c>
      <c r="CD45" s="55"/>
      <c r="CE45" s="37">
        <f t="shared" ref="CE45" si="2344">CD40*$G$45</f>
        <v>0</v>
      </c>
      <c r="CF45" s="55"/>
      <c r="CG45" s="37">
        <f t="shared" ref="CG45" si="2345">CF40*$G$45</f>
        <v>0</v>
      </c>
      <c r="CH45" s="55"/>
      <c r="CI45" s="37">
        <f t="shared" ref="CI45" si="2346">CH40*$G$45</f>
        <v>0</v>
      </c>
      <c r="CJ45" s="55"/>
      <c r="CK45" s="37">
        <f t="shared" ref="CK45" si="2347">CJ40*$G$45</f>
        <v>0</v>
      </c>
      <c r="CL45" s="55"/>
      <c r="CM45" s="37">
        <f t="shared" ref="CM45" si="2348">CL40*$G$45</f>
        <v>0</v>
      </c>
      <c r="CN45" s="55"/>
      <c r="CO45" s="37">
        <f t="shared" ref="CO45" si="2349">CN40*$G$45</f>
        <v>0</v>
      </c>
      <c r="CP45" s="55"/>
      <c r="CQ45" s="37">
        <f t="shared" ref="CQ45" si="2350">CP40*$G$45</f>
        <v>0</v>
      </c>
      <c r="CR45" s="55"/>
      <c r="CS45" s="37">
        <f t="shared" ref="CS45" si="2351">CR40*$G$45</f>
        <v>0</v>
      </c>
      <c r="CT45" s="55"/>
      <c r="CU45" s="37">
        <f t="shared" ref="CU45" si="2352">CT40*$G$45</f>
        <v>0</v>
      </c>
      <c r="CV45" s="55"/>
      <c r="CW45" s="37">
        <f t="shared" ref="CW45" si="2353">CV40*$G$45</f>
        <v>0</v>
      </c>
      <c r="CX45" s="55"/>
      <c r="CY45" s="37">
        <f t="shared" ref="CY45" si="2354">CX40*$G$45</f>
        <v>0</v>
      </c>
      <c r="CZ45" s="55"/>
      <c r="DA45" s="37">
        <f t="shared" ref="DA45" si="2355">CZ40*$G$45</f>
        <v>0</v>
      </c>
      <c r="DB45" s="55"/>
      <c r="DC45" s="37">
        <f t="shared" ref="DC45" si="2356">DB40*$G$45</f>
        <v>0</v>
      </c>
      <c r="DD45" s="55"/>
      <c r="DE45" s="37">
        <f t="shared" ref="DE45" si="2357">DD40*$G$45</f>
        <v>0</v>
      </c>
      <c r="DF45" s="55"/>
      <c r="DG45" s="37">
        <f t="shared" ref="DG45" si="2358">DF40*$G$45</f>
        <v>0</v>
      </c>
      <c r="DH45" s="55"/>
      <c r="DI45" s="37">
        <f t="shared" ref="DI45" si="2359">DH40*$G$45</f>
        <v>0</v>
      </c>
      <c r="DJ45" s="55"/>
      <c r="DK45" s="37">
        <f t="shared" ref="DK45" si="2360">DJ40*$G$45</f>
        <v>0</v>
      </c>
      <c r="DL45" s="55"/>
      <c r="DM45" s="37">
        <f t="shared" ref="DM45" si="2361">DL40*$G$45</f>
        <v>0</v>
      </c>
      <c r="DN45" s="55"/>
      <c r="DO45" s="37">
        <f t="shared" ref="DO45" si="2362">DN40*$G$45</f>
        <v>0</v>
      </c>
      <c r="DP45" s="55"/>
      <c r="DQ45" s="37">
        <f t="shared" ref="DQ45" si="2363">DP40*$G$45</f>
        <v>0</v>
      </c>
      <c r="DR45" s="55"/>
      <c r="DS45" s="37">
        <f t="shared" ref="DS45" si="2364">DR40*$G$45</f>
        <v>0</v>
      </c>
      <c r="DT45" s="55"/>
      <c r="DU45" s="37">
        <f t="shared" ref="DU45" si="2365">DT40*$G$45</f>
        <v>0</v>
      </c>
      <c r="DV45" s="55"/>
      <c r="DW45" s="37">
        <f t="shared" ref="DW45" si="2366">DV40*$G$45</f>
        <v>0</v>
      </c>
      <c r="DX45" s="55"/>
      <c r="DY45" s="37">
        <f t="shared" ref="DY45" si="2367">DX40*$G$45</f>
        <v>0</v>
      </c>
      <c r="DZ45" s="55"/>
      <c r="EA45" s="37">
        <f t="shared" ref="EA45" si="2368">DZ40*$G$45</f>
        <v>0</v>
      </c>
      <c r="EB45" s="55"/>
      <c r="EC45" s="37">
        <f t="shared" ref="EC45" si="2369">EB40*$G$45</f>
        <v>0</v>
      </c>
      <c r="ED45" s="55"/>
      <c r="EE45" s="37">
        <f t="shared" ref="EE45" si="2370">ED40*$G$45</f>
        <v>0</v>
      </c>
      <c r="EF45" s="55"/>
      <c r="EG45" s="37">
        <f t="shared" ref="EG45" si="2371">EF40*$G$45</f>
        <v>0</v>
      </c>
      <c r="EH45" s="55"/>
      <c r="EI45" s="37">
        <f t="shared" ref="EI45" si="2372">EH40*$G$45</f>
        <v>0</v>
      </c>
      <c r="EJ45" s="55"/>
      <c r="EK45" s="37">
        <f t="shared" ref="EK45" si="2373">EJ40*$G$45</f>
        <v>0</v>
      </c>
      <c r="EL45" s="55"/>
      <c r="EM45" s="37">
        <f t="shared" ref="EM45" si="2374">EL40*$G$45</f>
        <v>0</v>
      </c>
      <c r="EN45" s="55"/>
      <c r="EO45" s="37">
        <f t="shared" ref="EO45" si="2375">EN40*$G$45</f>
        <v>0</v>
      </c>
      <c r="EP45" s="55"/>
      <c r="EQ45" s="37">
        <f t="shared" ref="EQ45" si="2376">EP40*$G$45</f>
        <v>0</v>
      </c>
      <c r="ER45" s="55"/>
      <c r="ES45" s="37">
        <f t="shared" ref="ES45" si="2377">ER40*$G$45</f>
        <v>0</v>
      </c>
      <c r="ET45" s="55"/>
      <c r="EU45" s="37">
        <f t="shared" ref="EU45" si="2378">ET40*$G$45</f>
        <v>0</v>
      </c>
      <c r="EV45" s="55"/>
      <c r="EW45" s="37">
        <f t="shared" ref="EW45" si="2379">EV40*$G$45</f>
        <v>0</v>
      </c>
      <c r="EX45" s="55"/>
      <c r="EY45" s="37">
        <f t="shared" ref="EY45" si="2380">EX40*$G$45</f>
        <v>0</v>
      </c>
      <c r="EZ45" s="55"/>
      <c r="FA45" s="37">
        <f t="shared" ref="FA45" si="2381">EZ40*$G$45</f>
        <v>0</v>
      </c>
      <c r="FB45" s="55"/>
      <c r="FC45" s="37">
        <f t="shared" ref="FC45" si="2382">FB40*$G$45</f>
        <v>0</v>
      </c>
      <c r="FD45" s="55"/>
      <c r="FE45" s="37">
        <f t="shared" ref="FE45" si="2383">FD40*$G$45</f>
        <v>0</v>
      </c>
      <c r="FF45" s="55"/>
      <c r="FG45" s="37">
        <f t="shared" ref="FG45" si="2384">FF40*$G$45</f>
        <v>0</v>
      </c>
      <c r="FH45" s="55"/>
      <c r="FI45" s="37">
        <f t="shared" ref="FI45" si="2385">FH40*$G$45</f>
        <v>0</v>
      </c>
      <c r="FJ45" s="55"/>
      <c r="FK45" s="37">
        <f t="shared" ref="FK45" si="2386">FJ40*$G$45</f>
        <v>0</v>
      </c>
      <c r="FL45" s="55"/>
      <c r="FM45" s="37">
        <f t="shared" ref="FM45" si="2387">FL40*$G$45</f>
        <v>0</v>
      </c>
      <c r="FN45" s="55"/>
      <c r="FO45" s="37">
        <f t="shared" ref="FO45" si="2388">FN40*$G$45</f>
        <v>0</v>
      </c>
      <c r="FP45" s="55"/>
      <c r="FQ45" s="37">
        <f t="shared" ref="FQ45" si="2389">FP40*$G$45</f>
        <v>0</v>
      </c>
    </row>
    <row r="46" spans="1:174" x14ac:dyDescent="0.35">
      <c r="A46" s="14" t="s">
        <v>137</v>
      </c>
      <c r="B46" s="14">
        <v>913</v>
      </c>
      <c r="C46" s="14" t="s">
        <v>94</v>
      </c>
      <c r="D46" s="14" t="s">
        <v>144</v>
      </c>
      <c r="E46" s="14" t="s">
        <v>138</v>
      </c>
      <c r="F46" s="14">
        <v>1</v>
      </c>
      <c r="G46" s="14">
        <v>0</v>
      </c>
      <c r="H46" s="47">
        <v>160</v>
      </c>
      <c r="I46" s="14">
        <f t="shared" ref="I46" si="2390">H46*G46</f>
        <v>0</v>
      </c>
      <c r="J46" s="47">
        <v>5</v>
      </c>
      <c r="K46" s="38">
        <f>J46*$G$46</f>
        <v>0</v>
      </c>
      <c r="L46" s="47">
        <v>5</v>
      </c>
      <c r="M46" s="38">
        <f t="shared" ref="M46" si="2391">L46*$G$46</f>
        <v>0</v>
      </c>
      <c r="N46" s="47">
        <v>5</v>
      </c>
      <c r="O46" s="38">
        <f t="shared" ref="O46" si="2392">N46*$G$46</f>
        <v>0</v>
      </c>
      <c r="P46" s="47">
        <v>5</v>
      </c>
      <c r="Q46" s="38">
        <f t="shared" ref="Q46" si="2393">P46*$G$46</f>
        <v>0</v>
      </c>
      <c r="R46" s="47">
        <v>5</v>
      </c>
      <c r="S46" s="38">
        <f t="shared" ref="S46" si="2394">R46*$G$46</f>
        <v>0</v>
      </c>
      <c r="T46" s="47">
        <v>5</v>
      </c>
      <c r="U46" s="38">
        <f t="shared" ref="U46" si="2395">T46*$G$46</f>
        <v>0</v>
      </c>
      <c r="V46" s="47">
        <v>5</v>
      </c>
      <c r="W46" s="38">
        <f t="shared" ref="W46" si="2396">V46*$G$46</f>
        <v>0</v>
      </c>
      <c r="X46" s="47">
        <v>5</v>
      </c>
      <c r="Y46" s="38">
        <f t="shared" ref="Y46" si="2397">X46*$G$46</f>
        <v>0</v>
      </c>
      <c r="Z46" s="47">
        <v>5</v>
      </c>
      <c r="AA46" s="38">
        <f t="shared" ref="AA46" si="2398">Z46*$G$46</f>
        <v>0</v>
      </c>
      <c r="AB46" s="47">
        <v>4</v>
      </c>
      <c r="AC46" s="38">
        <f t="shared" ref="AC46" si="2399">AB46*$G$46</f>
        <v>0</v>
      </c>
      <c r="AD46" s="47">
        <v>4</v>
      </c>
      <c r="AE46" s="38">
        <f t="shared" ref="AE46" si="2400">AD46*$G$46</f>
        <v>0</v>
      </c>
      <c r="AF46" s="47">
        <v>4</v>
      </c>
      <c r="AG46" s="38">
        <f t="shared" ref="AG46" si="2401">AF46*$G$46</f>
        <v>0</v>
      </c>
      <c r="AH46" s="47">
        <v>4</v>
      </c>
      <c r="AI46" s="38">
        <f t="shared" ref="AI46" si="2402">AH46*$G$46</f>
        <v>0</v>
      </c>
      <c r="AJ46" s="47">
        <v>2</v>
      </c>
      <c r="AK46" s="38">
        <f t="shared" ref="AK46" si="2403">AJ46*$G$46</f>
        <v>0</v>
      </c>
      <c r="AL46" s="47">
        <v>2</v>
      </c>
      <c r="AM46" s="38">
        <f t="shared" ref="AM46" si="2404">AL46*$G$46</f>
        <v>0</v>
      </c>
      <c r="AN46" s="47">
        <v>2</v>
      </c>
      <c r="AO46" s="38">
        <f t="shared" ref="AO46" si="2405">AN46*$G$46</f>
        <v>0</v>
      </c>
      <c r="AP46" s="47">
        <v>2</v>
      </c>
      <c r="AQ46" s="38">
        <f t="shared" ref="AQ46" si="2406">AP46*$G$46</f>
        <v>0</v>
      </c>
      <c r="AR46" s="47">
        <v>2</v>
      </c>
      <c r="AS46" s="38">
        <f t="shared" ref="AS46" si="2407">AR46*$G$46</f>
        <v>0</v>
      </c>
      <c r="AT46" s="47">
        <v>2</v>
      </c>
      <c r="AU46" s="38">
        <f t="shared" ref="AU46" si="2408">AT46*$G$46</f>
        <v>0</v>
      </c>
      <c r="AV46" s="47">
        <v>2</v>
      </c>
      <c r="AW46" s="38">
        <f t="shared" ref="AW46" si="2409">AV46*$G$46</f>
        <v>0</v>
      </c>
      <c r="AX46" s="47">
        <v>2</v>
      </c>
      <c r="AY46" s="38">
        <f t="shared" ref="AY46" si="2410">AX46*$G$46</f>
        <v>0</v>
      </c>
      <c r="AZ46" s="47">
        <v>2</v>
      </c>
      <c r="BA46" s="38">
        <f t="shared" ref="BA46" si="2411">AZ46*$G$46</f>
        <v>0</v>
      </c>
      <c r="BB46" s="47">
        <v>2</v>
      </c>
      <c r="BC46" s="38">
        <f t="shared" ref="BC46" si="2412">BB46*$G$46</f>
        <v>0</v>
      </c>
      <c r="BD46" s="47">
        <v>2</v>
      </c>
      <c r="BE46" s="38">
        <f t="shared" ref="BE46" si="2413">BD46*$G$46</f>
        <v>0</v>
      </c>
      <c r="BF46" s="47">
        <v>2</v>
      </c>
      <c r="BG46" s="38">
        <f t="shared" ref="BG46" si="2414">BF46*$G$46</f>
        <v>0</v>
      </c>
      <c r="BH46" s="47">
        <v>2</v>
      </c>
      <c r="BI46" s="38">
        <f t="shared" ref="BI46" si="2415">BH46*$G$46</f>
        <v>0</v>
      </c>
      <c r="BJ46" s="47">
        <v>2</v>
      </c>
      <c r="BK46" s="38">
        <f t="shared" ref="BK46" si="2416">BJ46*$G$46</f>
        <v>0</v>
      </c>
      <c r="BL46" s="47">
        <v>2</v>
      </c>
      <c r="BM46" s="38">
        <f t="shared" ref="BM46" si="2417">BL46*$G$46</f>
        <v>0</v>
      </c>
      <c r="BN46" s="47">
        <v>2</v>
      </c>
      <c r="BO46" s="38">
        <f t="shared" ref="BO46" si="2418">BN46*$G$46</f>
        <v>0</v>
      </c>
      <c r="BP46" s="47">
        <v>2</v>
      </c>
      <c r="BQ46" s="38">
        <f t="shared" ref="BQ46" si="2419">BP46*$G$46</f>
        <v>0</v>
      </c>
      <c r="BR46" s="47">
        <v>2</v>
      </c>
      <c r="BS46" s="38">
        <f t="shared" ref="BS46" si="2420">BR46*$G$46</f>
        <v>0</v>
      </c>
      <c r="BT46" s="47">
        <v>2</v>
      </c>
      <c r="BU46" s="38">
        <f t="shared" ref="BU46" si="2421">BT46*$G$46</f>
        <v>0</v>
      </c>
      <c r="BV46" s="47">
        <v>2</v>
      </c>
      <c r="BW46" s="38">
        <f t="shared" ref="BW46" si="2422">BV46*$G$46</f>
        <v>0</v>
      </c>
      <c r="BX46" s="47">
        <v>2</v>
      </c>
      <c r="BY46" s="38">
        <f t="shared" ref="BY46" si="2423">BX46*$G$46</f>
        <v>0</v>
      </c>
      <c r="BZ46" s="47">
        <v>2</v>
      </c>
      <c r="CA46" s="38">
        <f t="shared" ref="CA46" si="2424">BZ46*$G$46</f>
        <v>0</v>
      </c>
      <c r="CB46" s="47">
        <v>2</v>
      </c>
      <c r="CC46" s="38">
        <f t="shared" ref="CC46" si="2425">CB46*$G$46</f>
        <v>0</v>
      </c>
      <c r="CD46" s="47">
        <v>2</v>
      </c>
      <c r="CE46" s="38">
        <f t="shared" ref="CE46" si="2426">CD46*$G$46</f>
        <v>0</v>
      </c>
      <c r="CF46" s="47">
        <v>2</v>
      </c>
      <c r="CG46" s="38">
        <f t="shared" ref="CG46" si="2427">CF46*$G$46</f>
        <v>0</v>
      </c>
      <c r="CH46" s="47">
        <v>2</v>
      </c>
      <c r="CI46" s="38">
        <f t="shared" ref="CI46" si="2428">CH46*$G$46</f>
        <v>0</v>
      </c>
      <c r="CJ46" s="47">
        <v>2</v>
      </c>
      <c r="CK46" s="38">
        <f t="shared" ref="CK46" si="2429">CJ46*$G$46</f>
        <v>0</v>
      </c>
      <c r="CL46" s="47">
        <v>1</v>
      </c>
      <c r="CM46" s="38">
        <f t="shared" ref="CM46" si="2430">CL46*$G$46</f>
        <v>0</v>
      </c>
      <c r="CN46" s="47">
        <v>1</v>
      </c>
      <c r="CO46" s="38">
        <f t="shared" ref="CO46" si="2431">CN46*$G$46</f>
        <v>0</v>
      </c>
      <c r="CP46" s="47">
        <v>1</v>
      </c>
      <c r="CQ46" s="38">
        <f t="shared" ref="CQ46" si="2432">CP46*$G$46</f>
        <v>0</v>
      </c>
      <c r="CR46" s="47">
        <v>1</v>
      </c>
      <c r="CS46" s="38">
        <f t="shared" ref="CS46" si="2433">CR46*$G$46</f>
        <v>0</v>
      </c>
      <c r="CT46" s="47">
        <v>1</v>
      </c>
      <c r="CU46" s="38">
        <f t="shared" ref="CU46" si="2434">CT46*$G$46</f>
        <v>0</v>
      </c>
      <c r="CV46" s="47">
        <v>1</v>
      </c>
      <c r="CW46" s="38">
        <f t="shared" ref="CW46" si="2435">CV46*$G$46</f>
        <v>0</v>
      </c>
      <c r="CX46" s="47">
        <v>1</v>
      </c>
      <c r="CY46" s="38">
        <f t="shared" ref="CY46" si="2436">CX46*$G$46</f>
        <v>0</v>
      </c>
      <c r="CZ46" s="47">
        <v>1</v>
      </c>
      <c r="DA46" s="38">
        <f t="shared" ref="DA46" si="2437">CZ46*$G$46</f>
        <v>0</v>
      </c>
      <c r="DB46" s="47">
        <v>1</v>
      </c>
      <c r="DC46" s="38">
        <f t="shared" ref="DC46" si="2438">DB46*$G$46</f>
        <v>0</v>
      </c>
      <c r="DD46" s="47">
        <v>1</v>
      </c>
      <c r="DE46" s="38">
        <f t="shared" ref="DE46" si="2439">DD46*$G$46</f>
        <v>0</v>
      </c>
      <c r="DF46" s="47">
        <v>1</v>
      </c>
      <c r="DG46" s="38">
        <f t="shared" ref="DG46" si="2440">DF46*$G$46</f>
        <v>0</v>
      </c>
      <c r="DH46" s="47">
        <v>1</v>
      </c>
      <c r="DI46" s="38">
        <f t="shared" ref="DI46" si="2441">DH46*$G$46</f>
        <v>0</v>
      </c>
      <c r="DJ46" s="47">
        <v>1</v>
      </c>
      <c r="DK46" s="38">
        <f t="shared" ref="DK46" si="2442">DJ46*$G$46</f>
        <v>0</v>
      </c>
      <c r="DL46" s="47">
        <v>1</v>
      </c>
      <c r="DM46" s="38">
        <f t="shared" ref="DM46" si="2443">DL46*$G$46</f>
        <v>0</v>
      </c>
      <c r="DN46" s="47">
        <v>1</v>
      </c>
      <c r="DO46" s="38">
        <f t="shared" ref="DO46" si="2444">DN46*$G$46</f>
        <v>0</v>
      </c>
      <c r="DP46" s="47">
        <v>1</v>
      </c>
      <c r="DQ46" s="38">
        <f t="shared" ref="DQ46" si="2445">DP46*$G$46</f>
        <v>0</v>
      </c>
      <c r="DR46" s="47">
        <v>1</v>
      </c>
      <c r="DS46" s="38">
        <f t="shared" ref="DS46" si="2446">DR46*$G$46</f>
        <v>0</v>
      </c>
      <c r="DT46" s="47">
        <v>1</v>
      </c>
      <c r="DU46" s="38">
        <f t="shared" ref="DU46" si="2447">DT46*$G$46</f>
        <v>0</v>
      </c>
      <c r="DV46" s="47">
        <v>1</v>
      </c>
      <c r="DW46" s="38">
        <f t="shared" ref="DW46" si="2448">DV46*$G$46</f>
        <v>0</v>
      </c>
      <c r="DX46" s="47">
        <v>1</v>
      </c>
      <c r="DY46" s="38">
        <f t="shared" ref="DY46" si="2449">DX46*$G$46</f>
        <v>0</v>
      </c>
      <c r="DZ46" s="47">
        <v>1</v>
      </c>
      <c r="EA46" s="38">
        <f t="shared" ref="EA46" si="2450">DZ46*$G$46</f>
        <v>0</v>
      </c>
      <c r="EB46" s="47">
        <v>1</v>
      </c>
      <c r="EC46" s="38">
        <f t="shared" ref="EC46" si="2451">EB46*$G$46</f>
        <v>0</v>
      </c>
      <c r="ED46" s="47">
        <v>1</v>
      </c>
      <c r="EE46" s="38">
        <f t="shared" ref="EE46" si="2452">ED46*$G$46</f>
        <v>0</v>
      </c>
      <c r="EF46" s="47">
        <v>1</v>
      </c>
      <c r="EG46" s="38">
        <f t="shared" ref="EG46" si="2453">EF46*$G$46</f>
        <v>0</v>
      </c>
      <c r="EH46" s="47">
        <v>1</v>
      </c>
      <c r="EI46" s="38">
        <f t="shared" ref="EI46" si="2454">EH46*$G$46</f>
        <v>0</v>
      </c>
      <c r="EJ46" s="47">
        <v>1</v>
      </c>
      <c r="EK46" s="38">
        <f t="shared" ref="EK46" si="2455">EJ46*$G$46</f>
        <v>0</v>
      </c>
      <c r="EL46" s="47">
        <v>1</v>
      </c>
      <c r="EM46" s="38">
        <f t="shared" ref="EM46" si="2456">EL46*$G$46</f>
        <v>0</v>
      </c>
      <c r="EN46" s="47">
        <v>1</v>
      </c>
      <c r="EO46" s="38">
        <f t="shared" ref="EO46" si="2457">EN46*$G$46</f>
        <v>0</v>
      </c>
      <c r="EP46" s="47">
        <v>1</v>
      </c>
      <c r="EQ46" s="38">
        <f t="shared" ref="EQ46" si="2458">EP46*$G$46</f>
        <v>0</v>
      </c>
      <c r="ER46" s="47">
        <v>1</v>
      </c>
      <c r="ES46" s="38">
        <f t="shared" ref="ES46" si="2459">ER46*$G$46</f>
        <v>0</v>
      </c>
      <c r="ET46" s="47">
        <v>1</v>
      </c>
      <c r="EU46" s="38">
        <f t="shared" ref="EU46" si="2460">ET46*$G$46</f>
        <v>0</v>
      </c>
      <c r="EV46" s="47">
        <v>1</v>
      </c>
      <c r="EW46" s="38">
        <f t="shared" ref="EW46" si="2461">EV46*$G$46</f>
        <v>0</v>
      </c>
      <c r="EX46" s="47">
        <v>1</v>
      </c>
      <c r="EY46" s="38">
        <f t="shared" ref="EY46" si="2462">EX46*$G$46</f>
        <v>0</v>
      </c>
      <c r="EZ46" s="47">
        <v>1</v>
      </c>
      <c r="FA46" s="38">
        <f t="shared" ref="FA46" si="2463">EZ46*$G$46</f>
        <v>0</v>
      </c>
      <c r="FB46" s="47">
        <v>1</v>
      </c>
      <c r="FC46" s="38">
        <f t="shared" ref="FC46" si="2464">FB46*$G$46</f>
        <v>0</v>
      </c>
      <c r="FD46" s="47">
        <v>1</v>
      </c>
      <c r="FE46" s="38">
        <f t="shared" ref="FE46" si="2465">FD46*$G$46</f>
        <v>0</v>
      </c>
      <c r="FF46" s="47">
        <v>1</v>
      </c>
      <c r="FG46" s="38">
        <f t="shared" ref="FG46" si="2466">FF46*$G$46</f>
        <v>0</v>
      </c>
      <c r="FH46" s="47">
        <v>1</v>
      </c>
      <c r="FI46" s="38">
        <f t="shared" ref="FI46" si="2467">FH46*$G$46</f>
        <v>0</v>
      </c>
      <c r="FJ46" s="47">
        <v>1</v>
      </c>
      <c r="FK46" s="38">
        <f t="shared" ref="FK46" si="2468">FJ46*$G$46</f>
        <v>0</v>
      </c>
      <c r="FL46" s="47">
        <v>1</v>
      </c>
      <c r="FM46" s="38">
        <f t="shared" ref="FM46" si="2469">FL46*$G$46</f>
        <v>0</v>
      </c>
      <c r="FN46" s="47">
        <v>1</v>
      </c>
      <c r="FO46" s="38">
        <f t="shared" ref="FO46" si="2470">FN46*$G$46</f>
        <v>0</v>
      </c>
      <c r="FP46" s="47">
        <v>1</v>
      </c>
      <c r="FQ46" s="38">
        <f t="shared" ref="FQ46" si="2471">FP46*$G$46</f>
        <v>0</v>
      </c>
    </row>
    <row r="47" spans="1:174" x14ac:dyDescent="0.35">
      <c r="A47" s="14" t="s">
        <v>137</v>
      </c>
      <c r="B47" s="14">
        <v>913</v>
      </c>
      <c r="C47" s="14" t="s">
        <v>94</v>
      </c>
      <c r="D47" s="14" t="s">
        <v>144</v>
      </c>
      <c r="E47" s="14" t="s">
        <v>139</v>
      </c>
      <c r="F47" s="14">
        <v>2</v>
      </c>
      <c r="G47" s="14">
        <v>2</v>
      </c>
      <c r="H47" s="47"/>
      <c r="I47" s="14">
        <f t="shared" ref="I47" si="2472">H46*G47</f>
        <v>320</v>
      </c>
      <c r="J47" s="47"/>
      <c r="K47" s="38">
        <f>J46*$G$47</f>
        <v>10</v>
      </c>
      <c r="L47" s="47"/>
      <c r="M47" s="38">
        <f t="shared" ref="M47" si="2473">L46*$G$47</f>
        <v>10</v>
      </c>
      <c r="N47" s="47"/>
      <c r="O47" s="38">
        <f t="shared" ref="O47" si="2474">N46*$G$47</f>
        <v>10</v>
      </c>
      <c r="P47" s="47"/>
      <c r="Q47" s="38">
        <f t="shared" ref="Q47" si="2475">P46*$G$47</f>
        <v>10</v>
      </c>
      <c r="R47" s="47"/>
      <c r="S47" s="38">
        <f t="shared" ref="S47" si="2476">R46*$G$47</f>
        <v>10</v>
      </c>
      <c r="T47" s="47"/>
      <c r="U47" s="38">
        <f t="shared" ref="U47" si="2477">T46*$G$47</f>
        <v>10</v>
      </c>
      <c r="V47" s="47"/>
      <c r="W47" s="38">
        <f t="shared" ref="W47" si="2478">V46*$G$47</f>
        <v>10</v>
      </c>
      <c r="X47" s="47"/>
      <c r="Y47" s="38">
        <f t="shared" ref="Y47" si="2479">X46*$G$47</f>
        <v>10</v>
      </c>
      <c r="Z47" s="47"/>
      <c r="AA47" s="38">
        <f t="shared" ref="AA47" si="2480">Z46*$G$47</f>
        <v>10</v>
      </c>
      <c r="AB47" s="47"/>
      <c r="AC47" s="38">
        <f t="shared" ref="AC47" si="2481">AB46*$G$47</f>
        <v>8</v>
      </c>
      <c r="AD47" s="47"/>
      <c r="AE47" s="38">
        <f t="shared" ref="AE47" si="2482">AD46*$G$47</f>
        <v>8</v>
      </c>
      <c r="AF47" s="47"/>
      <c r="AG47" s="38">
        <f t="shared" ref="AG47" si="2483">AF46*$G$47</f>
        <v>8</v>
      </c>
      <c r="AH47" s="47"/>
      <c r="AI47" s="38">
        <f t="shared" ref="AI47" si="2484">AH46*$G$47</f>
        <v>8</v>
      </c>
      <c r="AJ47" s="47"/>
      <c r="AK47" s="38">
        <f t="shared" ref="AK47" si="2485">AJ46*$G$47</f>
        <v>4</v>
      </c>
      <c r="AL47" s="47"/>
      <c r="AM47" s="38">
        <f t="shared" ref="AM47" si="2486">AL46*$G$47</f>
        <v>4</v>
      </c>
      <c r="AN47" s="47"/>
      <c r="AO47" s="38">
        <f t="shared" ref="AO47" si="2487">AN46*$G$47</f>
        <v>4</v>
      </c>
      <c r="AP47" s="47"/>
      <c r="AQ47" s="38">
        <f t="shared" ref="AQ47" si="2488">AP46*$G$47</f>
        <v>4</v>
      </c>
      <c r="AR47" s="47"/>
      <c r="AS47" s="38">
        <f t="shared" ref="AS47" si="2489">AR46*$G$47</f>
        <v>4</v>
      </c>
      <c r="AT47" s="47"/>
      <c r="AU47" s="38">
        <f t="shared" ref="AU47" si="2490">AT46*$G$47</f>
        <v>4</v>
      </c>
      <c r="AV47" s="47"/>
      <c r="AW47" s="38">
        <f t="shared" ref="AW47" si="2491">AV46*$G$47</f>
        <v>4</v>
      </c>
      <c r="AX47" s="47"/>
      <c r="AY47" s="38">
        <f t="shared" ref="AY47" si="2492">AX46*$G$47</f>
        <v>4</v>
      </c>
      <c r="AZ47" s="47"/>
      <c r="BA47" s="38">
        <f t="shared" ref="BA47" si="2493">AZ46*$G$47</f>
        <v>4</v>
      </c>
      <c r="BB47" s="47"/>
      <c r="BC47" s="38">
        <f t="shared" ref="BC47" si="2494">BB46*$G$47</f>
        <v>4</v>
      </c>
      <c r="BD47" s="47"/>
      <c r="BE47" s="38">
        <f t="shared" ref="BE47" si="2495">BD46*$G$47</f>
        <v>4</v>
      </c>
      <c r="BF47" s="47"/>
      <c r="BG47" s="38">
        <f t="shared" ref="BG47" si="2496">BF46*$G$47</f>
        <v>4</v>
      </c>
      <c r="BH47" s="47"/>
      <c r="BI47" s="38">
        <f t="shared" ref="BI47" si="2497">BH46*$G$47</f>
        <v>4</v>
      </c>
      <c r="BJ47" s="47"/>
      <c r="BK47" s="38">
        <f t="shared" ref="BK47" si="2498">BJ46*$G$47</f>
        <v>4</v>
      </c>
      <c r="BL47" s="47"/>
      <c r="BM47" s="38">
        <f t="shared" ref="BM47" si="2499">BL46*$G$47</f>
        <v>4</v>
      </c>
      <c r="BN47" s="47"/>
      <c r="BO47" s="38">
        <f t="shared" ref="BO47" si="2500">BN46*$G$47</f>
        <v>4</v>
      </c>
      <c r="BP47" s="47"/>
      <c r="BQ47" s="38">
        <f t="shared" ref="BQ47" si="2501">BP46*$G$47</f>
        <v>4</v>
      </c>
      <c r="BR47" s="47"/>
      <c r="BS47" s="38">
        <f t="shared" ref="BS47" si="2502">BR46*$G$47</f>
        <v>4</v>
      </c>
      <c r="BT47" s="47"/>
      <c r="BU47" s="38">
        <f t="shared" ref="BU47" si="2503">BT46*$G$47</f>
        <v>4</v>
      </c>
      <c r="BV47" s="47"/>
      <c r="BW47" s="38">
        <f t="shared" ref="BW47" si="2504">BV46*$G$47</f>
        <v>4</v>
      </c>
      <c r="BX47" s="47"/>
      <c r="BY47" s="38">
        <f t="shared" ref="BY47" si="2505">BX46*$G$47</f>
        <v>4</v>
      </c>
      <c r="BZ47" s="47"/>
      <c r="CA47" s="38">
        <f t="shared" ref="CA47" si="2506">BZ46*$G$47</f>
        <v>4</v>
      </c>
      <c r="CB47" s="47"/>
      <c r="CC47" s="38">
        <f t="shared" ref="CC47" si="2507">CB46*$G$47</f>
        <v>4</v>
      </c>
      <c r="CD47" s="47"/>
      <c r="CE47" s="38">
        <f t="shared" ref="CE47" si="2508">CD46*$G$47</f>
        <v>4</v>
      </c>
      <c r="CF47" s="47"/>
      <c r="CG47" s="38">
        <f t="shared" ref="CG47" si="2509">CF46*$G$47</f>
        <v>4</v>
      </c>
      <c r="CH47" s="47"/>
      <c r="CI47" s="38">
        <f t="shared" ref="CI47" si="2510">CH46*$G$47</f>
        <v>4</v>
      </c>
      <c r="CJ47" s="47"/>
      <c r="CK47" s="38">
        <f t="shared" ref="CK47" si="2511">CJ46*$G$47</f>
        <v>4</v>
      </c>
      <c r="CL47" s="47"/>
      <c r="CM47" s="38">
        <f t="shared" ref="CM47" si="2512">CL46*$G$47</f>
        <v>2</v>
      </c>
      <c r="CN47" s="47"/>
      <c r="CO47" s="38">
        <f t="shared" ref="CO47" si="2513">CN46*$G$47</f>
        <v>2</v>
      </c>
      <c r="CP47" s="47"/>
      <c r="CQ47" s="38">
        <f t="shared" ref="CQ47" si="2514">CP46*$G$47</f>
        <v>2</v>
      </c>
      <c r="CR47" s="47"/>
      <c r="CS47" s="38">
        <f t="shared" ref="CS47" si="2515">CR46*$G$47</f>
        <v>2</v>
      </c>
      <c r="CT47" s="47"/>
      <c r="CU47" s="38">
        <f t="shared" ref="CU47" si="2516">CT46*$G$47</f>
        <v>2</v>
      </c>
      <c r="CV47" s="47"/>
      <c r="CW47" s="38">
        <f t="shared" ref="CW47" si="2517">CV46*$G$47</f>
        <v>2</v>
      </c>
      <c r="CX47" s="47"/>
      <c r="CY47" s="38">
        <f t="shared" ref="CY47" si="2518">CX46*$G$47</f>
        <v>2</v>
      </c>
      <c r="CZ47" s="47"/>
      <c r="DA47" s="38">
        <f t="shared" ref="DA47" si="2519">CZ46*$G$47</f>
        <v>2</v>
      </c>
      <c r="DB47" s="47"/>
      <c r="DC47" s="38">
        <f t="shared" ref="DC47" si="2520">DB46*$G$47</f>
        <v>2</v>
      </c>
      <c r="DD47" s="47"/>
      <c r="DE47" s="38">
        <f t="shared" ref="DE47" si="2521">DD46*$G$47</f>
        <v>2</v>
      </c>
      <c r="DF47" s="47"/>
      <c r="DG47" s="38">
        <f t="shared" ref="DG47" si="2522">DF46*$G$47</f>
        <v>2</v>
      </c>
      <c r="DH47" s="47"/>
      <c r="DI47" s="38">
        <f t="shared" ref="DI47" si="2523">DH46*$G$47</f>
        <v>2</v>
      </c>
      <c r="DJ47" s="47"/>
      <c r="DK47" s="38">
        <f t="shared" ref="DK47" si="2524">DJ46*$G$47</f>
        <v>2</v>
      </c>
      <c r="DL47" s="47"/>
      <c r="DM47" s="38">
        <f t="shared" ref="DM47" si="2525">DL46*$G$47</f>
        <v>2</v>
      </c>
      <c r="DN47" s="47"/>
      <c r="DO47" s="38">
        <f t="shared" ref="DO47" si="2526">DN46*$G$47</f>
        <v>2</v>
      </c>
      <c r="DP47" s="47"/>
      <c r="DQ47" s="38">
        <f t="shared" ref="DQ47" si="2527">DP46*$G$47</f>
        <v>2</v>
      </c>
      <c r="DR47" s="47"/>
      <c r="DS47" s="38">
        <f t="shared" ref="DS47" si="2528">DR46*$G$47</f>
        <v>2</v>
      </c>
      <c r="DT47" s="47"/>
      <c r="DU47" s="38">
        <f t="shared" ref="DU47" si="2529">DT46*$G$47</f>
        <v>2</v>
      </c>
      <c r="DV47" s="47"/>
      <c r="DW47" s="38">
        <f t="shared" ref="DW47" si="2530">DV46*$G$47</f>
        <v>2</v>
      </c>
      <c r="DX47" s="47"/>
      <c r="DY47" s="38">
        <f t="shared" ref="DY47" si="2531">DX46*$G$47</f>
        <v>2</v>
      </c>
      <c r="DZ47" s="47"/>
      <c r="EA47" s="38">
        <f t="shared" ref="EA47" si="2532">DZ46*$G$47</f>
        <v>2</v>
      </c>
      <c r="EB47" s="47"/>
      <c r="EC47" s="38">
        <f t="shared" ref="EC47" si="2533">EB46*$G$47</f>
        <v>2</v>
      </c>
      <c r="ED47" s="47"/>
      <c r="EE47" s="38">
        <f t="shared" ref="EE47" si="2534">ED46*$G$47</f>
        <v>2</v>
      </c>
      <c r="EF47" s="47"/>
      <c r="EG47" s="38">
        <f t="shared" ref="EG47" si="2535">EF46*$G$47</f>
        <v>2</v>
      </c>
      <c r="EH47" s="47"/>
      <c r="EI47" s="38">
        <f t="shared" ref="EI47" si="2536">EH46*$G$47</f>
        <v>2</v>
      </c>
      <c r="EJ47" s="47"/>
      <c r="EK47" s="38">
        <f t="shared" ref="EK47" si="2537">EJ46*$G$47</f>
        <v>2</v>
      </c>
      <c r="EL47" s="47"/>
      <c r="EM47" s="38">
        <f t="shared" ref="EM47" si="2538">EL46*$G$47</f>
        <v>2</v>
      </c>
      <c r="EN47" s="47"/>
      <c r="EO47" s="38">
        <f t="shared" ref="EO47" si="2539">EN46*$G$47</f>
        <v>2</v>
      </c>
      <c r="EP47" s="47"/>
      <c r="EQ47" s="38">
        <f t="shared" ref="EQ47" si="2540">EP46*$G$47</f>
        <v>2</v>
      </c>
      <c r="ER47" s="47"/>
      <c r="ES47" s="38">
        <f t="shared" ref="ES47" si="2541">ER46*$G$47</f>
        <v>2</v>
      </c>
      <c r="ET47" s="47"/>
      <c r="EU47" s="38">
        <f t="shared" ref="EU47" si="2542">ET46*$G$47</f>
        <v>2</v>
      </c>
      <c r="EV47" s="47"/>
      <c r="EW47" s="38">
        <f t="shared" ref="EW47" si="2543">EV46*$G$47</f>
        <v>2</v>
      </c>
      <c r="EX47" s="47"/>
      <c r="EY47" s="38">
        <f t="shared" ref="EY47" si="2544">EX46*$G$47</f>
        <v>2</v>
      </c>
      <c r="EZ47" s="47"/>
      <c r="FA47" s="38">
        <f t="shared" ref="FA47" si="2545">EZ46*$G$47</f>
        <v>2</v>
      </c>
      <c r="FB47" s="47"/>
      <c r="FC47" s="38">
        <f t="shared" ref="FC47" si="2546">FB46*$G$47</f>
        <v>2</v>
      </c>
      <c r="FD47" s="47"/>
      <c r="FE47" s="38">
        <f t="shared" ref="FE47" si="2547">FD46*$G$47</f>
        <v>2</v>
      </c>
      <c r="FF47" s="47"/>
      <c r="FG47" s="38">
        <f t="shared" ref="FG47" si="2548">FF46*$G$47</f>
        <v>2</v>
      </c>
      <c r="FH47" s="47"/>
      <c r="FI47" s="38">
        <f t="shared" ref="FI47" si="2549">FH46*$G$47</f>
        <v>2</v>
      </c>
      <c r="FJ47" s="47"/>
      <c r="FK47" s="38">
        <f t="shared" ref="FK47" si="2550">FJ46*$G$47</f>
        <v>2</v>
      </c>
      <c r="FL47" s="47"/>
      <c r="FM47" s="38">
        <f t="shared" ref="FM47" si="2551">FL46*$G$47</f>
        <v>2</v>
      </c>
      <c r="FN47" s="47"/>
      <c r="FO47" s="38">
        <f t="shared" ref="FO47" si="2552">FN46*$G$47</f>
        <v>2</v>
      </c>
      <c r="FP47" s="47"/>
      <c r="FQ47" s="38">
        <f t="shared" ref="FQ47" si="2553">FP46*$G$47</f>
        <v>2</v>
      </c>
    </row>
    <row r="48" spans="1:174" x14ac:dyDescent="0.35">
      <c r="A48" s="14" t="s">
        <v>137</v>
      </c>
      <c r="B48" s="14">
        <v>913</v>
      </c>
      <c r="C48" s="14" t="s">
        <v>94</v>
      </c>
      <c r="D48" s="14" t="s">
        <v>144</v>
      </c>
      <c r="E48" s="14" t="s">
        <v>140</v>
      </c>
      <c r="F48" s="14">
        <v>3</v>
      </c>
      <c r="G48" s="14">
        <v>4</v>
      </c>
      <c r="H48" s="47"/>
      <c r="I48" s="14">
        <f t="shared" ref="I48" si="2554">H46*G48</f>
        <v>640</v>
      </c>
      <c r="J48" s="47"/>
      <c r="K48" s="38">
        <f>J46*$G$48</f>
        <v>20</v>
      </c>
      <c r="L48" s="47"/>
      <c r="M48" s="38">
        <f t="shared" ref="M48" si="2555">L46*$G$48</f>
        <v>20</v>
      </c>
      <c r="N48" s="47"/>
      <c r="O48" s="38">
        <f t="shared" ref="O48" si="2556">N46*$G$48</f>
        <v>20</v>
      </c>
      <c r="P48" s="47"/>
      <c r="Q48" s="38">
        <f t="shared" ref="Q48" si="2557">P46*$G$48</f>
        <v>20</v>
      </c>
      <c r="R48" s="47"/>
      <c r="S48" s="38">
        <f t="shared" ref="S48" si="2558">R46*$G$48</f>
        <v>20</v>
      </c>
      <c r="T48" s="47"/>
      <c r="U48" s="38">
        <f t="shared" ref="U48" si="2559">T46*$G$48</f>
        <v>20</v>
      </c>
      <c r="V48" s="47"/>
      <c r="W48" s="38">
        <f t="shared" ref="W48" si="2560">V46*$G$48</f>
        <v>20</v>
      </c>
      <c r="X48" s="47"/>
      <c r="Y48" s="38">
        <f t="shared" ref="Y48" si="2561">X46*$G$48</f>
        <v>20</v>
      </c>
      <c r="Z48" s="47"/>
      <c r="AA48" s="38">
        <f t="shared" ref="AA48" si="2562">Z46*$G$48</f>
        <v>20</v>
      </c>
      <c r="AB48" s="47"/>
      <c r="AC48" s="38">
        <f t="shared" ref="AC48" si="2563">AB46*$G$48</f>
        <v>16</v>
      </c>
      <c r="AD48" s="47"/>
      <c r="AE48" s="38">
        <f t="shared" ref="AE48" si="2564">AD46*$G$48</f>
        <v>16</v>
      </c>
      <c r="AF48" s="47"/>
      <c r="AG48" s="38">
        <f t="shared" ref="AG48" si="2565">AF46*$G$48</f>
        <v>16</v>
      </c>
      <c r="AH48" s="47"/>
      <c r="AI48" s="38">
        <f t="shared" ref="AI48" si="2566">AH46*$G$48</f>
        <v>16</v>
      </c>
      <c r="AJ48" s="47"/>
      <c r="AK48" s="38">
        <f t="shared" ref="AK48" si="2567">AJ46*$G$48</f>
        <v>8</v>
      </c>
      <c r="AL48" s="47"/>
      <c r="AM48" s="38">
        <f t="shared" ref="AM48" si="2568">AL46*$G$48</f>
        <v>8</v>
      </c>
      <c r="AN48" s="47"/>
      <c r="AO48" s="38">
        <f t="shared" ref="AO48" si="2569">AN46*$G$48</f>
        <v>8</v>
      </c>
      <c r="AP48" s="47"/>
      <c r="AQ48" s="38">
        <f t="shared" ref="AQ48" si="2570">AP46*$G$48</f>
        <v>8</v>
      </c>
      <c r="AR48" s="47"/>
      <c r="AS48" s="38">
        <f t="shared" ref="AS48" si="2571">AR46*$G$48</f>
        <v>8</v>
      </c>
      <c r="AT48" s="47"/>
      <c r="AU48" s="38">
        <f t="shared" ref="AU48" si="2572">AT46*$G$48</f>
        <v>8</v>
      </c>
      <c r="AV48" s="47"/>
      <c r="AW48" s="38">
        <f t="shared" ref="AW48" si="2573">AV46*$G$48</f>
        <v>8</v>
      </c>
      <c r="AX48" s="47"/>
      <c r="AY48" s="38">
        <f t="shared" ref="AY48" si="2574">AX46*$G$48</f>
        <v>8</v>
      </c>
      <c r="AZ48" s="47"/>
      <c r="BA48" s="38">
        <f t="shared" ref="BA48" si="2575">AZ46*$G$48</f>
        <v>8</v>
      </c>
      <c r="BB48" s="47"/>
      <c r="BC48" s="38">
        <f t="shared" ref="BC48" si="2576">BB46*$G$48</f>
        <v>8</v>
      </c>
      <c r="BD48" s="47"/>
      <c r="BE48" s="38">
        <f t="shared" ref="BE48" si="2577">BD46*$G$48</f>
        <v>8</v>
      </c>
      <c r="BF48" s="47"/>
      <c r="BG48" s="38">
        <f t="shared" ref="BG48" si="2578">BF46*$G$48</f>
        <v>8</v>
      </c>
      <c r="BH48" s="47"/>
      <c r="BI48" s="38">
        <f t="shared" ref="BI48" si="2579">BH46*$G$48</f>
        <v>8</v>
      </c>
      <c r="BJ48" s="47"/>
      <c r="BK48" s="38">
        <f t="shared" ref="BK48" si="2580">BJ46*$G$48</f>
        <v>8</v>
      </c>
      <c r="BL48" s="47"/>
      <c r="BM48" s="38">
        <f t="shared" ref="BM48" si="2581">BL46*$G$48</f>
        <v>8</v>
      </c>
      <c r="BN48" s="47"/>
      <c r="BO48" s="38">
        <f t="shared" ref="BO48" si="2582">BN46*$G$48</f>
        <v>8</v>
      </c>
      <c r="BP48" s="47"/>
      <c r="BQ48" s="38">
        <f t="shared" ref="BQ48" si="2583">BP46*$G$48</f>
        <v>8</v>
      </c>
      <c r="BR48" s="47"/>
      <c r="BS48" s="38">
        <f t="shared" ref="BS48" si="2584">BR46*$G$48</f>
        <v>8</v>
      </c>
      <c r="BT48" s="47"/>
      <c r="BU48" s="38">
        <f t="shared" ref="BU48" si="2585">BT46*$G$48</f>
        <v>8</v>
      </c>
      <c r="BV48" s="47"/>
      <c r="BW48" s="38">
        <f t="shared" ref="BW48" si="2586">BV46*$G$48</f>
        <v>8</v>
      </c>
      <c r="BX48" s="47"/>
      <c r="BY48" s="38">
        <f t="shared" ref="BY48" si="2587">BX46*$G$48</f>
        <v>8</v>
      </c>
      <c r="BZ48" s="47"/>
      <c r="CA48" s="38">
        <f t="shared" ref="CA48" si="2588">BZ46*$G$48</f>
        <v>8</v>
      </c>
      <c r="CB48" s="47"/>
      <c r="CC48" s="38">
        <f t="shared" ref="CC48" si="2589">CB46*$G$48</f>
        <v>8</v>
      </c>
      <c r="CD48" s="47"/>
      <c r="CE48" s="38">
        <f t="shared" ref="CE48" si="2590">CD46*$G$48</f>
        <v>8</v>
      </c>
      <c r="CF48" s="47"/>
      <c r="CG48" s="38">
        <f t="shared" ref="CG48" si="2591">CF46*$G$48</f>
        <v>8</v>
      </c>
      <c r="CH48" s="47"/>
      <c r="CI48" s="38">
        <f t="shared" ref="CI48" si="2592">CH46*$G$48</f>
        <v>8</v>
      </c>
      <c r="CJ48" s="47"/>
      <c r="CK48" s="38">
        <f t="shared" ref="CK48" si="2593">CJ46*$G$48</f>
        <v>8</v>
      </c>
      <c r="CL48" s="47"/>
      <c r="CM48" s="38">
        <f t="shared" ref="CM48" si="2594">CL46*$G$48</f>
        <v>4</v>
      </c>
      <c r="CN48" s="47"/>
      <c r="CO48" s="38">
        <f t="shared" ref="CO48" si="2595">CN46*$G$48</f>
        <v>4</v>
      </c>
      <c r="CP48" s="47"/>
      <c r="CQ48" s="38">
        <f t="shared" ref="CQ48" si="2596">CP46*$G$48</f>
        <v>4</v>
      </c>
      <c r="CR48" s="47"/>
      <c r="CS48" s="38">
        <f t="shared" ref="CS48" si="2597">CR46*$G$48</f>
        <v>4</v>
      </c>
      <c r="CT48" s="47"/>
      <c r="CU48" s="38">
        <f t="shared" ref="CU48" si="2598">CT46*$G$48</f>
        <v>4</v>
      </c>
      <c r="CV48" s="47"/>
      <c r="CW48" s="38">
        <f t="shared" ref="CW48" si="2599">CV46*$G$48</f>
        <v>4</v>
      </c>
      <c r="CX48" s="47"/>
      <c r="CY48" s="38">
        <f t="shared" ref="CY48" si="2600">CX46*$G$48</f>
        <v>4</v>
      </c>
      <c r="CZ48" s="47"/>
      <c r="DA48" s="38">
        <f t="shared" ref="DA48" si="2601">CZ46*$G$48</f>
        <v>4</v>
      </c>
      <c r="DB48" s="47"/>
      <c r="DC48" s="38">
        <f t="shared" ref="DC48" si="2602">DB46*$G$48</f>
        <v>4</v>
      </c>
      <c r="DD48" s="47"/>
      <c r="DE48" s="38">
        <f t="shared" ref="DE48" si="2603">DD46*$G$48</f>
        <v>4</v>
      </c>
      <c r="DF48" s="47"/>
      <c r="DG48" s="38">
        <f t="shared" ref="DG48" si="2604">DF46*$G$48</f>
        <v>4</v>
      </c>
      <c r="DH48" s="47"/>
      <c r="DI48" s="38">
        <f t="shared" ref="DI48" si="2605">DH46*$G$48</f>
        <v>4</v>
      </c>
      <c r="DJ48" s="47"/>
      <c r="DK48" s="38">
        <f t="shared" ref="DK48" si="2606">DJ46*$G$48</f>
        <v>4</v>
      </c>
      <c r="DL48" s="47"/>
      <c r="DM48" s="38">
        <f t="shared" ref="DM48" si="2607">DL46*$G$48</f>
        <v>4</v>
      </c>
      <c r="DN48" s="47"/>
      <c r="DO48" s="38">
        <f t="shared" ref="DO48" si="2608">DN46*$G$48</f>
        <v>4</v>
      </c>
      <c r="DP48" s="47"/>
      <c r="DQ48" s="38">
        <f t="shared" ref="DQ48" si="2609">DP46*$G$48</f>
        <v>4</v>
      </c>
      <c r="DR48" s="47"/>
      <c r="DS48" s="38">
        <f t="shared" ref="DS48" si="2610">DR46*$G$48</f>
        <v>4</v>
      </c>
      <c r="DT48" s="47"/>
      <c r="DU48" s="38">
        <f t="shared" ref="DU48" si="2611">DT46*$G$48</f>
        <v>4</v>
      </c>
      <c r="DV48" s="47"/>
      <c r="DW48" s="38">
        <f t="shared" ref="DW48" si="2612">DV46*$G$48</f>
        <v>4</v>
      </c>
      <c r="DX48" s="47"/>
      <c r="DY48" s="38">
        <f t="shared" ref="DY48" si="2613">DX46*$G$48</f>
        <v>4</v>
      </c>
      <c r="DZ48" s="47"/>
      <c r="EA48" s="38">
        <f t="shared" ref="EA48" si="2614">DZ46*$G$48</f>
        <v>4</v>
      </c>
      <c r="EB48" s="47"/>
      <c r="EC48" s="38">
        <f t="shared" ref="EC48" si="2615">EB46*$G$48</f>
        <v>4</v>
      </c>
      <c r="ED48" s="47"/>
      <c r="EE48" s="38">
        <f t="shared" ref="EE48" si="2616">ED46*$G$48</f>
        <v>4</v>
      </c>
      <c r="EF48" s="47"/>
      <c r="EG48" s="38">
        <f t="shared" ref="EG48" si="2617">EF46*$G$48</f>
        <v>4</v>
      </c>
      <c r="EH48" s="47"/>
      <c r="EI48" s="38">
        <f t="shared" ref="EI48" si="2618">EH46*$G$48</f>
        <v>4</v>
      </c>
      <c r="EJ48" s="47"/>
      <c r="EK48" s="38">
        <f t="shared" ref="EK48" si="2619">EJ46*$G$48</f>
        <v>4</v>
      </c>
      <c r="EL48" s="47"/>
      <c r="EM48" s="38">
        <f t="shared" ref="EM48" si="2620">EL46*$G$48</f>
        <v>4</v>
      </c>
      <c r="EN48" s="47"/>
      <c r="EO48" s="38">
        <f t="shared" ref="EO48" si="2621">EN46*$G$48</f>
        <v>4</v>
      </c>
      <c r="EP48" s="47"/>
      <c r="EQ48" s="38">
        <f t="shared" ref="EQ48" si="2622">EP46*$G$48</f>
        <v>4</v>
      </c>
      <c r="ER48" s="47"/>
      <c r="ES48" s="38">
        <f t="shared" ref="ES48" si="2623">ER46*$G$48</f>
        <v>4</v>
      </c>
      <c r="ET48" s="47"/>
      <c r="EU48" s="38">
        <f t="shared" ref="EU48" si="2624">ET46*$G$48</f>
        <v>4</v>
      </c>
      <c r="EV48" s="47"/>
      <c r="EW48" s="38">
        <f t="shared" ref="EW48" si="2625">EV46*$G$48</f>
        <v>4</v>
      </c>
      <c r="EX48" s="47"/>
      <c r="EY48" s="38">
        <f t="shared" ref="EY48" si="2626">EX46*$G$48</f>
        <v>4</v>
      </c>
      <c r="EZ48" s="47"/>
      <c r="FA48" s="38">
        <f t="shared" ref="FA48" si="2627">EZ46*$G$48</f>
        <v>4</v>
      </c>
      <c r="FB48" s="47"/>
      <c r="FC48" s="38">
        <f t="shared" ref="FC48" si="2628">FB46*$G$48</f>
        <v>4</v>
      </c>
      <c r="FD48" s="47"/>
      <c r="FE48" s="38">
        <f t="shared" ref="FE48" si="2629">FD46*$G$48</f>
        <v>4</v>
      </c>
      <c r="FF48" s="47"/>
      <c r="FG48" s="38">
        <f t="shared" ref="FG48" si="2630">FF46*$G$48</f>
        <v>4</v>
      </c>
      <c r="FH48" s="47"/>
      <c r="FI48" s="38">
        <f t="shared" ref="FI48" si="2631">FH46*$G$48</f>
        <v>4</v>
      </c>
      <c r="FJ48" s="47"/>
      <c r="FK48" s="38">
        <f t="shared" ref="FK48" si="2632">FJ46*$G$48</f>
        <v>4</v>
      </c>
      <c r="FL48" s="47"/>
      <c r="FM48" s="38">
        <f t="shared" ref="FM48" si="2633">FL46*$G$48</f>
        <v>4</v>
      </c>
      <c r="FN48" s="47"/>
      <c r="FO48" s="38">
        <f t="shared" ref="FO48" si="2634">FN46*$G$48</f>
        <v>4</v>
      </c>
      <c r="FP48" s="47"/>
      <c r="FQ48" s="38">
        <f t="shared" ref="FQ48" si="2635">FP46*$G$48</f>
        <v>4</v>
      </c>
    </row>
    <row r="49" spans="1:173" x14ac:dyDescent="0.35">
      <c r="A49" s="14" t="s">
        <v>137</v>
      </c>
      <c r="B49" s="14">
        <v>913</v>
      </c>
      <c r="C49" s="14" t="s">
        <v>94</v>
      </c>
      <c r="D49" s="14" t="s">
        <v>144</v>
      </c>
      <c r="E49" s="14" t="s">
        <v>141</v>
      </c>
      <c r="F49" s="14">
        <v>4</v>
      </c>
      <c r="G49" s="14">
        <v>2</v>
      </c>
      <c r="H49" s="47"/>
      <c r="I49" s="14">
        <f t="shared" ref="I49" si="2636">H46*G49</f>
        <v>320</v>
      </c>
      <c r="J49" s="47"/>
      <c r="K49" s="38">
        <f>J46*$G$49</f>
        <v>10</v>
      </c>
      <c r="L49" s="47"/>
      <c r="M49" s="38">
        <f t="shared" ref="M49" si="2637">L46*$G$49</f>
        <v>10</v>
      </c>
      <c r="N49" s="47"/>
      <c r="O49" s="38">
        <f t="shared" ref="O49" si="2638">N46*$G$49</f>
        <v>10</v>
      </c>
      <c r="P49" s="47"/>
      <c r="Q49" s="38">
        <f t="shared" ref="Q49" si="2639">P46*$G$49</f>
        <v>10</v>
      </c>
      <c r="R49" s="47"/>
      <c r="S49" s="38">
        <f t="shared" ref="S49" si="2640">R46*$G$49</f>
        <v>10</v>
      </c>
      <c r="T49" s="47"/>
      <c r="U49" s="38">
        <f t="shared" ref="U49" si="2641">T46*$G$49</f>
        <v>10</v>
      </c>
      <c r="V49" s="47"/>
      <c r="W49" s="38">
        <f t="shared" ref="W49" si="2642">V46*$G$49</f>
        <v>10</v>
      </c>
      <c r="X49" s="47"/>
      <c r="Y49" s="38">
        <f t="shared" ref="Y49" si="2643">X46*$G$49</f>
        <v>10</v>
      </c>
      <c r="Z49" s="47"/>
      <c r="AA49" s="38">
        <f t="shared" ref="AA49" si="2644">Z46*$G$49</f>
        <v>10</v>
      </c>
      <c r="AB49" s="47"/>
      <c r="AC49" s="38">
        <f t="shared" ref="AC49" si="2645">AB46*$G$49</f>
        <v>8</v>
      </c>
      <c r="AD49" s="47"/>
      <c r="AE49" s="38">
        <f t="shared" ref="AE49" si="2646">AD46*$G$49</f>
        <v>8</v>
      </c>
      <c r="AF49" s="47"/>
      <c r="AG49" s="38">
        <f t="shared" ref="AG49" si="2647">AF46*$G$49</f>
        <v>8</v>
      </c>
      <c r="AH49" s="47"/>
      <c r="AI49" s="38">
        <f t="shared" ref="AI49" si="2648">AH46*$G$49</f>
        <v>8</v>
      </c>
      <c r="AJ49" s="47"/>
      <c r="AK49" s="38">
        <f t="shared" ref="AK49" si="2649">AJ46*$G$49</f>
        <v>4</v>
      </c>
      <c r="AL49" s="47"/>
      <c r="AM49" s="38">
        <f t="shared" ref="AM49" si="2650">AL46*$G$49</f>
        <v>4</v>
      </c>
      <c r="AN49" s="47"/>
      <c r="AO49" s="38">
        <f t="shared" ref="AO49" si="2651">AN46*$G$49</f>
        <v>4</v>
      </c>
      <c r="AP49" s="47"/>
      <c r="AQ49" s="38">
        <f t="shared" ref="AQ49" si="2652">AP46*$G$49</f>
        <v>4</v>
      </c>
      <c r="AR49" s="47"/>
      <c r="AS49" s="38">
        <f t="shared" ref="AS49" si="2653">AR46*$G$49</f>
        <v>4</v>
      </c>
      <c r="AT49" s="47"/>
      <c r="AU49" s="38">
        <f t="shared" ref="AU49" si="2654">AT46*$G$49</f>
        <v>4</v>
      </c>
      <c r="AV49" s="47"/>
      <c r="AW49" s="38">
        <f t="shared" ref="AW49" si="2655">AV46*$G$49</f>
        <v>4</v>
      </c>
      <c r="AX49" s="47"/>
      <c r="AY49" s="38">
        <f t="shared" ref="AY49" si="2656">AX46*$G$49</f>
        <v>4</v>
      </c>
      <c r="AZ49" s="47"/>
      <c r="BA49" s="38">
        <f t="shared" ref="BA49" si="2657">AZ46*$G$49</f>
        <v>4</v>
      </c>
      <c r="BB49" s="47"/>
      <c r="BC49" s="38">
        <f t="shared" ref="BC49" si="2658">BB46*$G$49</f>
        <v>4</v>
      </c>
      <c r="BD49" s="47"/>
      <c r="BE49" s="38">
        <f t="shared" ref="BE49" si="2659">BD46*$G$49</f>
        <v>4</v>
      </c>
      <c r="BF49" s="47"/>
      <c r="BG49" s="38">
        <f t="shared" ref="BG49" si="2660">BF46*$G$49</f>
        <v>4</v>
      </c>
      <c r="BH49" s="47"/>
      <c r="BI49" s="38">
        <f t="shared" ref="BI49" si="2661">BH46*$G$49</f>
        <v>4</v>
      </c>
      <c r="BJ49" s="47"/>
      <c r="BK49" s="38">
        <f t="shared" ref="BK49" si="2662">BJ46*$G$49</f>
        <v>4</v>
      </c>
      <c r="BL49" s="47"/>
      <c r="BM49" s="38">
        <f t="shared" ref="BM49" si="2663">BL46*$G$49</f>
        <v>4</v>
      </c>
      <c r="BN49" s="47"/>
      <c r="BO49" s="38">
        <f t="shared" ref="BO49" si="2664">BN46*$G$49</f>
        <v>4</v>
      </c>
      <c r="BP49" s="47"/>
      <c r="BQ49" s="38">
        <f t="shared" ref="BQ49" si="2665">BP46*$G$49</f>
        <v>4</v>
      </c>
      <c r="BR49" s="47"/>
      <c r="BS49" s="38">
        <f t="shared" ref="BS49" si="2666">BR46*$G$49</f>
        <v>4</v>
      </c>
      <c r="BT49" s="47"/>
      <c r="BU49" s="38">
        <f t="shared" ref="BU49" si="2667">BT46*$G$49</f>
        <v>4</v>
      </c>
      <c r="BV49" s="47"/>
      <c r="BW49" s="38">
        <f t="shared" ref="BW49" si="2668">BV46*$G$49</f>
        <v>4</v>
      </c>
      <c r="BX49" s="47"/>
      <c r="BY49" s="38">
        <f t="shared" ref="BY49" si="2669">BX46*$G$49</f>
        <v>4</v>
      </c>
      <c r="BZ49" s="47"/>
      <c r="CA49" s="38">
        <f t="shared" ref="CA49" si="2670">BZ46*$G$49</f>
        <v>4</v>
      </c>
      <c r="CB49" s="47"/>
      <c r="CC49" s="38">
        <f t="shared" ref="CC49" si="2671">CB46*$G$49</f>
        <v>4</v>
      </c>
      <c r="CD49" s="47"/>
      <c r="CE49" s="38">
        <f t="shared" ref="CE49" si="2672">CD46*$G$49</f>
        <v>4</v>
      </c>
      <c r="CF49" s="47"/>
      <c r="CG49" s="38">
        <f t="shared" ref="CG49" si="2673">CF46*$G$49</f>
        <v>4</v>
      </c>
      <c r="CH49" s="47"/>
      <c r="CI49" s="38">
        <f t="shared" ref="CI49" si="2674">CH46*$G$49</f>
        <v>4</v>
      </c>
      <c r="CJ49" s="47"/>
      <c r="CK49" s="38">
        <f t="shared" ref="CK49" si="2675">CJ46*$G$49</f>
        <v>4</v>
      </c>
      <c r="CL49" s="47"/>
      <c r="CM49" s="38">
        <f t="shared" ref="CM49" si="2676">CL46*$G$49</f>
        <v>2</v>
      </c>
      <c r="CN49" s="47"/>
      <c r="CO49" s="38">
        <f t="shared" ref="CO49" si="2677">CN46*$G$49</f>
        <v>2</v>
      </c>
      <c r="CP49" s="47"/>
      <c r="CQ49" s="38">
        <f t="shared" ref="CQ49" si="2678">CP46*$G$49</f>
        <v>2</v>
      </c>
      <c r="CR49" s="47"/>
      <c r="CS49" s="38">
        <f t="shared" ref="CS49" si="2679">CR46*$G$49</f>
        <v>2</v>
      </c>
      <c r="CT49" s="47"/>
      <c r="CU49" s="38">
        <f t="shared" ref="CU49" si="2680">CT46*$G$49</f>
        <v>2</v>
      </c>
      <c r="CV49" s="47"/>
      <c r="CW49" s="38">
        <f t="shared" ref="CW49" si="2681">CV46*$G$49</f>
        <v>2</v>
      </c>
      <c r="CX49" s="47"/>
      <c r="CY49" s="38">
        <f t="shared" ref="CY49" si="2682">CX46*$G$49</f>
        <v>2</v>
      </c>
      <c r="CZ49" s="47"/>
      <c r="DA49" s="38">
        <f t="shared" ref="DA49" si="2683">CZ46*$G$49</f>
        <v>2</v>
      </c>
      <c r="DB49" s="47"/>
      <c r="DC49" s="38">
        <f t="shared" ref="DC49" si="2684">DB46*$G$49</f>
        <v>2</v>
      </c>
      <c r="DD49" s="47"/>
      <c r="DE49" s="38">
        <f t="shared" ref="DE49" si="2685">DD46*$G$49</f>
        <v>2</v>
      </c>
      <c r="DF49" s="47"/>
      <c r="DG49" s="38">
        <f t="shared" ref="DG49" si="2686">DF46*$G$49</f>
        <v>2</v>
      </c>
      <c r="DH49" s="47"/>
      <c r="DI49" s="38">
        <f t="shared" ref="DI49" si="2687">DH46*$G$49</f>
        <v>2</v>
      </c>
      <c r="DJ49" s="47"/>
      <c r="DK49" s="38">
        <f t="shared" ref="DK49" si="2688">DJ46*$G$49</f>
        <v>2</v>
      </c>
      <c r="DL49" s="47"/>
      <c r="DM49" s="38">
        <f t="shared" ref="DM49" si="2689">DL46*$G$49</f>
        <v>2</v>
      </c>
      <c r="DN49" s="47"/>
      <c r="DO49" s="38">
        <f t="shared" ref="DO49" si="2690">DN46*$G$49</f>
        <v>2</v>
      </c>
      <c r="DP49" s="47"/>
      <c r="DQ49" s="38">
        <f t="shared" ref="DQ49" si="2691">DP46*$G$49</f>
        <v>2</v>
      </c>
      <c r="DR49" s="47"/>
      <c r="DS49" s="38">
        <f t="shared" ref="DS49" si="2692">DR46*$G$49</f>
        <v>2</v>
      </c>
      <c r="DT49" s="47"/>
      <c r="DU49" s="38">
        <f t="shared" ref="DU49" si="2693">DT46*$G$49</f>
        <v>2</v>
      </c>
      <c r="DV49" s="47"/>
      <c r="DW49" s="38">
        <f t="shared" ref="DW49" si="2694">DV46*$G$49</f>
        <v>2</v>
      </c>
      <c r="DX49" s="47"/>
      <c r="DY49" s="38">
        <f t="shared" ref="DY49" si="2695">DX46*$G$49</f>
        <v>2</v>
      </c>
      <c r="DZ49" s="47"/>
      <c r="EA49" s="38">
        <f t="shared" ref="EA49" si="2696">DZ46*$G$49</f>
        <v>2</v>
      </c>
      <c r="EB49" s="47"/>
      <c r="EC49" s="38">
        <f t="shared" ref="EC49" si="2697">EB46*$G$49</f>
        <v>2</v>
      </c>
      <c r="ED49" s="47"/>
      <c r="EE49" s="38">
        <f t="shared" ref="EE49" si="2698">ED46*$G$49</f>
        <v>2</v>
      </c>
      <c r="EF49" s="47"/>
      <c r="EG49" s="38">
        <f t="shared" ref="EG49" si="2699">EF46*$G$49</f>
        <v>2</v>
      </c>
      <c r="EH49" s="47"/>
      <c r="EI49" s="38">
        <f t="shared" ref="EI49" si="2700">EH46*$G$49</f>
        <v>2</v>
      </c>
      <c r="EJ49" s="47"/>
      <c r="EK49" s="38">
        <f t="shared" ref="EK49" si="2701">EJ46*$G$49</f>
        <v>2</v>
      </c>
      <c r="EL49" s="47"/>
      <c r="EM49" s="38">
        <f t="shared" ref="EM49" si="2702">EL46*$G$49</f>
        <v>2</v>
      </c>
      <c r="EN49" s="47"/>
      <c r="EO49" s="38">
        <f t="shared" ref="EO49" si="2703">EN46*$G$49</f>
        <v>2</v>
      </c>
      <c r="EP49" s="47"/>
      <c r="EQ49" s="38">
        <f t="shared" ref="EQ49" si="2704">EP46*$G$49</f>
        <v>2</v>
      </c>
      <c r="ER49" s="47"/>
      <c r="ES49" s="38">
        <f t="shared" ref="ES49" si="2705">ER46*$G$49</f>
        <v>2</v>
      </c>
      <c r="ET49" s="47"/>
      <c r="EU49" s="38">
        <f t="shared" ref="EU49" si="2706">ET46*$G$49</f>
        <v>2</v>
      </c>
      <c r="EV49" s="47"/>
      <c r="EW49" s="38">
        <f t="shared" ref="EW49" si="2707">EV46*$G$49</f>
        <v>2</v>
      </c>
      <c r="EX49" s="47"/>
      <c r="EY49" s="38">
        <f t="shared" ref="EY49" si="2708">EX46*$G$49</f>
        <v>2</v>
      </c>
      <c r="EZ49" s="47"/>
      <c r="FA49" s="38">
        <f t="shared" ref="FA49" si="2709">EZ46*$G$49</f>
        <v>2</v>
      </c>
      <c r="FB49" s="47"/>
      <c r="FC49" s="38">
        <f t="shared" ref="FC49" si="2710">FB46*$G$49</f>
        <v>2</v>
      </c>
      <c r="FD49" s="47"/>
      <c r="FE49" s="38">
        <f t="shared" ref="FE49" si="2711">FD46*$G$49</f>
        <v>2</v>
      </c>
      <c r="FF49" s="47"/>
      <c r="FG49" s="38">
        <f t="shared" ref="FG49" si="2712">FF46*$G$49</f>
        <v>2</v>
      </c>
      <c r="FH49" s="47"/>
      <c r="FI49" s="38">
        <f t="shared" ref="FI49" si="2713">FH46*$G$49</f>
        <v>2</v>
      </c>
      <c r="FJ49" s="47"/>
      <c r="FK49" s="38">
        <f t="shared" ref="FK49" si="2714">FJ46*$G$49</f>
        <v>2</v>
      </c>
      <c r="FL49" s="47"/>
      <c r="FM49" s="38">
        <f t="shared" ref="FM49" si="2715">FL46*$G$49</f>
        <v>2</v>
      </c>
      <c r="FN49" s="47"/>
      <c r="FO49" s="38">
        <f t="shared" ref="FO49" si="2716">FN46*$G$49</f>
        <v>2</v>
      </c>
      <c r="FP49" s="47"/>
      <c r="FQ49" s="38">
        <f t="shared" ref="FQ49" si="2717">FP46*$G$49</f>
        <v>2</v>
      </c>
    </row>
    <row r="50" spans="1:173" x14ac:dyDescent="0.35">
      <c r="A50" s="14" t="s">
        <v>137</v>
      </c>
      <c r="B50" s="14">
        <v>913</v>
      </c>
      <c r="C50" s="14" t="s">
        <v>94</v>
      </c>
      <c r="D50" s="14" t="s">
        <v>144</v>
      </c>
      <c r="E50" s="14" t="s">
        <v>142</v>
      </c>
      <c r="F50" s="14">
        <v>5</v>
      </c>
      <c r="G50" s="14">
        <v>2</v>
      </c>
      <c r="H50" s="47"/>
      <c r="I50" s="14">
        <f t="shared" ref="I50" si="2718">H46*G50</f>
        <v>320</v>
      </c>
      <c r="J50" s="47"/>
      <c r="K50" s="38">
        <f>J46*$G$50</f>
        <v>10</v>
      </c>
      <c r="L50" s="47"/>
      <c r="M50" s="38">
        <f t="shared" ref="M50" si="2719">L46*$G$50</f>
        <v>10</v>
      </c>
      <c r="N50" s="47"/>
      <c r="O50" s="38">
        <f t="shared" ref="O50" si="2720">N46*$G$50</f>
        <v>10</v>
      </c>
      <c r="P50" s="47"/>
      <c r="Q50" s="38">
        <f t="shared" ref="Q50" si="2721">P46*$G$50</f>
        <v>10</v>
      </c>
      <c r="R50" s="47"/>
      <c r="S50" s="38">
        <f t="shared" ref="S50" si="2722">R46*$G$50</f>
        <v>10</v>
      </c>
      <c r="T50" s="47"/>
      <c r="U50" s="38">
        <f t="shared" ref="U50" si="2723">T46*$G$50</f>
        <v>10</v>
      </c>
      <c r="V50" s="47"/>
      <c r="W50" s="38">
        <f t="shared" ref="W50" si="2724">V46*$G$50</f>
        <v>10</v>
      </c>
      <c r="X50" s="47"/>
      <c r="Y50" s="38">
        <f t="shared" ref="Y50" si="2725">X46*$G$50</f>
        <v>10</v>
      </c>
      <c r="Z50" s="47"/>
      <c r="AA50" s="38">
        <f t="shared" ref="AA50" si="2726">Z46*$G$50</f>
        <v>10</v>
      </c>
      <c r="AB50" s="47"/>
      <c r="AC50" s="38">
        <f t="shared" ref="AC50" si="2727">AB46*$G$50</f>
        <v>8</v>
      </c>
      <c r="AD50" s="47"/>
      <c r="AE50" s="38">
        <f t="shared" ref="AE50" si="2728">AD46*$G$50</f>
        <v>8</v>
      </c>
      <c r="AF50" s="47"/>
      <c r="AG50" s="38">
        <f t="shared" ref="AG50" si="2729">AF46*$G$50</f>
        <v>8</v>
      </c>
      <c r="AH50" s="47"/>
      <c r="AI50" s="38">
        <f t="shared" ref="AI50" si="2730">AH46*$G$50</f>
        <v>8</v>
      </c>
      <c r="AJ50" s="47"/>
      <c r="AK50" s="38">
        <f t="shared" ref="AK50" si="2731">AJ46*$G$50</f>
        <v>4</v>
      </c>
      <c r="AL50" s="47"/>
      <c r="AM50" s="38">
        <f t="shared" ref="AM50" si="2732">AL46*$G$50</f>
        <v>4</v>
      </c>
      <c r="AN50" s="47"/>
      <c r="AO50" s="38">
        <f t="shared" ref="AO50" si="2733">AN46*$G$50</f>
        <v>4</v>
      </c>
      <c r="AP50" s="47"/>
      <c r="AQ50" s="38">
        <f t="shared" ref="AQ50" si="2734">AP46*$G$50</f>
        <v>4</v>
      </c>
      <c r="AR50" s="47"/>
      <c r="AS50" s="38">
        <f t="shared" ref="AS50" si="2735">AR46*$G$50</f>
        <v>4</v>
      </c>
      <c r="AT50" s="47"/>
      <c r="AU50" s="38">
        <f t="shared" ref="AU50" si="2736">AT46*$G$50</f>
        <v>4</v>
      </c>
      <c r="AV50" s="47"/>
      <c r="AW50" s="38">
        <f t="shared" ref="AW50" si="2737">AV46*$G$50</f>
        <v>4</v>
      </c>
      <c r="AX50" s="47"/>
      <c r="AY50" s="38">
        <f t="shared" ref="AY50" si="2738">AX46*$G$50</f>
        <v>4</v>
      </c>
      <c r="AZ50" s="47"/>
      <c r="BA50" s="38">
        <f t="shared" ref="BA50" si="2739">AZ46*$G$50</f>
        <v>4</v>
      </c>
      <c r="BB50" s="47"/>
      <c r="BC50" s="38">
        <f t="shared" ref="BC50" si="2740">BB46*$G$50</f>
        <v>4</v>
      </c>
      <c r="BD50" s="47"/>
      <c r="BE50" s="38">
        <f t="shared" ref="BE50" si="2741">BD46*$G$50</f>
        <v>4</v>
      </c>
      <c r="BF50" s="47"/>
      <c r="BG50" s="38">
        <f t="shared" ref="BG50" si="2742">BF46*$G$50</f>
        <v>4</v>
      </c>
      <c r="BH50" s="47"/>
      <c r="BI50" s="38">
        <f t="shared" ref="BI50" si="2743">BH46*$G$50</f>
        <v>4</v>
      </c>
      <c r="BJ50" s="47"/>
      <c r="BK50" s="38">
        <f t="shared" ref="BK50" si="2744">BJ46*$G$50</f>
        <v>4</v>
      </c>
      <c r="BL50" s="47"/>
      <c r="BM50" s="38">
        <f t="shared" ref="BM50" si="2745">BL46*$G$50</f>
        <v>4</v>
      </c>
      <c r="BN50" s="47"/>
      <c r="BO50" s="38">
        <f t="shared" ref="BO50" si="2746">BN46*$G$50</f>
        <v>4</v>
      </c>
      <c r="BP50" s="47"/>
      <c r="BQ50" s="38">
        <f t="shared" ref="BQ50" si="2747">BP46*$G$50</f>
        <v>4</v>
      </c>
      <c r="BR50" s="47"/>
      <c r="BS50" s="38">
        <f t="shared" ref="BS50" si="2748">BR46*$G$50</f>
        <v>4</v>
      </c>
      <c r="BT50" s="47"/>
      <c r="BU50" s="38">
        <f t="shared" ref="BU50" si="2749">BT46*$G$50</f>
        <v>4</v>
      </c>
      <c r="BV50" s="47"/>
      <c r="BW50" s="38">
        <f t="shared" ref="BW50" si="2750">BV46*$G$50</f>
        <v>4</v>
      </c>
      <c r="BX50" s="47"/>
      <c r="BY50" s="38">
        <f t="shared" ref="BY50" si="2751">BX46*$G$50</f>
        <v>4</v>
      </c>
      <c r="BZ50" s="47"/>
      <c r="CA50" s="38">
        <f t="shared" ref="CA50" si="2752">BZ46*$G$50</f>
        <v>4</v>
      </c>
      <c r="CB50" s="47"/>
      <c r="CC50" s="38">
        <f t="shared" ref="CC50" si="2753">CB46*$G$50</f>
        <v>4</v>
      </c>
      <c r="CD50" s="47"/>
      <c r="CE50" s="38">
        <f t="shared" ref="CE50" si="2754">CD46*$G$50</f>
        <v>4</v>
      </c>
      <c r="CF50" s="47"/>
      <c r="CG50" s="38">
        <f t="shared" ref="CG50" si="2755">CF46*$G$50</f>
        <v>4</v>
      </c>
      <c r="CH50" s="47"/>
      <c r="CI50" s="38">
        <f t="shared" ref="CI50" si="2756">CH46*$G$50</f>
        <v>4</v>
      </c>
      <c r="CJ50" s="47"/>
      <c r="CK50" s="38">
        <f t="shared" ref="CK50" si="2757">CJ46*$G$50</f>
        <v>4</v>
      </c>
      <c r="CL50" s="47"/>
      <c r="CM50" s="38">
        <f t="shared" ref="CM50" si="2758">CL46*$G$50</f>
        <v>2</v>
      </c>
      <c r="CN50" s="47"/>
      <c r="CO50" s="38">
        <f t="shared" ref="CO50" si="2759">CN46*$G$50</f>
        <v>2</v>
      </c>
      <c r="CP50" s="47"/>
      <c r="CQ50" s="38">
        <f t="shared" ref="CQ50" si="2760">CP46*$G$50</f>
        <v>2</v>
      </c>
      <c r="CR50" s="47"/>
      <c r="CS50" s="38">
        <f t="shared" ref="CS50" si="2761">CR46*$G$50</f>
        <v>2</v>
      </c>
      <c r="CT50" s="47"/>
      <c r="CU50" s="38">
        <f t="shared" ref="CU50" si="2762">CT46*$G$50</f>
        <v>2</v>
      </c>
      <c r="CV50" s="47"/>
      <c r="CW50" s="38">
        <f t="shared" ref="CW50" si="2763">CV46*$G$50</f>
        <v>2</v>
      </c>
      <c r="CX50" s="47"/>
      <c r="CY50" s="38">
        <f t="shared" ref="CY50" si="2764">CX46*$G$50</f>
        <v>2</v>
      </c>
      <c r="CZ50" s="47"/>
      <c r="DA50" s="38">
        <f t="shared" ref="DA50" si="2765">CZ46*$G$50</f>
        <v>2</v>
      </c>
      <c r="DB50" s="47"/>
      <c r="DC50" s="38">
        <f t="shared" ref="DC50" si="2766">DB46*$G$50</f>
        <v>2</v>
      </c>
      <c r="DD50" s="47"/>
      <c r="DE50" s="38">
        <f t="shared" ref="DE50" si="2767">DD46*$G$50</f>
        <v>2</v>
      </c>
      <c r="DF50" s="47"/>
      <c r="DG50" s="38">
        <f t="shared" ref="DG50" si="2768">DF46*$G$50</f>
        <v>2</v>
      </c>
      <c r="DH50" s="47"/>
      <c r="DI50" s="38">
        <f t="shared" ref="DI50" si="2769">DH46*$G$50</f>
        <v>2</v>
      </c>
      <c r="DJ50" s="47"/>
      <c r="DK50" s="38">
        <f t="shared" ref="DK50" si="2770">DJ46*$G$50</f>
        <v>2</v>
      </c>
      <c r="DL50" s="47"/>
      <c r="DM50" s="38">
        <f t="shared" ref="DM50" si="2771">DL46*$G$50</f>
        <v>2</v>
      </c>
      <c r="DN50" s="47"/>
      <c r="DO50" s="38">
        <f t="shared" ref="DO50" si="2772">DN46*$G$50</f>
        <v>2</v>
      </c>
      <c r="DP50" s="47"/>
      <c r="DQ50" s="38">
        <f t="shared" ref="DQ50" si="2773">DP46*$G$50</f>
        <v>2</v>
      </c>
      <c r="DR50" s="47"/>
      <c r="DS50" s="38">
        <f t="shared" ref="DS50" si="2774">DR46*$G$50</f>
        <v>2</v>
      </c>
      <c r="DT50" s="47"/>
      <c r="DU50" s="38">
        <f t="shared" ref="DU50" si="2775">DT46*$G$50</f>
        <v>2</v>
      </c>
      <c r="DV50" s="47"/>
      <c r="DW50" s="38">
        <f t="shared" ref="DW50" si="2776">DV46*$G$50</f>
        <v>2</v>
      </c>
      <c r="DX50" s="47"/>
      <c r="DY50" s="38">
        <f t="shared" ref="DY50" si="2777">DX46*$G$50</f>
        <v>2</v>
      </c>
      <c r="DZ50" s="47"/>
      <c r="EA50" s="38">
        <f t="shared" ref="EA50" si="2778">DZ46*$G$50</f>
        <v>2</v>
      </c>
      <c r="EB50" s="47"/>
      <c r="EC50" s="38">
        <f t="shared" ref="EC50" si="2779">EB46*$G$50</f>
        <v>2</v>
      </c>
      <c r="ED50" s="47"/>
      <c r="EE50" s="38">
        <f t="shared" ref="EE50" si="2780">ED46*$G$50</f>
        <v>2</v>
      </c>
      <c r="EF50" s="47"/>
      <c r="EG50" s="38">
        <f t="shared" ref="EG50" si="2781">EF46*$G$50</f>
        <v>2</v>
      </c>
      <c r="EH50" s="47"/>
      <c r="EI50" s="38">
        <f t="shared" ref="EI50" si="2782">EH46*$G$50</f>
        <v>2</v>
      </c>
      <c r="EJ50" s="47"/>
      <c r="EK50" s="38">
        <f t="shared" ref="EK50" si="2783">EJ46*$G$50</f>
        <v>2</v>
      </c>
      <c r="EL50" s="47"/>
      <c r="EM50" s="38">
        <f t="shared" ref="EM50" si="2784">EL46*$G$50</f>
        <v>2</v>
      </c>
      <c r="EN50" s="47"/>
      <c r="EO50" s="38">
        <f t="shared" ref="EO50" si="2785">EN46*$G$50</f>
        <v>2</v>
      </c>
      <c r="EP50" s="47"/>
      <c r="EQ50" s="38">
        <f t="shared" ref="EQ50" si="2786">EP46*$G$50</f>
        <v>2</v>
      </c>
      <c r="ER50" s="47"/>
      <c r="ES50" s="38">
        <f t="shared" ref="ES50" si="2787">ER46*$G$50</f>
        <v>2</v>
      </c>
      <c r="ET50" s="47"/>
      <c r="EU50" s="38">
        <f t="shared" ref="EU50" si="2788">ET46*$G$50</f>
        <v>2</v>
      </c>
      <c r="EV50" s="47"/>
      <c r="EW50" s="38">
        <f t="shared" ref="EW50" si="2789">EV46*$G$50</f>
        <v>2</v>
      </c>
      <c r="EX50" s="47"/>
      <c r="EY50" s="38">
        <f t="shared" ref="EY50" si="2790">EX46*$G$50</f>
        <v>2</v>
      </c>
      <c r="EZ50" s="47"/>
      <c r="FA50" s="38">
        <f t="shared" ref="FA50" si="2791">EZ46*$G$50</f>
        <v>2</v>
      </c>
      <c r="FB50" s="47"/>
      <c r="FC50" s="38">
        <f t="shared" ref="FC50" si="2792">FB46*$G$50</f>
        <v>2</v>
      </c>
      <c r="FD50" s="47"/>
      <c r="FE50" s="38">
        <f t="shared" ref="FE50" si="2793">FD46*$G$50</f>
        <v>2</v>
      </c>
      <c r="FF50" s="47"/>
      <c r="FG50" s="38">
        <f t="shared" ref="FG50" si="2794">FF46*$G$50</f>
        <v>2</v>
      </c>
      <c r="FH50" s="47"/>
      <c r="FI50" s="38">
        <f t="shared" ref="FI50" si="2795">FH46*$G$50</f>
        <v>2</v>
      </c>
      <c r="FJ50" s="47"/>
      <c r="FK50" s="38">
        <f t="shared" ref="FK50" si="2796">FJ46*$G$50</f>
        <v>2</v>
      </c>
      <c r="FL50" s="47"/>
      <c r="FM50" s="38">
        <f t="shared" ref="FM50" si="2797">FL46*$G$50</f>
        <v>2</v>
      </c>
      <c r="FN50" s="47"/>
      <c r="FO50" s="38">
        <f t="shared" ref="FO50" si="2798">FN46*$G$50</f>
        <v>2</v>
      </c>
      <c r="FP50" s="47"/>
      <c r="FQ50" s="38">
        <f t="shared" ref="FQ50" si="2799">FP46*$G$50</f>
        <v>2</v>
      </c>
    </row>
    <row r="51" spans="1:173" x14ac:dyDescent="0.35">
      <c r="A51" s="14" t="s">
        <v>137</v>
      </c>
      <c r="B51" s="14">
        <v>913</v>
      </c>
      <c r="C51" s="14" t="s">
        <v>94</v>
      </c>
      <c r="D51" s="14" t="s">
        <v>144</v>
      </c>
      <c r="E51" s="14" t="s">
        <v>143</v>
      </c>
      <c r="F51" s="14">
        <v>6</v>
      </c>
      <c r="G51" s="14">
        <v>0</v>
      </c>
      <c r="H51" s="47"/>
      <c r="I51" s="14">
        <f t="shared" ref="I51" si="2800">H46*G51</f>
        <v>0</v>
      </c>
      <c r="J51" s="47"/>
      <c r="K51" s="38">
        <f>J46*$G$51</f>
        <v>0</v>
      </c>
      <c r="L51" s="47"/>
      <c r="M51" s="38">
        <f t="shared" ref="M51" si="2801">L46*$G$51</f>
        <v>0</v>
      </c>
      <c r="N51" s="47"/>
      <c r="O51" s="38">
        <f t="shared" ref="O51" si="2802">N46*$G$51</f>
        <v>0</v>
      </c>
      <c r="P51" s="47"/>
      <c r="Q51" s="38">
        <f t="shared" ref="Q51" si="2803">P46*$G$51</f>
        <v>0</v>
      </c>
      <c r="R51" s="47"/>
      <c r="S51" s="38">
        <f t="shared" ref="S51" si="2804">R46*$G$51</f>
        <v>0</v>
      </c>
      <c r="T51" s="47"/>
      <c r="U51" s="38">
        <f t="shared" ref="U51" si="2805">T46*$G$51</f>
        <v>0</v>
      </c>
      <c r="V51" s="47"/>
      <c r="W51" s="38">
        <f t="shared" ref="W51" si="2806">V46*$G$51</f>
        <v>0</v>
      </c>
      <c r="X51" s="47"/>
      <c r="Y51" s="38">
        <f t="shared" ref="Y51" si="2807">X46*$G$51</f>
        <v>0</v>
      </c>
      <c r="Z51" s="47"/>
      <c r="AA51" s="38">
        <f t="shared" ref="AA51" si="2808">Z46*$G$51</f>
        <v>0</v>
      </c>
      <c r="AB51" s="47"/>
      <c r="AC51" s="38">
        <f t="shared" ref="AC51" si="2809">AB46*$G$51</f>
        <v>0</v>
      </c>
      <c r="AD51" s="47"/>
      <c r="AE51" s="38">
        <f t="shared" ref="AE51" si="2810">AD46*$G$51</f>
        <v>0</v>
      </c>
      <c r="AF51" s="47"/>
      <c r="AG51" s="38">
        <f t="shared" ref="AG51" si="2811">AF46*$G$51</f>
        <v>0</v>
      </c>
      <c r="AH51" s="47"/>
      <c r="AI51" s="38">
        <f t="shared" ref="AI51" si="2812">AH46*$G$51</f>
        <v>0</v>
      </c>
      <c r="AJ51" s="47"/>
      <c r="AK51" s="38">
        <f t="shared" ref="AK51" si="2813">AJ46*$G$51</f>
        <v>0</v>
      </c>
      <c r="AL51" s="47"/>
      <c r="AM51" s="38">
        <f t="shared" ref="AM51" si="2814">AL46*$G$51</f>
        <v>0</v>
      </c>
      <c r="AN51" s="47"/>
      <c r="AO51" s="38">
        <f t="shared" ref="AO51" si="2815">AN46*$G$51</f>
        <v>0</v>
      </c>
      <c r="AP51" s="47"/>
      <c r="AQ51" s="38">
        <f t="shared" ref="AQ51" si="2816">AP46*$G$51</f>
        <v>0</v>
      </c>
      <c r="AR51" s="47"/>
      <c r="AS51" s="38">
        <f t="shared" ref="AS51" si="2817">AR46*$G$51</f>
        <v>0</v>
      </c>
      <c r="AT51" s="47"/>
      <c r="AU51" s="38">
        <f t="shared" ref="AU51" si="2818">AT46*$G$51</f>
        <v>0</v>
      </c>
      <c r="AV51" s="47"/>
      <c r="AW51" s="38">
        <f t="shared" ref="AW51" si="2819">AV46*$G$51</f>
        <v>0</v>
      </c>
      <c r="AX51" s="47"/>
      <c r="AY51" s="38">
        <f t="shared" ref="AY51" si="2820">AX46*$G$51</f>
        <v>0</v>
      </c>
      <c r="AZ51" s="47"/>
      <c r="BA51" s="38">
        <f t="shared" ref="BA51" si="2821">AZ46*$G$51</f>
        <v>0</v>
      </c>
      <c r="BB51" s="47"/>
      <c r="BC51" s="38">
        <f t="shared" ref="BC51" si="2822">BB46*$G$51</f>
        <v>0</v>
      </c>
      <c r="BD51" s="47"/>
      <c r="BE51" s="38">
        <f t="shared" ref="BE51" si="2823">BD46*$G$51</f>
        <v>0</v>
      </c>
      <c r="BF51" s="47"/>
      <c r="BG51" s="38">
        <f t="shared" ref="BG51" si="2824">BF46*$G$51</f>
        <v>0</v>
      </c>
      <c r="BH51" s="47"/>
      <c r="BI51" s="38">
        <f t="shared" ref="BI51" si="2825">BH46*$G$51</f>
        <v>0</v>
      </c>
      <c r="BJ51" s="47"/>
      <c r="BK51" s="38">
        <f t="shared" ref="BK51" si="2826">BJ46*$G$51</f>
        <v>0</v>
      </c>
      <c r="BL51" s="47"/>
      <c r="BM51" s="38">
        <f t="shared" ref="BM51" si="2827">BL46*$G$51</f>
        <v>0</v>
      </c>
      <c r="BN51" s="47"/>
      <c r="BO51" s="38">
        <f t="shared" ref="BO51" si="2828">BN46*$G$51</f>
        <v>0</v>
      </c>
      <c r="BP51" s="47"/>
      <c r="BQ51" s="38">
        <f t="shared" ref="BQ51" si="2829">BP46*$G$51</f>
        <v>0</v>
      </c>
      <c r="BR51" s="47"/>
      <c r="BS51" s="38">
        <f t="shared" ref="BS51" si="2830">BR46*$G$51</f>
        <v>0</v>
      </c>
      <c r="BT51" s="47"/>
      <c r="BU51" s="38">
        <f t="shared" ref="BU51" si="2831">BT46*$G$51</f>
        <v>0</v>
      </c>
      <c r="BV51" s="47"/>
      <c r="BW51" s="38">
        <f t="shared" ref="BW51" si="2832">BV46*$G$51</f>
        <v>0</v>
      </c>
      <c r="BX51" s="47"/>
      <c r="BY51" s="38">
        <f t="shared" ref="BY51" si="2833">BX46*$G$51</f>
        <v>0</v>
      </c>
      <c r="BZ51" s="47"/>
      <c r="CA51" s="38">
        <f t="shared" ref="CA51" si="2834">BZ46*$G$51</f>
        <v>0</v>
      </c>
      <c r="CB51" s="47"/>
      <c r="CC51" s="38">
        <f t="shared" ref="CC51" si="2835">CB46*$G$51</f>
        <v>0</v>
      </c>
      <c r="CD51" s="47"/>
      <c r="CE51" s="38">
        <f t="shared" ref="CE51" si="2836">CD46*$G$51</f>
        <v>0</v>
      </c>
      <c r="CF51" s="47"/>
      <c r="CG51" s="38">
        <f t="shared" ref="CG51" si="2837">CF46*$G$51</f>
        <v>0</v>
      </c>
      <c r="CH51" s="47"/>
      <c r="CI51" s="38">
        <f t="shared" ref="CI51" si="2838">CH46*$G$51</f>
        <v>0</v>
      </c>
      <c r="CJ51" s="47"/>
      <c r="CK51" s="38">
        <f t="shared" ref="CK51" si="2839">CJ46*$G$51</f>
        <v>0</v>
      </c>
      <c r="CL51" s="47"/>
      <c r="CM51" s="38">
        <f t="shared" ref="CM51" si="2840">CL46*$G$51</f>
        <v>0</v>
      </c>
      <c r="CN51" s="47"/>
      <c r="CO51" s="38">
        <f t="shared" ref="CO51" si="2841">CN46*$G$51</f>
        <v>0</v>
      </c>
      <c r="CP51" s="47"/>
      <c r="CQ51" s="38">
        <f t="shared" ref="CQ51" si="2842">CP46*$G$51</f>
        <v>0</v>
      </c>
      <c r="CR51" s="47"/>
      <c r="CS51" s="38">
        <f t="shared" ref="CS51" si="2843">CR46*$G$51</f>
        <v>0</v>
      </c>
      <c r="CT51" s="47"/>
      <c r="CU51" s="38">
        <f t="shared" ref="CU51" si="2844">CT46*$G$51</f>
        <v>0</v>
      </c>
      <c r="CV51" s="47"/>
      <c r="CW51" s="38">
        <f t="shared" ref="CW51" si="2845">CV46*$G$51</f>
        <v>0</v>
      </c>
      <c r="CX51" s="47"/>
      <c r="CY51" s="38">
        <f t="shared" ref="CY51" si="2846">CX46*$G$51</f>
        <v>0</v>
      </c>
      <c r="CZ51" s="47"/>
      <c r="DA51" s="38">
        <f t="shared" ref="DA51" si="2847">CZ46*$G$51</f>
        <v>0</v>
      </c>
      <c r="DB51" s="47"/>
      <c r="DC51" s="38">
        <f t="shared" ref="DC51" si="2848">DB46*$G$51</f>
        <v>0</v>
      </c>
      <c r="DD51" s="47"/>
      <c r="DE51" s="38">
        <f t="shared" ref="DE51" si="2849">DD46*$G$51</f>
        <v>0</v>
      </c>
      <c r="DF51" s="47"/>
      <c r="DG51" s="38">
        <f t="shared" ref="DG51" si="2850">DF46*$G$51</f>
        <v>0</v>
      </c>
      <c r="DH51" s="47"/>
      <c r="DI51" s="38">
        <f t="shared" ref="DI51" si="2851">DH46*$G$51</f>
        <v>0</v>
      </c>
      <c r="DJ51" s="47"/>
      <c r="DK51" s="38">
        <f t="shared" ref="DK51" si="2852">DJ46*$G$51</f>
        <v>0</v>
      </c>
      <c r="DL51" s="47"/>
      <c r="DM51" s="38">
        <f t="shared" ref="DM51" si="2853">DL46*$G$51</f>
        <v>0</v>
      </c>
      <c r="DN51" s="47"/>
      <c r="DO51" s="38">
        <f t="shared" ref="DO51" si="2854">DN46*$G$51</f>
        <v>0</v>
      </c>
      <c r="DP51" s="47"/>
      <c r="DQ51" s="38">
        <f t="shared" ref="DQ51" si="2855">DP46*$G$51</f>
        <v>0</v>
      </c>
      <c r="DR51" s="47"/>
      <c r="DS51" s="38">
        <f t="shared" ref="DS51" si="2856">DR46*$G$51</f>
        <v>0</v>
      </c>
      <c r="DT51" s="47"/>
      <c r="DU51" s="38">
        <f t="shared" ref="DU51" si="2857">DT46*$G$51</f>
        <v>0</v>
      </c>
      <c r="DV51" s="47"/>
      <c r="DW51" s="38">
        <f t="shared" ref="DW51" si="2858">DV46*$G$51</f>
        <v>0</v>
      </c>
      <c r="DX51" s="47"/>
      <c r="DY51" s="38">
        <f t="shared" ref="DY51" si="2859">DX46*$G$51</f>
        <v>0</v>
      </c>
      <c r="DZ51" s="47"/>
      <c r="EA51" s="38">
        <f t="shared" ref="EA51" si="2860">DZ46*$G$51</f>
        <v>0</v>
      </c>
      <c r="EB51" s="47"/>
      <c r="EC51" s="38">
        <f t="shared" ref="EC51" si="2861">EB46*$G$51</f>
        <v>0</v>
      </c>
      <c r="ED51" s="47"/>
      <c r="EE51" s="38">
        <f t="shared" ref="EE51" si="2862">ED46*$G$51</f>
        <v>0</v>
      </c>
      <c r="EF51" s="47"/>
      <c r="EG51" s="38">
        <f t="shared" ref="EG51" si="2863">EF46*$G$51</f>
        <v>0</v>
      </c>
      <c r="EH51" s="47"/>
      <c r="EI51" s="38">
        <f t="shared" ref="EI51" si="2864">EH46*$G$51</f>
        <v>0</v>
      </c>
      <c r="EJ51" s="47"/>
      <c r="EK51" s="38">
        <f t="shared" ref="EK51" si="2865">EJ46*$G$51</f>
        <v>0</v>
      </c>
      <c r="EL51" s="47"/>
      <c r="EM51" s="38">
        <f t="shared" ref="EM51" si="2866">EL46*$G$51</f>
        <v>0</v>
      </c>
      <c r="EN51" s="47"/>
      <c r="EO51" s="38">
        <f t="shared" ref="EO51" si="2867">EN46*$G$51</f>
        <v>0</v>
      </c>
      <c r="EP51" s="47"/>
      <c r="EQ51" s="38">
        <f t="shared" ref="EQ51" si="2868">EP46*$G$51</f>
        <v>0</v>
      </c>
      <c r="ER51" s="47"/>
      <c r="ES51" s="38">
        <f t="shared" ref="ES51" si="2869">ER46*$G$51</f>
        <v>0</v>
      </c>
      <c r="ET51" s="47"/>
      <c r="EU51" s="38">
        <f t="shared" ref="EU51" si="2870">ET46*$G$51</f>
        <v>0</v>
      </c>
      <c r="EV51" s="47"/>
      <c r="EW51" s="38">
        <f t="shared" ref="EW51" si="2871">EV46*$G$51</f>
        <v>0</v>
      </c>
      <c r="EX51" s="47"/>
      <c r="EY51" s="38">
        <f t="shared" ref="EY51" si="2872">EX46*$G$51</f>
        <v>0</v>
      </c>
      <c r="EZ51" s="47"/>
      <c r="FA51" s="38">
        <f t="shared" ref="FA51" si="2873">EZ46*$G$51</f>
        <v>0</v>
      </c>
      <c r="FB51" s="47"/>
      <c r="FC51" s="38">
        <f t="shared" ref="FC51" si="2874">FB46*$G$51</f>
        <v>0</v>
      </c>
      <c r="FD51" s="47"/>
      <c r="FE51" s="38">
        <f t="shared" ref="FE51" si="2875">FD46*$G$51</f>
        <v>0</v>
      </c>
      <c r="FF51" s="47"/>
      <c r="FG51" s="38">
        <f t="shared" ref="FG51" si="2876">FF46*$G$51</f>
        <v>0</v>
      </c>
      <c r="FH51" s="47"/>
      <c r="FI51" s="38">
        <f t="shared" ref="FI51" si="2877">FH46*$G$51</f>
        <v>0</v>
      </c>
      <c r="FJ51" s="47"/>
      <c r="FK51" s="38">
        <f t="shared" ref="FK51" si="2878">FJ46*$G$51</f>
        <v>0</v>
      </c>
      <c r="FL51" s="47"/>
      <c r="FM51" s="38">
        <f t="shared" ref="FM51" si="2879">FL46*$G$51</f>
        <v>0</v>
      </c>
      <c r="FN51" s="47"/>
      <c r="FO51" s="38">
        <f t="shared" ref="FO51" si="2880">FN46*$G$51</f>
        <v>0</v>
      </c>
      <c r="FP51" s="47"/>
      <c r="FQ51" s="38">
        <f t="shared" ref="FQ51" si="2881">FP46*$G$51</f>
        <v>0</v>
      </c>
    </row>
    <row r="52" spans="1:173" x14ac:dyDescent="0.35">
      <c r="A52" s="15" t="s">
        <v>137</v>
      </c>
      <c r="B52" s="15">
        <v>913</v>
      </c>
      <c r="C52" s="15" t="s">
        <v>95</v>
      </c>
      <c r="D52" s="15" t="s">
        <v>144</v>
      </c>
      <c r="E52" s="15" t="s">
        <v>145</v>
      </c>
      <c r="F52" s="15">
        <v>1</v>
      </c>
      <c r="G52" s="15">
        <v>0</v>
      </c>
      <c r="H52" s="48">
        <v>140</v>
      </c>
      <c r="I52" s="15">
        <f t="shared" ref="I52" si="2882">H52*G52</f>
        <v>0</v>
      </c>
      <c r="J52" s="48">
        <v>6</v>
      </c>
      <c r="K52" s="39">
        <f>J52*$G$52</f>
        <v>0</v>
      </c>
      <c r="L52" s="48">
        <v>6</v>
      </c>
      <c r="M52" s="39">
        <f t="shared" ref="M52" si="2883">L52*$G$52</f>
        <v>0</v>
      </c>
      <c r="N52" s="48">
        <v>6</v>
      </c>
      <c r="O52" s="39">
        <f t="shared" ref="O52" si="2884">N52*$G$52</f>
        <v>0</v>
      </c>
      <c r="P52" s="48">
        <v>5</v>
      </c>
      <c r="Q52" s="39">
        <f t="shared" ref="Q52" si="2885">P52*$G$52</f>
        <v>0</v>
      </c>
      <c r="R52" s="48">
        <v>5</v>
      </c>
      <c r="S52" s="39">
        <f t="shared" ref="S52" si="2886">R52*$G$52</f>
        <v>0</v>
      </c>
      <c r="T52" s="48">
        <v>5</v>
      </c>
      <c r="U52" s="39">
        <f t="shared" ref="U52" si="2887">T52*$G$52</f>
        <v>0</v>
      </c>
      <c r="V52" s="48">
        <v>5</v>
      </c>
      <c r="W52" s="39">
        <f t="shared" ref="W52" si="2888">V52*$G$52</f>
        <v>0</v>
      </c>
      <c r="X52" s="48">
        <v>5</v>
      </c>
      <c r="Y52" s="39">
        <f t="shared" ref="Y52" si="2889">X52*$G$52</f>
        <v>0</v>
      </c>
      <c r="Z52" s="48">
        <v>5</v>
      </c>
      <c r="AA52" s="39">
        <f t="shared" ref="AA52" si="2890">Z52*$G$52</f>
        <v>0</v>
      </c>
      <c r="AB52" s="48">
        <v>5</v>
      </c>
      <c r="AC52" s="39">
        <f t="shared" ref="AC52" si="2891">AB52*$G$52</f>
        <v>0</v>
      </c>
      <c r="AD52" s="48">
        <v>5</v>
      </c>
      <c r="AE52" s="39">
        <f t="shared" ref="AE52" si="2892">AD52*$G$52</f>
        <v>0</v>
      </c>
      <c r="AF52" s="48">
        <v>5</v>
      </c>
      <c r="AG52" s="39">
        <f t="shared" ref="AG52" si="2893">AF52*$G$52</f>
        <v>0</v>
      </c>
      <c r="AH52" s="48">
        <v>5</v>
      </c>
      <c r="AI52" s="39">
        <f t="shared" ref="AI52" si="2894">AH52*$G$52</f>
        <v>0</v>
      </c>
      <c r="AJ52" s="48">
        <v>1</v>
      </c>
      <c r="AK52" s="39">
        <f t="shared" ref="AK52" si="2895">AJ52*$G$52</f>
        <v>0</v>
      </c>
      <c r="AL52" s="48">
        <v>1</v>
      </c>
      <c r="AM52" s="39">
        <f t="shared" ref="AM52" si="2896">AL52*$G$52</f>
        <v>0</v>
      </c>
      <c r="AN52" s="48">
        <v>1</v>
      </c>
      <c r="AO52" s="39">
        <f t="shared" ref="AO52" si="2897">AN52*$G$52</f>
        <v>0</v>
      </c>
      <c r="AP52" s="48">
        <v>1</v>
      </c>
      <c r="AQ52" s="39">
        <f t="shared" ref="AQ52" si="2898">AP52*$G$52</f>
        <v>0</v>
      </c>
      <c r="AR52" s="48">
        <v>1</v>
      </c>
      <c r="AS52" s="39">
        <f t="shared" ref="AS52" si="2899">AR52*$G$52</f>
        <v>0</v>
      </c>
      <c r="AT52" s="48">
        <v>1</v>
      </c>
      <c r="AU52" s="39">
        <f t="shared" ref="AU52" si="2900">AT52*$G$52</f>
        <v>0</v>
      </c>
      <c r="AV52" s="48">
        <v>1</v>
      </c>
      <c r="AW52" s="39">
        <f t="shared" ref="AW52" si="2901">AV52*$G$52</f>
        <v>0</v>
      </c>
      <c r="AX52" s="48">
        <v>1</v>
      </c>
      <c r="AY52" s="39">
        <f t="shared" ref="AY52" si="2902">AX52*$G$52</f>
        <v>0</v>
      </c>
      <c r="AZ52" s="48">
        <v>1</v>
      </c>
      <c r="BA52" s="39">
        <f t="shared" ref="BA52" si="2903">AZ52*$G$52</f>
        <v>0</v>
      </c>
      <c r="BB52" s="48">
        <v>1</v>
      </c>
      <c r="BC52" s="39">
        <f t="shared" ref="BC52" si="2904">BB52*$G$52</f>
        <v>0</v>
      </c>
      <c r="BD52" s="48">
        <v>1</v>
      </c>
      <c r="BE52" s="39">
        <f t="shared" ref="BE52" si="2905">BD52*$G$52</f>
        <v>0</v>
      </c>
      <c r="BF52" s="48">
        <v>1</v>
      </c>
      <c r="BG52" s="39">
        <f t="shared" ref="BG52" si="2906">BF52*$G$52</f>
        <v>0</v>
      </c>
      <c r="BH52" s="48">
        <v>1</v>
      </c>
      <c r="BI52" s="39">
        <f t="shared" ref="BI52" si="2907">BH52*$G$52</f>
        <v>0</v>
      </c>
      <c r="BJ52" s="48">
        <v>1</v>
      </c>
      <c r="BK52" s="39">
        <f t="shared" ref="BK52" si="2908">BJ52*$G$52</f>
        <v>0</v>
      </c>
      <c r="BL52" s="48">
        <v>1</v>
      </c>
      <c r="BM52" s="39">
        <f t="shared" ref="BM52" si="2909">BL52*$G$52</f>
        <v>0</v>
      </c>
      <c r="BN52" s="48">
        <v>1</v>
      </c>
      <c r="BO52" s="39">
        <f t="shared" ref="BO52" si="2910">BN52*$G$52</f>
        <v>0</v>
      </c>
      <c r="BP52" s="48">
        <v>1</v>
      </c>
      <c r="BQ52" s="39">
        <f t="shared" ref="BQ52" si="2911">BP52*$G$52</f>
        <v>0</v>
      </c>
      <c r="BR52" s="48">
        <v>1</v>
      </c>
      <c r="BS52" s="39">
        <f t="shared" ref="BS52" si="2912">BR52*$G$52</f>
        <v>0</v>
      </c>
      <c r="BT52" s="48">
        <v>1</v>
      </c>
      <c r="BU52" s="39">
        <f t="shared" ref="BU52" si="2913">BT52*$G$52</f>
        <v>0</v>
      </c>
      <c r="BV52" s="48">
        <v>1</v>
      </c>
      <c r="BW52" s="39">
        <f t="shared" ref="BW52" si="2914">BV52*$G$52</f>
        <v>0</v>
      </c>
      <c r="BX52" s="48">
        <v>1</v>
      </c>
      <c r="BY52" s="39">
        <f t="shared" ref="BY52" si="2915">BX52*$G$52</f>
        <v>0</v>
      </c>
      <c r="BZ52" s="48">
        <v>1</v>
      </c>
      <c r="CA52" s="39">
        <f t="shared" ref="CA52" si="2916">BZ52*$G$52</f>
        <v>0</v>
      </c>
      <c r="CB52" s="48">
        <v>1</v>
      </c>
      <c r="CC52" s="39">
        <f t="shared" ref="CC52" si="2917">CB52*$G$52</f>
        <v>0</v>
      </c>
      <c r="CD52" s="48">
        <v>1</v>
      </c>
      <c r="CE52" s="39">
        <f t="shared" ref="CE52" si="2918">CD52*$G$52</f>
        <v>0</v>
      </c>
      <c r="CF52" s="48">
        <v>1</v>
      </c>
      <c r="CG52" s="39">
        <f t="shared" ref="CG52" si="2919">CF52*$G$52</f>
        <v>0</v>
      </c>
      <c r="CH52" s="48">
        <v>1</v>
      </c>
      <c r="CI52" s="39">
        <f t="shared" ref="CI52" si="2920">CH52*$G$52</f>
        <v>0</v>
      </c>
      <c r="CJ52" s="48">
        <v>1</v>
      </c>
      <c r="CK52" s="39">
        <f t="shared" ref="CK52" si="2921">CJ52*$G$52</f>
        <v>0</v>
      </c>
      <c r="CL52" s="48">
        <v>1</v>
      </c>
      <c r="CM52" s="39">
        <f t="shared" ref="CM52" si="2922">CL52*$G$52</f>
        <v>0</v>
      </c>
      <c r="CN52" s="48">
        <v>1</v>
      </c>
      <c r="CO52" s="39">
        <f t="shared" ref="CO52" si="2923">CN52*$G$52</f>
        <v>0</v>
      </c>
      <c r="CP52" s="48">
        <v>1</v>
      </c>
      <c r="CQ52" s="39">
        <f t="shared" ref="CQ52" si="2924">CP52*$G$52</f>
        <v>0</v>
      </c>
      <c r="CR52" s="48">
        <v>1</v>
      </c>
      <c r="CS52" s="39">
        <f t="shared" ref="CS52" si="2925">CR52*$G$52</f>
        <v>0</v>
      </c>
      <c r="CT52" s="48">
        <v>1</v>
      </c>
      <c r="CU52" s="39">
        <f t="shared" ref="CU52" si="2926">CT52*$G$52</f>
        <v>0</v>
      </c>
      <c r="CV52" s="48">
        <v>1</v>
      </c>
      <c r="CW52" s="39">
        <f t="shared" ref="CW52" si="2927">CV52*$G$52</f>
        <v>0</v>
      </c>
      <c r="CX52" s="48">
        <v>1</v>
      </c>
      <c r="CY52" s="39">
        <f t="shared" ref="CY52" si="2928">CX52*$G$52</f>
        <v>0</v>
      </c>
      <c r="CZ52" s="48">
        <v>1</v>
      </c>
      <c r="DA52" s="39">
        <f t="shared" ref="DA52" si="2929">CZ52*$G$52</f>
        <v>0</v>
      </c>
      <c r="DB52" s="48">
        <v>1</v>
      </c>
      <c r="DC52" s="39">
        <f t="shared" ref="DC52" si="2930">DB52*$G$52</f>
        <v>0</v>
      </c>
      <c r="DD52" s="48">
        <v>1</v>
      </c>
      <c r="DE52" s="39">
        <f t="shared" ref="DE52" si="2931">DD52*$G$52</f>
        <v>0</v>
      </c>
      <c r="DF52" s="48">
        <v>1</v>
      </c>
      <c r="DG52" s="39">
        <f t="shared" ref="DG52" si="2932">DF52*$G$52</f>
        <v>0</v>
      </c>
      <c r="DH52" s="48">
        <v>1</v>
      </c>
      <c r="DI52" s="39">
        <f t="shared" ref="DI52" si="2933">DH52*$G$52</f>
        <v>0</v>
      </c>
      <c r="DJ52" s="48">
        <v>1</v>
      </c>
      <c r="DK52" s="39">
        <f t="shared" ref="DK52" si="2934">DJ52*$G$52</f>
        <v>0</v>
      </c>
      <c r="DL52" s="48">
        <v>1</v>
      </c>
      <c r="DM52" s="39">
        <f t="shared" ref="DM52" si="2935">DL52*$G$52</f>
        <v>0</v>
      </c>
      <c r="DN52" s="48">
        <v>1</v>
      </c>
      <c r="DO52" s="39">
        <f t="shared" ref="DO52" si="2936">DN52*$G$52</f>
        <v>0</v>
      </c>
      <c r="DP52" s="48">
        <v>1</v>
      </c>
      <c r="DQ52" s="39">
        <f t="shared" ref="DQ52" si="2937">DP52*$G$52</f>
        <v>0</v>
      </c>
      <c r="DR52" s="48">
        <v>1</v>
      </c>
      <c r="DS52" s="39">
        <f t="shared" ref="DS52" si="2938">DR52*$G$52</f>
        <v>0</v>
      </c>
      <c r="DT52" s="48">
        <v>1</v>
      </c>
      <c r="DU52" s="39">
        <f t="shared" ref="DU52" si="2939">DT52*$G$52</f>
        <v>0</v>
      </c>
      <c r="DV52" s="48">
        <v>1</v>
      </c>
      <c r="DW52" s="39">
        <f t="shared" ref="DW52" si="2940">DV52*$G$52</f>
        <v>0</v>
      </c>
      <c r="DX52" s="48">
        <v>1</v>
      </c>
      <c r="DY52" s="39">
        <f t="shared" ref="DY52" si="2941">DX52*$G$52</f>
        <v>0</v>
      </c>
      <c r="DZ52" s="48">
        <v>1</v>
      </c>
      <c r="EA52" s="39">
        <f t="shared" ref="EA52" si="2942">DZ52*$G$52</f>
        <v>0</v>
      </c>
      <c r="EB52" s="48">
        <v>1</v>
      </c>
      <c r="EC52" s="39">
        <f t="shared" ref="EC52" si="2943">EB52*$G$52</f>
        <v>0</v>
      </c>
      <c r="ED52" s="48">
        <v>1</v>
      </c>
      <c r="EE52" s="39">
        <f t="shared" ref="EE52" si="2944">ED52*$G$52</f>
        <v>0</v>
      </c>
      <c r="EF52" s="48">
        <v>1</v>
      </c>
      <c r="EG52" s="39">
        <f t="shared" ref="EG52" si="2945">EF52*$G$52</f>
        <v>0</v>
      </c>
      <c r="EH52" s="48">
        <v>1</v>
      </c>
      <c r="EI52" s="39">
        <f t="shared" ref="EI52" si="2946">EH52*$G$52</f>
        <v>0</v>
      </c>
      <c r="EJ52" s="48">
        <v>1</v>
      </c>
      <c r="EK52" s="39">
        <f t="shared" ref="EK52" si="2947">EJ52*$G$52</f>
        <v>0</v>
      </c>
      <c r="EL52" s="48">
        <v>1</v>
      </c>
      <c r="EM52" s="39">
        <f t="shared" ref="EM52" si="2948">EL52*$G$52</f>
        <v>0</v>
      </c>
      <c r="EN52" s="48">
        <v>1</v>
      </c>
      <c r="EO52" s="39">
        <f t="shared" ref="EO52" si="2949">EN52*$G$52</f>
        <v>0</v>
      </c>
      <c r="EP52" s="48">
        <v>1</v>
      </c>
      <c r="EQ52" s="39">
        <f t="shared" ref="EQ52" si="2950">EP52*$G$52</f>
        <v>0</v>
      </c>
      <c r="ER52" s="48">
        <v>1</v>
      </c>
      <c r="ES52" s="39">
        <f t="shared" ref="ES52" si="2951">ER52*$G$52</f>
        <v>0</v>
      </c>
      <c r="ET52" s="48">
        <v>1</v>
      </c>
      <c r="EU52" s="39">
        <f t="shared" ref="EU52" si="2952">ET52*$G$52</f>
        <v>0</v>
      </c>
      <c r="EV52" s="48">
        <v>1</v>
      </c>
      <c r="EW52" s="39">
        <f t="shared" ref="EW52" si="2953">EV52*$G$52</f>
        <v>0</v>
      </c>
      <c r="EX52" s="48">
        <v>1</v>
      </c>
      <c r="EY52" s="39">
        <f t="shared" ref="EY52" si="2954">EX52*$G$52</f>
        <v>0</v>
      </c>
      <c r="EZ52" s="48">
        <v>1</v>
      </c>
      <c r="FA52" s="39">
        <f t="shared" ref="FA52" si="2955">EZ52*$G$52</f>
        <v>0</v>
      </c>
      <c r="FB52" s="48">
        <v>1</v>
      </c>
      <c r="FC52" s="39">
        <f t="shared" ref="FC52" si="2956">FB52*$G$52</f>
        <v>0</v>
      </c>
      <c r="FD52" s="48">
        <v>1</v>
      </c>
      <c r="FE52" s="39">
        <f t="shared" ref="FE52" si="2957">FD52*$G$52</f>
        <v>0</v>
      </c>
      <c r="FF52" s="48">
        <v>1</v>
      </c>
      <c r="FG52" s="39">
        <f t="shared" ref="FG52" si="2958">FF52*$G$52</f>
        <v>0</v>
      </c>
      <c r="FH52" s="48">
        <v>1</v>
      </c>
      <c r="FI52" s="39">
        <f t="shared" ref="FI52" si="2959">FH52*$G$52</f>
        <v>0</v>
      </c>
      <c r="FJ52" s="48">
        <v>1</v>
      </c>
      <c r="FK52" s="39">
        <f t="shared" ref="FK52" si="2960">FJ52*$G$52</f>
        <v>0</v>
      </c>
      <c r="FL52" s="48">
        <v>1</v>
      </c>
      <c r="FM52" s="39">
        <f t="shared" ref="FM52" si="2961">FL52*$G$52</f>
        <v>0</v>
      </c>
      <c r="FN52" s="48">
        <v>1</v>
      </c>
      <c r="FO52" s="39">
        <f t="shared" ref="FO52" si="2962">FN52*$G$52</f>
        <v>0</v>
      </c>
      <c r="FP52" s="48">
        <v>1</v>
      </c>
      <c r="FQ52" s="39">
        <f t="shared" ref="FQ52" si="2963">FP52*$G$52</f>
        <v>0</v>
      </c>
    </row>
    <row r="53" spans="1:173" x14ac:dyDescent="0.35">
      <c r="A53" s="15" t="s">
        <v>137</v>
      </c>
      <c r="B53" s="15">
        <v>913</v>
      </c>
      <c r="C53" s="15" t="s">
        <v>95</v>
      </c>
      <c r="D53" s="15" t="s">
        <v>144</v>
      </c>
      <c r="E53" s="15" t="s">
        <v>146</v>
      </c>
      <c r="F53" s="15">
        <v>2</v>
      </c>
      <c r="G53" s="15">
        <v>2</v>
      </c>
      <c r="H53" s="48"/>
      <c r="I53" s="15">
        <f t="shared" ref="I53" si="2964">H52*G53</f>
        <v>280</v>
      </c>
      <c r="J53" s="48"/>
      <c r="K53" s="39">
        <f>J52*$G$53</f>
        <v>12</v>
      </c>
      <c r="L53" s="48"/>
      <c r="M53" s="39">
        <f t="shared" ref="M53" si="2965">L52*$G$53</f>
        <v>12</v>
      </c>
      <c r="N53" s="48"/>
      <c r="O53" s="39">
        <f t="shared" ref="O53" si="2966">N52*$G$53</f>
        <v>12</v>
      </c>
      <c r="P53" s="48"/>
      <c r="Q53" s="39">
        <f t="shared" ref="Q53" si="2967">P52*$G$53</f>
        <v>10</v>
      </c>
      <c r="R53" s="48"/>
      <c r="S53" s="39">
        <f t="shared" ref="S53" si="2968">R52*$G$53</f>
        <v>10</v>
      </c>
      <c r="T53" s="48"/>
      <c r="U53" s="39">
        <f t="shared" ref="U53" si="2969">T52*$G$53</f>
        <v>10</v>
      </c>
      <c r="V53" s="48"/>
      <c r="W53" s="39">
        <f t="shared" ref="W53" si="2970">V52*$G$53</f>
        <v>10</v>
      </c>
      <c r="X53" s="48"/>
      <c r="Y53" s="39">
        <f t="shared" ref="Y53" si="2971">X52*$G$53</f>
        <v>10</v>
      </c>
      <c r="Z53" s="48"/>
      <c r="AA53" s="39">
        <f t="shared" ref="AA53" si="2972">Z52*$G$53</f>
        <v>10</v>
      </c>
      <c r="AB53" s="48"/>
      <c r="AC53" s="39">
        <f t="shared" ref="AC53" si="2973">AB52*$G$53</f>
        <v>10</v>
      </c>
      <c r="AD53" s="48"/>
      <c r="AE53" s="39">
        <f t="shared" ref="AE53" si="2974">AD52*$G$53</f>
        <v>10</v>
      </c>
      <c r="AF53" s="48"/>
      <c r="AG53" s="39">
        <f t="shared" ref="AG53" si="2975">AF52*$G$53</f>
        <v>10</v>
      </c>
      <c r="AH53" s="48"/>
      <c r="AI53" s="39">
        <f t="shared" ref="AI53" si="2976">AH52*$G$53</f>
        <v>10</v>
      </c>
      <c r="AJ53" s="48"/>
      <c r="AK53" s="39">
        <f t="shared" ref="AK53" si="2977">AJ52*$G$53</f>
        <v>2</v>
      </c>
      <c r="AL53" s="48"/>
      <c r="AM53" s="39">
        <f t="shared" ref="AM53" si="2978">AL52*$G$53</f>
        <v>2</v>
      </c>
      <c r="AN53" s="48"/>
      <c r="AO53" s="39">
        <f t="shared" ref="AO53" si="2979">AN52*$G$53</f>
        <v>2</v>
      </c>
      <c r="AP53" s="48"/>
      <c r="AQ53" s="39">
        <f t="shared" ref="AQ53" si="2980">AP52*$G$53</f>
        <v>2</v>
      </c>
      <c r="AR53" s="48"/>
      <c r="AS53" s="39">
        <f t="shared" ref="AS53" si="2981">AR52*$G$53</f>
        <v>2</v>
      </c>
      <c r="AT53" s="48"/>
      <c r="AU53" s="39">
        <f t="shared" ref="AU53" si="2982">AT52*$G$53</f>
        <v>2</v>
      </c>
      <c r="AV53" s="48"/>
      <c r="AW53" s="39">
        <f t="shared" ref="AW53" si="2983">AV52*$G$53</f>
        <v>2</v>
      </c>
      <c r="AX53" s="48"/>
      <c r="AY53" s="39">
        <f t="shared" ref="AY53" si="2984">AX52*$G$53</f>
        <v>2</v>
      </c>
      <c r="AZ53" s="48"/>
      <c r="BA53" s="39">
        <f t="shared" ref="BA53" si="2985">AZ52*$G$53</f>
        <v>2</v>
      </c>
      <c r="BB53" s="48"/>
      <c r="BC53" s="39">
        <f t="shared" ref="BC53" si="2986">BB52*$G$53</f>
        <v>2</v>
      </c>
      <c r="BD53" s="48"/>
      <c r="BE53" s="39">
        <f t="shared" ref="BE53" si="2987">BD52*$G$53</f>
        <v>2</v>
      </c>
      <c r="BF53" s="48"/>
      <c r="BG53" s="39">
        <f t="shared" ref="BG53" si="2988">BF52*$G$53</f>
        <v>2</v>
      </c>
      <c r="BH53" s="48"/>
      <c r="BI53" s="39">
        <f t="shared" ref="BI53" si="2989">BH52*$G$53</f>
        <v>2</v>
      </c>
      <c r="BJ53" s="48"/>
      <c r="BK53" s="39">
        <f t="shared" ref="BK53" si="2990">BJ52*$G$53</f>
        <v>2</v>
      </c>
      <c r="BL53" s="48"/>
      <c r="BM53" s="39">
        <f t="shared" ref="BM53" si="2991">BL52*$G$53</f>
        <v>2</v>
      </c>
      <c r="BN53" s="48"/>
      <c r="BO53" s="39">
        <f t="shared" ref="BO53" si="2992">BN52*$G$53</f>
        <v>2</v>
      </c>
      <c r="BP53" s="48"/>
      <c r="BQ53" s="39">
        <f t="shared" ref="BQ53" si="2993">BP52*$G$53</f>
        <v>2</v>
      </c>
      <c r="BR53" s="48"/>
      <c r="BS53" s="39">
        <f t="shared" ref="BS53" si="2994">BR52*$G$53</f>
        <v>2</v>
      </c>
      <c r="BT53" s="48"/>
      <c r="BU53" s="39">
        <f t="shared" ref="BU53" si="2995">BT52*$G$53</f>
        <v>2</v>
      </c>
      <c r="BV53" s="48"/>
      <c r="BW53" s="39">
        <f t="shared" ref="BW53" si="2996">BV52*$G$53</f>
        <v>2</v>
      </c>
      <c r="BX53" s="48"/>
      <c r="BY53" s="39">
        <f t="shared" ref="BY53" si="2997">BX52*$G$53</f>
        <v>2</v>
      </c>
      <c r="BZ53" s="48"/>
      <c r="CA53" s="39">
        <f t="shared" ref="CA53" si="2998">BZ52*$G$53</f>
        <v>2</v>
      </c>
      <c r="CB53" s="48"/>
      <c r="CC53" s="39">
        <f t="shared" ref="CC53" si="2999">CB52*$G$53</f>
        <v>2</v>
      </c>
      <c r="CD53" s="48"/>
      <c r="CE53" s="39">
        <f t="shared" ref="CE53" si="3000">CD52*$G$53</f>
        <v>2</v>
      </c>
      <c r="CF53" s="48"/>
      <c r="CG53" s="39">
        <f t="shared" ref="CG53" si="3001">CF52*$G$53</f>
        <v>2</v>
      </c>
      <c r="CH53" s="48"/>
      <c r="CI53" s="39">
        <f t="shared" ref="CI53" si="3002">CH52*$G$53</f>
        <v>2</v>
      </c>
      <c r="CJ53" s="48"/>
      <c r="CK53" s="39">
        <f t="shared" ref="CK53" si="3003">CJ52*$G$53</f>
        <v>2</v>
      </c>
      <c r="CL53" s="48"/>
      <c r="CM53" s="39">
        <f t="shared" ref="CM53" si="3004">CL52*$G$53</f>
        <v>2</v>
      </c>
      <c r="CN53" s="48"/>
      <c r="CO53" s="39">
        <f t="shared" ref="CO53" si="3005">CN52*$G$53</f>
        <v>2</v>
      </c>
      <c r="CP53" s="48"/>
      <c r="CQ53" s="39">
        <f t="shared" ref="CQ53" si="3006">CP52*$G$53</f>
        <v>2</v>
      </c>
      <c r="CR53" s="48"/>
      <c r="CS53" s="39">
        <f t="shared" ref="CS53" si="3007">CR52*$G$53</f>
        <v>2</v>
      </c>
      <c r="CT53" s="48"/>
      <c r="CU53" s="39">
        <f t="shared" ref="CU53" si="3008">CT52*$G$53</f>
        <v>2</v>
      </c>
      <c r="CV53" s="48"/>
      <c r="CW53" s="39">
        <f t="shared" ref="CW53" si="3009">CV52*$G$53</f>
        <v>2</v>
      </c>
      <c r="CX53" s="48"/>
      <c r="CY53" s="39">
        <f t="shared" ref="CY53" si="3010">CX52*$G$53</f>
        <v>2</v>
      </c>
      <c r="CZ53" s="48"/>
      <c r="DA53" s="39">
        <f t="shared" ref="DA53" si="3011">CZ52*$G$53</f>
        <v>2</v>
      </c>
      <c r="DB53" s="48"/>
      <c r="DC53" s="39">
        <f t="shared" ref="DC53" si="3012">DB52*$G$53</f>
        <v>2</v>
      </c>
      <c r="DD53" s="48"/>
      <c r="DE53" s="39">
        <f t="shared" ref="DE53" si="3013">DD52*$G$53</f>
        <v>2</v>
      </c>
      <c r="DF53" s="48"/>
      <c r="DG53" s="39">
        <f t="shared" ref="DG53" si="3014">DF52*$G$53</f>
        <v>2</v>
      </c>
      <c r="DH53" s="48"/>
      <c r="DI53" s="39">
        <f t="shared" ref="DI53" si="3015">DH52*$G$53</f>
        <v>2</v>
      </c>
      <c r="DJ53" s="48"/>
      <c r="DK53" s="39">
        <f t="shared" ref="DK53" si="3016">DJ52*$G$53</f>
        <v>2</v>
      </c>
      <c r="DL53" s="48"/>
      <c r="DM53" s="39">
        <f t="shared" ref="DM53" si="3017">DL52*$G$53</f>
        <v>2</v>
      </c>
      <c r="DN53" s="48"/>
      <c r="DO53" s="39">
        <f t="shared" ref="DO53" si="3018">DN52*$G$53</f>
        <v>2</v>
      </c>
      <c r="DP53" s="48"/>
      <c r="DQ53" s="39">
        <f t="shared" ref="DQ53" si="3019">DP52*$G$53</f>
        <v>2</v>
      </c>
      <c r="DR53" s="48"/>
      <c r="DS53" s="39">
        <f t="shared" ref="DS53" si="3020">DR52*$G$53</f>
        <v>2</v>
      </c>
      <c r="DT53" s="48"/>
      <c r="DU53" s="39">
        <f t="shared" ref="DU53" si="3021">DT52*$G$53</f>
        <v>2</v>
      </c>
      <c r="DV53" s="48"/>
      <c r="DW53" s="39">
        <f t="shared" ref="DW53" si="3022">DV52*$G$53</f>
        <v>2</v>
      </c>
      <c r="DX53" s="48"/>
      <c r="DY53" s="39">
        <f t="shared" ref="DY53" si="3023">DX52*$G$53</f>
        <v>2</v>
      </c>
      <c r="DZ53" s="48"/>
      <c r="EA53" s="39">
        <f t="shared" ref="EA53" si="3024">DZ52*$G$53</f>
        <v>2</v>
      </c>
      <c r="EB53" s="48"/>
      <c r="EC53" s="39">
        <f t="shared" ref="EC53" si="3025">EB52*$G$53</f>
        <v>2</v>
      </c>
      <c r="ED53" s="48"/>
      <c r="EE53" s="39">
        <f t="shared" ref="EE53" si="3026">ED52*$G$53</f>
        <v>2</v>
      </c>
      <c r="EF53" s="48"/>
      <c r="EG53" s="39">
        <f t="shared" ref="EG53" si="3027">EF52*$G$53</f>
        <v>2</v>
      </c>
      <c r="EH53" s="48"/>
      <c r="EI53" s="39">
        <f t="shared" ref="EI53" si="3028">EH52*$G$53</f>
        <v>2</v>
      </c>
      <c r="EJ53" s="48"/>
      <c r="EK53" s="39">
        <f t="shared" ref="EK53" si="3029">EJ52*$G$53</f>
        <v>2</v>
      </c>
      <c r="EL53" s="48"/>
      <c r="EM53" s="39">
        <f t="shared" ref="EM53" si="3030">EL52*$G$53</f>
        <v>2</v>
      </c>
      <c r="EN53" s="48"/>
      <c r="EO53" s="39">
        <f t="shared" ref="EO53" si="3031">EN52*$G$53</f>
        <v>2</v>
      </c>
      <c r="EP53" s="48"/>
      <c r="EQ53" s="39">
        <f t="shared" ref="EQ53" si="3032">EP52*$G$53</f>
        <v>2</v>
      </c>
      <c r="ER53" s="48"/>
      <c r="ES53" s="39">
        <f t="shared" ref="ES53" si="3033">ER52*$G$53</f>
        <v>2</v>
      </c>
      <c r="ET53" s="48"/>
      <c r="EU53" s="39">
        <f t="shared" ref="EU53" si="3034">ET52*$G$53</f>
        <v>2</v>
      </c>
      <c r="EV53" s="48"/>
      <c r="EW53" s="39">
        <f t="shared" ref="EW53" si="3035">EV52*$G$53</f>
        <v>2</v>
      </c>
      <c r="EX53" s="48"/>
      <c r="EY53" s="39">
        <f t="shared" ref="EY53" si="3036">EX52*$G$53</f>
        <v>2</v>
      </c>
      <c r="EZ53" s="48"/>
      <c r="FA53" s="39">
        <f t="shared" ref="FA53" si="3037">EZ52*$G$53</f>
        <v>2</v>
      </c>
      <c r="FB53" s="48"/>
      <c r="FC53" s="39">
        <f t="shared" ref="FC53" si="3038">FB52*$G$53</f>
        <v>2</v>
      </c>
      <c r="FD53" s="48"/>
      <c r="FE53" s="39">
        <f t="shared" ref="FE53" si="3039">FD52*$G$53</f>
        <v>2</v>
      </c>
      <c r="FF53" s="48"/>
      <c r="FG53" s="39">
        <f t="shared" ref="FG53" si="3040">FF52*$G$53</f>
        <v>2</v>
      </c>
      <c r="FH53" s="48"/>
      <c r="FI53" s="39">
        <f t="shared" ref="FI53" si="3041">FH52*$G$53</f>
        <v>2</v>
      </c>
      <c r="FJ53" s="48"/>
      <c r="FK53" s="39">
        <f t="shared" ref="FK53" si="3042">FJ52*$G$53</f>
        <v>2</v>
      </c>
      <c r="FL53" s="48"/>
      <c r="FM53" s="39">
        <f t="shared" ref="FM53" si="3043">FL52*$G$53</f>
        <v>2</v>
      </c>
      <c r="FN53" s="48"/>
      <c r="FO53" s="39">
        <f t="shared" ref="FO53" si="3044">FN52*$G$53</f>
        <v>2</v>
      </c>
      <c r="FP53" s="48"/>
      <c r="FQ53" s="39">
        <f t="shared" ref="FQ53" si="3045">FP52*$G$53</f>
        <v>2</v>
      </c>
    </row>
    <row r="54" spans="1:173" x14ac:dyDescent="0.35">
      <c r="A54" s="15" t="s">
        <v>137</v>
      </c>
      <c r="B54" s="15">
        <v>913</v>
      </c>
      <c r="C54" s="15" t="s">
        <v>95</v>
      </c>
      <c r="D54" s="15" t="s">
        <v>144</v>
      </c>
      <c r="E54" s="15" t="s">
        <v>147</v>
      </c>
      <c r="F54" s="15">
        <v>3</v>
      </c>
      <c r="G54" s="15">
        <v>4</v>
      </c>
      <c r="H54" s="48"/>
      <c r="I54" s="15">
        <f t="shared" ref="I54" si="3046">H52*G54</f>
        <v>560</v>
      </c>
      <c r="J54" s="48"/>
      <c r="K54" s="39">
        <f>J52*$G$54</f>
        <v>24</v>
      </c>
      <c r="L54" s="48"/>
      <c r="M54" s="39">
        <f t="shared" ref="M54" si="3047">L52*$G$54</f>
        <v>24</v>
      </c>
      <c r="N54" s="48"/>
      <c r="O54" s="39">
        <f t="shared" ref="O54" si="3048">N52*$G$54</f>
        <v>24</v>
      </c>
      <c r="P54" s="48"/>
      <c r="Q54" s="39">
        <f t="shared" ref="Q54" si="3049">P52*$G$54</f>
        <v>20</v>
      </c>
      <c r="R54" s="48"/>
      <c r="S54" s="39">
        <f t="shared" ref="S54" si="3050">R52*$G$54</f>
        <v>20</v>
      </c>
      <c r="T54" s="48"/>
      <c r="U54" s="39">
        <f t="shared" ref="U54" si="3051">T52*$G$54</f>
        <v>20</v>
      </c>
      <c r="V54" s="48"/>
      <c r="W54" s="39">
        <f t="shared" ref="W54" si="3052">V52*$G$54</f>
        <v>20</v>
      </c>
      <c r="X54" s="48"/>
      <c r="Y54" s="39">
        <f t="shared" ref="Y54" si="3053">X52*$G$54</f>
        <v>20</v>
      </c>
      <c r="Z54" s="48"/>
      <c r="AA54" s="39">
        <f t="shared" ref="AA54" si="3054">Z52*$G$54</f>
        <v>20</v>
      </c>
      <c r="AB54" s="48"/>
      <c r="AC54" s="39">
        <f t="shared" ref="AC54" si="3055">AB52*$G$54</f>
        <v>20</v>
      </c>
      <c r="AD54" s="48"/>
      <c r="AE54" s="39">
        <f t="shared" ref="AE54" si="3056">AD52*$G$54</f>
        <v>20</v>
      </c>
      <c r="AF54" s="48"/>
      <c r="AG54" s="39">
        <f t="shared" ref="AG54" si="3057">AF52*$G$54</f>
        <v>20</v>
      </c>
      <c r="AH54" s="48"/>
      <c r="AI54" s="39">
        <f t="shared" ref="AI54" si="3058">AH52*$G$54</f>
        <v>20</v>
      </c>
      <c r="AJ54" s="48"/>
      <c r="AK54" s="39">
        <f t="shared" ref="AK54" si="3059">AJ52*$G$54</f>
        <v>4</v>
      </c>
      <c r="AL54" s="48"/>
      <c r="AM54" s="39">
        <f t="shared" ref="AM54" si="3060">AL52*$G$54</f>
        <v>4</v>
      </c>
      <c r="AN54" s="48"/>
      <c r="AO54" s="39">
        <f t="shared" ref="AO54" si="3061">AN52*$G$54</f>
        <v>4</v>
      </c>
      <c r="AP54" s="48"/>
      <c r="AQ54" s="39">
        <f t="shared" ref="AQ54" si="3062">AP52*$G$54</f>
        <v>4</v>
      </c>
      <c r="AR54" s="48"/>
      <c r="AS54" s="39">
        <f t="shared" ref="AS54" si="3063">AR52*$G$54</f>
        <v>4</v>
      </c>
      <c r="AT54" s="48"/>
      <c r="AU54" s="39">
        <f t="shared" ref="AU54" si="3064">AT52*$G$54</f>
        <v>4</v>
      </c>
      <c r="AV54" s="48"/>
      <c r="AW54" s="39">
        <f t="shared" ref="AW54" si="3065">AV52*$G$54</f>
        <v>4</v>
      </c>
      <c r="AX54" s="48"/>
      <c r="AY54" s="39">
        <f t="shared" ref="AY54" si="3066">AX52*$G$54</f>
        <v>4</v>
      </c>
      <c r="AZ54" s="48"/>
      <c r="BA54" s="39">
        <f t="shared" ref="BA54" si="3067">AZ52*$G$54</f>
        <v>4</v>
      </c>
      <c r="BB54" s="48"/>
      <c r="BC54" s="39">
        <f t="shared" ref="BC54" si="3068">BB52*$G$54</f>
        <v>4</v>
      </c>
      <c r="BD54" s="48"/>
      <c r="BE54" s="39">
        <f t="shared" ref="BE54" si="3069">BD52*$G$54</f>
        <v>4</v>
      </c>
      <c r="BF54" s="48"/>
      <c r="BG54" s="39">
        <f t="shared" ref="BG54" si="3070">BF52*$G$54</f>
        <v>4</v>
      </c>
      <c r="BH54" s="48"/>
      <c r="BI54" s="39">
        <f t="shared" ref="BI54" si="3071">BH52*$G$54</f>
        <v>4</v>
      </c>
      <c r="BJ54" s="48"/>
      <c r="BK54" s="39">
        <f t="shared" ref="BK54" si="3072">BJ52*$G$54</f>
        <v>4</v>
      </c>
      <c r="BL54" s="48"/>
      <c r="BM54" s="39">
        <f t="shared" ref="BM54" si="3073">BL52*$G$54</f>
        <v>4</v>
      </c>
      <c r="BN54" s="48"/>
      <c r="BO54" s="39">
        <f t="shared" ref="BO54" si="3074">BN52*$G$54</f>
        <v>4</v>
      </c>
      <c r="BP54" s="48"/>
      <c r="BQ54" s="39">
        <f t="shared" ref="BQ54" si="3075">BP52*$G$54</f>
        <v>4</v>
      </c>
      <c r="BR54" s="48"/>
      <c r="BS54" s="39">
        <f t="shared" ref="BS54" si="3076">BR52*$G$54</f>
        <v>4</v>
      </c>
      <c r="BT54" s="48"/>
      <c r="BU54" s="39">
        <f t="shared" ref="BU54" si="3077">BT52*$G$54</f>
        <v>4</v>
      </c>
      <c r="BV54" s="48"/>
      <c r="BW54" s="39">
        <f t="shared" ref="BW54" si="3078">BV52*$G$54</f>
        <v>4</v>
      </c>
      <c r="BX54" s="48"/>
      <c r="BY54" s="39">
        <f t="shared" ref="BY54" si="3079">BX52*$G$54</f>
        <v>4</v>
      </c>
      <c r="BZ54" s="48"/>
      <c r="CA54" s="39">
        <f t="shared" ref="CA54" si="3080">BZ52*$G$54</f>
        <v>4</v>
      </c>
      <c r="CB54" s="48"/>
      <c r="CC54" s="39">
        <f t="shared" ref="CC54" si="3081">CB52*$G$54</f>
        <v>4</v>
      </c>
      <c r="CD54" s="48"/>
      <c r="CE54" s="39">
        <f t="shared" ref="CE54" si="3082">CD52*$G$54</f>
        <v>4</v>
      </c>
      <c r="CF54" s="48"/>
      <c r="CG54" s="39">
        <f t="shared" ref="CG54" si="3083">CF52*$G$54</f>
        <v>4</v>
      </c>
      <c r="CH54" s="48"/>
      <c r="CI54" s="39">
        <f t="shared" ref="CI54" si="3084">CH52*$G$54</f>
        <v>4</v>
      </c>
      <c r="CJ54" s="48"/>
      <c r="CK54" s="39">
        <f t="shared" ref="CK54" si="3085">CJ52*$G$54</f>
        <v>4</v>
      </c>
      <c r="CL54" s="48"/>
      <c r="CM54" s="39">
        <f t="shared" ref="CM54" si="3086">CL52*$G$54</f>
        <v>4</v>
      </c>
      <c r="CN54" s="48"/>
      <c r="CO54" s="39">
        <f t="shared" ref="CO54" si="3087">CN52*$G$54</f>
        <v>4</v>
      </c>
      <c r="CP54" s="48"/>
      <c r="CQ54" s="39">
        <f t="shared" ref="CQ54" si="3088">CP52*$G$54</f>
        <v>4</v>
      </c>
      <c r="CR54" s="48"/>
      <c r="CS54" s="39">
        <f t="shared" ref="CS54" si="3089">CR52*$G$54</f>
        <v>4</v>
      </c>
      <c r="CT54" s="48"/>
      <c r="CU54" s="39">
        <f t="shared" ref="CU54" si="3090">CT52*$G$54</f>
        <v>4</v>
      </c>
      <c r="CV54" s="48"/>
      <c r="CW54" s="39">
        <f t="shared" ref="CW54" si="3091">CV52*$G$54</f>
        <v>4</v>
      </c>
      <c r="CX54" s="48"/>
      <c r="CY54" s="39">
        <f t="shared" ref="CY54" si="3092">CX52*$G$54</f>
        <v>4</v>
      </c>
      <c r="CZ54" s="48"/>
      <c r="DA54" s="39">
        <f t="shared" ref="DA54" si="3093">CZ52*$G$54</f>
        <v>4</v>
      </c>
      <c r="DB54" s="48"/>
      <c r="DC54" s="39">
        <f t="shared" ref="DC54" si="3094">DB52*$G$54</f>
        <v>4</v>
      </c>
      <c r="DD54" s="48"/>
      <c r="DE54" s="39">
        <f t="shared" ref="DE54" si="3095">DD52*$G$54</f>
        <v>4</v>
      </c>
      <c r="DF54" s="48"/>
      <c r="DG54" s="39">
        <f t="shared" ref="DG54" si="3096">DF52*$G$54</f>
        <v>4</v>
      </c>
      <c r="DH54" s="48"/>
      <c r="DI54" s="39">
        <f t="shared" ref="DI54" si="3097">DH52*$G$54</f>
        <v>4</v>
      </c>
      <c r="DJ54" s="48"/>
      <c r="DK54" s="39">
        <f t="shared" ref="DK54" si="3098">DJ52*$G$54</f>
        <v>4</v>
      </c>
      <c r="DL54" s="48"/>
      <c r="DM54" s="39">
        <f t="shared" ref="DM54" si="3099">DL52*$G$54</f>
        <v>4</v>
      </c>
      <c r="DN54" s="48"/>
      <c r="DO54" s="39">
        <f t="shared" ref="DO54" si="3100">DN52*$G$54</f>
        <v>4</v>
      </c>
      <c r="DP54" s="48"/>
      <c r="DQ54" s="39">
        <f t="shared" ref="DQ54" si="3101">DP52*$G$54</f>
        <v>4</v>
      </c>
      <c r="DR54" s="48"/>
      <c r="DS54" s="39">
        <f t="shared" ref="DS54" si="3102">DR52*$G$54</f>
        <v>4</v>
      </c>
      <c r="DT54" s="48"/>
      <c r="DU54" s="39">
        <f t="shared" ref="DU54" si="3103">DT52*$G$54</f>
        <v>4</v>
      </c>
      <c r="DV54" s="48"/>
      <c r="DW54" s="39">
        <f t="shared" ref="DW54" si="3104">DV52*$G$54</f>
        <v>4</v>
      </c>
      <c r="DX54" s="48"/>
      <c r="DY54" s="39">
        <f t="shared" ref="DY54" si="3105">DX52*$G$54</f>
        <v>4</v>
      </c>
      <c r="DZ54" s="48"/>
      <c r="EA54" s="39">
        <f t="shared" ref="EA54" si="3106">DZ52*$G$54</f>
        <v>4</v>
      </c>
      <c r="EB54" s="48"/>
      <c r="EC54" s="39">
        <f t="shared" ref="EC54" si="3107">EB52*$G$54</f>
        <v>4</v>
      </c>
      <c r="ED54" s="48"/>
      <c r="EE54" s="39">
        <f t="shared" ref="EE54" si="3108">ED52*$G$54</f>
        <v>4</v>
      </c>
      <c r="EF54" s="48"/>
      <c r="EG54" s="39">
        <f t="shared" ref="EG54" si="3109">EF52*$G$54</f>
        <v>4</v>
      </c>
      <c r="EH54" s="48"/>
      <c r="EI54" s="39">
        <f t="shared" ref="EI54" si="3110">EH52*$G$54</f>
        <v>4</v>
      </c>
      <c r="EJ54" s="48"/>
      <c r="EK54" s="39">
        <f t="shared" ref="EK54" si="3111">EJ52*$G$54</f>
        <v>4</v>
      </c>
      <c r="EL54" s="48"/>
      <c r="EM54" s="39">
        <f t="shared" ref="EM54" si="3112">EL52*$G$54</f>
        <v>4</v>
      </c>
      <c r="EN54" s="48"/>
      <c r="EO54" s="39">
        <f t="shared" ref="EO54" si="3113">EN52*$G$54</f>
        <v>4</v>
      </c>
      <c r="EP54" s="48"/>
      <c r="EQ54" s="39">
        <f t="shared" ref="EQ54" si="3114">EP52*$G$54</f>
        <v>4</v>
      </c>
      <c r="ER54" s="48"/>
      <c r="ES54" s="39">
        <f t="shared" ref="ES54" si="3115">ER52*$G$54</f>
        <v>4</v>
      </c>
      <c r="ET54" s="48"/>
      <c r="EU54" s="39">
        <f t="shared" ref="EU54" si="3116">ET52*$G$54</f>
        <v>4</v>
      </c>
      <c r="EV54" s="48"/>
      <c r="EW54" s="39">
        <f t="shared" ref="EW54" si="3117">EV52*$G$54</f>
        <v>4</v>
      </c>
      <c r="EX54" s="48"/>
      <c r="EY54" s="39">
        <f t="shared" ref="EY54" si="3118">EX52*$G$54</f>
        <v>4</v>
      </c>
      <c r="EZ54" s="48"/>
      <c r="FA54" s="39">
        <f t="shared" ref="FA54" si="3119">EZ52*$G$54</f>
        <v>4</v>
      </c>
      <c r="FB54" s="48"/>
      <c r="FC54" s="39">
        <f t="shared" ref="FC54" si="3120">FB52*$G$54</f>
        <v>4</v>
      </c>
      <c r="FD54" s="48"/>
      <c r="FE54" s="39">
        <f t="shared" ref="FE54" si="3121">FD52*$G$54</f>
        <v>4</v>
      </c>
      <c r="FF54" s="48"/>
      <c r="FG54" s="39">
        <f t="shared" ref="FG54" si="3122">FF52*$G$54</f>
        <v>4</v>
      </c>
      <c r="FH54" s="48"/>
      <c r="FI54" s="39">
        <f t="shared" ref="FI54" si="3123">FH52*$G$54</f>
        <v>4</v>
      </c>
      <c r="FJ54" s="48"/>
      <c r="FK54" s="39">
        <f t="shared" ref="FK54" si="3124">FJ52*$G$54</f>
        <v>4</v>
      </c>
      <c r="FL54" s="48"/>
      <c r="FM54" s="39">
        <f t="shared" ref="FM54" si="3125">FL52*$G$54</f>
        <v>4</v>
      </c>
      <c r="FN54" s="48"/>
      <c r="FO54" s="39">
        <f t="shared" ref="FO54" si="3126">FN52*$G$54</f>
        <v>4</v>
      </c>
      <c r="FP54" s="48"/>
      <c r="FQ54" s="39">
        <f t="shared" ref="FQ54" si="3127">FP52*$G$54</f>
        <v>4</v>
      </c>
    </row>
    <row r="55" spans="1:173" x14ac:dyDescent="0.35">
      <c r="A55" s="15" t="s">
        <v>137</v>
      </c>
      <c r="B55" s="15">
        <v>913</v>
      </c>
      <c r="C55" s="15" t="s">
        <v>95</v>
      </c>
      <c r="D55" s="15" t="s">
        <v>144</v>
      </c>
      <c r="E55" s="15" t="s">
        <v>148</v>
      </c>
      <c r="F55" s="15">
        <v>4</v>
      </c>
      <c r="G55" s="15">
        <v>2</v>
      </c>
      <c r="H55" s="48"/>
      <c r="I55" s="15">
        <f t="shared" ref="I55" si="3128">H52*G55</f>
        <v>280</v>
      </c>
      <c r="J55" s="48"/>
      <c r="K55" s="39">
        <f>J52*$G$55</f>
        <v>12</v>
      </c>
      <c r="L55" s="48"/>
      <c r="M55" s="39">
        <f t="shared" ref="M55" si="3129">L52*$G$55</f>
        <v>12</v>
      </c>
      <c r="N55" s="48"/>
      <c r="O55" s="39">
        <f t="shared" ref="O55" si="3130">N52*$G$55</f>
        <v>12</v>
      </c>
      <c r="P55" s="48"/>
      <c r="Q55" s="39">
        <f t="shared" ref="Q55" si="3131">P52*$G$55</f>
        <v>10</v>
      </c>
      <c r="R55" s="48"/>
      <c r="S55" s="39">
        <f t="shared" ref="S55" si="3132">R52*$G$55</f>
        <v>10</v>
      </c>
      <c r="T55" s="48"/>
      <c r="U55" s="39">
        <f t="shared" ref="U55" si="3133">T52*$G$55</f>
        <v>10</v>
      </c>
      <c r="V55" s="48"/>
      <c r="W55" s="39">
        <f t="shared" ref="W55" si="3134">V52*$G$55</f>
        <v>10</v>
      </c>
      <c r="X55" s="48"/>
      <c r="Y55" s="39">
        <f t="shared" ref="Y55" si="3135">X52*$G$55</f>
        <v>10</v>
      </c>
      <c r="Z55" s="48"/>
      <c r="AA55" s="39">
        <f t="shared" ref="AA55" si="3136">Z52*$G$55</f>
        <v>10</v>
      </c>
      <c r="AB55" s="48"/>
      <c r="AC55" s="39">
        <f t="shared" ref="AC55" si="3137">AB52*$G$55</f>
        <v>10</v>
      </c>
      <c r="AD55" s="48"/>
      <c r="AE55" s="39">
        <f t="shared" ref="AE55" si="3138">AD52*$G$55</f>
        <v>10</v>
      </c>
      <c r="AF55" s="48"/>
      <c r="AG55" s="39">
        <f t="shared" ref="AG55" si="3139">AF52*$G$55</f>
        <v>10</v>
      </c>
      <c r="AH55" s="48"/>
      <c r="AI55" s="39">
        <f t="shared" ref="AI55" si="3140">AH52*$G$55</f>
        <v>10</v>
      </c>
      <c r="AJ55" s="48"/>
      <c r="AK55" s="39">
        <f t="shared" ref="AK55" si="3141">AJ52*$G$55</f>
        <v>2</v>
      </c>
      <c r="AL55" s="48"/>
      <c r="AM55" s="39">
        <f t="shared" ref="AM55" si="3142">AL52*$G$55</f>
        <v>2</v>
      </c>
      <c r="AN55" s="48"/>
      <c r="AO55" s="39">
        <f t="shared" ref="AO55" si="3143">AN52*$G$55</f>
        <v>2</v>
      </c>
      <c r="AP55" s="48"/>
      <c r="AQ55" s="39">
        <f t="shared" ref="AQ55" si="3144">AP52*$G$55</f>
        <v>2</v>
      </c>
      <c r="AR55" s="48"/>
      <c r="AS55" s="39">
        <f t="shared" ref="AS55" si="3145">AR52*$G$55</f>
        <v>2</v>
      </c>
      <c r="AT55" s="48"/>
      <c r="AU55" s="39">
        <f t="shared" ref="AU55" si="3146">AT52*$G$55</f>
        <v>2</v>
      </c>
      <c r="AV55" s="48"/>
      <c r="AW55" s="39">
        <f t="shared" ref="AW55" si="3147">AV52*$G$55</f>
        <v>2</v>
      </c>
      <c r="AX55" s="48"/>
      <c r="AY55" s="39">
        <f t="shared" ref="AY55" si="3148">AX52*$G$55</f>
        <v>2</v>
      </c>
      <c r="AZ55" s="48"/>
      <c r="BA55" s="39">
        <f t="shared" ref="BA55" si="3149">AZ52*$G$55</f>
        <v>2</v>
      </c>
      <c r="BB55" s="48"/>
      <c r="BC55" s="39">
        <f t="shared" ref="BC55" si="3150">BB52*$G$55</f>
        <v>2</v>
      </c>
      <c r="BD55" s="48"/>
      <c r="BE55" s="39">
        <f t="shared" ref="BE55" si="3151">BD52*$G$55</f>
        <v>2</v>
      </c>
      <c r="BF55" s="48"/>
      <c r="BG55" s="39">
        <f t="shared" ref="BG55" si="3152">BF52*$G$55</f>
        <v>2</v>
      </c>
      <c r="BH55" s="48"/>
      <c r="BI55" s="39">
        <f t="shared" ref="BI55" si="3153">BH52*$G$55</f>
        <v>2</v>
      </c>
      <c r="BJ55" s="48"/>
      <c r="BK55" s="39">
        <f t="shared" ref="BK55" si="3154">BJ52*$G$55</f>
        <v>2</v>
      </c>
      <c r="BL55" s="48"/>
      <c r="BM55" s="39">
        <f t="shared" ref="BM55" si="3155">BL52*$G$55</f>
        <v>2</v>
      </c>
      <c r="BN55" s="48"/>
      <c r="BO55" s="39">
        <f t="shared" ref="BO55" si="3156">BN52*$G$55</f>
        <v>2</v>
      </c>
      <c r="BP55" s="48"/>
      <c r="BQ55" s="39">
        <f t="shared" ref="BQ55" si="3157">BP52*$G$55</f>
        <v>2</v>
      </c>
      <c r="BR55" s="48"/>
      <c r="BS55" s="39">
        <f t="shared" ref="BS55" si="3158">BR52*$G$55</f>
        <v>2</v>
      </c>
      <c r="BT55" s="48"/>
      <c r="BU55" s="39">
        <f t="shared" ref="BU55" si="3159">BT52*$G$55</f>
        <v>2</v>
      </c>
      <c r="BV55" s="48"/>
      <c r="BW55" s="39">
        <f t="shared" ref="BW55" si="3160">BV52*$G$55</f>
        <v>2</v>
      </c>
      <c r="BX55" s="48"/>
      <c r="BY55" s="39">
        <f t="shared" ref="BY55" si="3161">BX52*$G$55</f>
        <v>2</v>
      </c>
      <c r="BZ55" s="48"/>
      <c r="CA55" s="39">
        <f t="shared" ref="CA55" si="3162">BZ52*$G$55</f>
        <v>2</v>
      </c>
      <c r="CB55" s="48"/>
      <c r="CC55" s="39">
        <f t="shared" ref="CC55" si="3163">CB52*$G$55</f>
        <v>2</v>
      </c>
      <c r="CD55" s="48"/>
      <c r="CE55" s="39">
        <f t="shared" ref="CE55" si="3164">CD52*$G$55</f>
        <v>2</v>
      </c>
      <c r="CF55" s="48"/>
      <c r="CG55" s="39">
        <f t="shared" ref="CG55" si="3165">CF52*$G$55</f>
        <v>2</v>
      </c>
      <c r="CH55" s="48"/>
      <c r="CI55" s="39">
        <f t="shared" ref="CI55" si="3166">CH52*$G$55</f>
        <v>2</v>
      </c>
      <c r="CJ55" s="48"/>
      <c r="CK55" s="39">
        <f t="shared" ref="CK55" si="3167">CJ52*$G$55</f>
        <v>2</v>
      </c>
      <c r="CL55" s="48"/>
      <c r="CM55" s="39">
        <f t="shared" ref="CM55" si="3168">CL52*$G$55</f>
        <v>2</v>
      </c>
      <c r="CN55" s="48"/>
      <c r="CO55" s="39">
        <f t="shared" ref="CO55" si="3169">CN52*$G$55</f>
        <v>2</v>
      </c>
      <c r="CP55" s="48"/>
      <c r="CQ55" s="39">
        <f t="shared" ref="CQ55" si="3170">CP52*$G$55</f>
        <v>2</v>
      </c>
      <c r="CR55" s="48"/>
      <c r="CS55" s="39">
        <f t="shared" ref="CS55" si="3171">CR52*$G$55</f>
        <v>2</v>
      </c>
      <c r="CT55" s="48"/>
      <c r="CU55" s="39">
        <f t="shared" ref="CU55" si="3172">CT52*$G$55</f>
        <v>2</v>
      </c>
      <c r="CV55" s="48"/>
      <c r="CW55" s="39">
        <f t="shared" ref="CW55" si="3173">CV52*$G$55</f>
        <v>2</v>
      </c>
      <c r="CX55" s="48"/>
      <c r="CY55" s="39">
        <f t="shared" ref="CY55" si="3174">CX52*$G$55</f>
        <v>2</v>
      </c>
      <c r="CZ55" s="48"/>
      <c r="DA55" s="39">
        <f t="shared" ref="DA55" si="3175">CZ52*$G$55</f>
        <v>2</v>
      </c>
      <c r="DB55" s="48"/>
      <c r="DC55" s="39">
        <f t="shared" ref="DC55" si="3176">DB52*$G$55</f>
        <v>2</v>
      </c>
      <c r="DD55" s="48"/>
      <c r="DE55" s="39">
        <f t="shared" ref="DE55" si="3177">DD52*$G$55</f>
        <v>2</v>
      </c>
      <c r="DF55" s="48"/>
      <c r="DG55" s="39">
        <f t="shared" ref="DG55" si="3178">DF52*$G$55</f>
        <v>2</v>
      </c>
      <c r="DH55" s="48"/>
      <c r="DI55" s="39">
        <f t="shared" ref="DI55" si="3179">DH52*$G$55</f>
        <v>2</v>
      </c>
      <c r="DJ55" s="48"/>
      <c r="DK55" s="39">
        <f t="shared" ref="DK55" si="3180">DJ52*$G$55</f>
        <v>2</v>
      </c>
      <c r="DL55" s="48"/>
      <c r="DM55" s="39">
        <f t="shared" ref="DM55" si="3181">DL52*$G$55</f>
        <v>2</v>
      </c>
      <c r="DN55" s="48"/>
      <c r="DO55" s="39">
        <f t="shared" ref="DO55" si="3182">DN52*$G$55</f>
        <v>2</v>
      </c>
      <c r="DP55" s="48"/>
      <c r="DQ55" s="39">
        <f t="shared" ref="DQ55" si="3183">DP52*$G$55</f>
        <v>2</v>
      </c>
      <c r="DR55" s="48"/>
      <c r="DS55" s="39">
        <f t="shared" ref="DS55" si="3184">DR52*$G$55</f>
        <v>2</v>
      </c>
      <c r="DT55" s="48"/>
      <c r="DU55" s="39">
        <f t="shared" ref="DU55" si="3185">DT52*$G$55</f>
        <v>2</v>
      </c>
      <c r="DV55" s="48"/>
      <c r="DW55" s="39">
        <f t="shared" ref="DW55" si="3186">DV52*$G$55</f>
        <v>2</v>
      </c>
      <c r="DX55" s="48"/>
      <c r="DY55" s="39">
        <f t="shared" ref="DY55" si="3187">DX52*$G$55</f>
        <v>2</v>
      </c>
      <c r="DZ55" s="48"/>
      <c r="EA55" s="39">
        <f t="shared" ref="EA55" si="3188">DZ52*$G$55</f>
        <v>2</v>
      </c>
      <c r="EB55" s="48"/>
      <c r="EC55" s="39">
        <f t="shared" ref="EC55" si="3189">EB52*$G$55</f>
        <v>2</v>
      </c>
      <c r="ED55" s="48"/>
      <c r="EE55" s="39">
        <f t="shared" ref="EE55" si="3190">ED52*$G$55</f>
        <v>2</v>
      </c>
      <c r="EF55" s="48"/>
      <c r="EG55" s="39">
        <f t="shared" ref="EG55" si="3191">EF52*$G$55</f>
        <v>2</v>
      </c>
      <c r="EH55" s="48"/>
      <c r="EI55" s="39">
        <f t="shared" ref="EI55" si="3192">EH52*$G$55</f>
        <v>2</v>
      </c>
      <c r="EJ55" s="48"/>
      <c r="EK55" s="39">
        <f t="shared" ref="EK55" si="3193">EJ52*$G$55</f>
        <v>2</v>
      </c>
      <c r="EL55" s="48"/>
      <c r="EM55" s="39">
        <f t="shared" ref="EM55" si="3194">EL52*$G$55</f>
        <v>2</v>
      </c>
      <c r="EN55" s="48"/>
      <c r="EO55" s="39">
        <f t="shared" ref="EO55" si="3195">EN52*$G$55</f>
        <v>2</v>
      </c>
      <c r="EP55" s="48"/>
      <c r="EQ55" s="39">
        <f t="shared" ref="EQ55" si="3196">EP52*$G$55</f>
        <v>2</v>
      </c>
      <c r="ER55" s="48"/>
      <c r="ES55" s="39">
        <f t="shared" ref="ES55" si="3197">ER52*$G$55</f>
        <v>2</v>
      </c>
      <c r="ET55" s="48"/>
      <c r="EU55" s="39">
        <f t="shared" ref="EU55" si="3198">ET52*$G$55</f>
        <v>2</v>
      </c>
      <c r="EV55" s="48"/>
      <c r="EW55" s="39">
        <f t="shared" ref="EW55" si="3199">EV52*$G$55</f>
        <v>2</v>
      </c>
      <c r="EX55" s="48"/>
      <c r="EY55" s="39">
        <f t="shared" ref="EY55" si="3200">EX52*$G$55</f>
        <v>2</v>
      </c>
      <c r="EZ55" s="48"/>
      <c r="FA55" s="39">
        <f t="shared" ref="FA55" si="3201">EZ52*$G$55</f>
        <v>2</v>
      </c>
      <c r="FB55" s="48"/>
      <c r="FC55" s="39">
        <f t="shared" ref="FC55" si="3202">FB52*$G$55</f>
        <v>2</v>
      </c>
      <c r="FD55" s="48"/>
      <c r="FE55" s="39">
        <f t="shared" ref="FE55" si="3203">FD52*$G$55</f>
        <v>2</v>
      </c>
      <c r="FF55" s="48"/>
      <c r="FG55" s="39">
        <f t="shared" ref="FG55" si="3204">FF52*$G$55</f>
        <v>2</v>
      </c>
      <c r="FH55" s="48"/>
      <c r="FI55" s="39">
        <f t="shared" ref="FI55" si="3205">FH52*$G$55</f>
        <v>2</v>
      </c>
      <c r="FJ55" s="48"/>
      <c r="FK55" s="39">
        <f t="shared" ref="FK55" si="3206">FJ52*$G$55</f>
        <v>2</v>
      </c>
      <c r="FL55" s="48"/>
      <c r="FM55" s="39">
        <f t="shared" ref="FM55" si="3207">FL52*$G$55</f>
        <v>2</v>
      </c>
      <c r="FN55" s="48"/>
      <c r="FO55" s="39">
        <f t="shared" ref="FO55" si="3208">FN52*$G$55</f>
        <v>2</v>
      </c>
      <c r="FP55" s="48"/>
      <c r="FQ55" s="39">
        <f t="shared" ref="FQ55" si="3209">FP52*$G$55</f>
        <v>2</v>
      </c>
    </row>
    <row r="56" spans="1:173" x14ac:dyDescent="0.35">
      <c r="A56" s="15" t="s">
        <v>137</v>
      </c>
      <c r="B56" s="15">
        <v>913</v>
      </c>
      <c r="C56" s="15" t="s">
        <v>95</v>
      </c>
      <c r="D56" s="15" t="s">
        <v>144</v>
      </c>
      <c r="E56" s="15" t="s">
        <v>149</v>
      </c>
      <c r="F56" s="15">
        <v>5</v>
      </c>
      <c r="G56" s="15">
        <v>2</v>
      </c>
      <c r="H56" s="48"/>
      <c r="I56" s="15">
        <f t="shared" ref="I56" si="3210">H52*G56</f>
        <v>280</v>
      </c>
      <c r="J56" s="48"/>
      <c r="K56" s="39">
        <f>J52*$G$56</f>
        <v>12</v>
      </c>
      <c r="L56" s="48"/>
      <c r="M56" s="39">
        <f t="shared" ref="M56" si="3211">L52*$G$56</f>
        <v>12</v>
      </c>
      <c r="N56" s="48"/>
      <c r="O56" s="39">
        <f t="shared" ref="O56" si="3212">N52*$G$56</f>
        <v>12</v>
      </c>
      <c r="P56" s="48"/>
      <c r="Q56" s="39">
        <f t="shared" ref="Q56" si="3213">P52*$G$56</f>
        <v>10</v>
      </c>
      <c r="R56" s="48"/>
      <c r="S56" s="39">
        <f t="shared" ref="S56" si="3214">R52*$G$56</f>
        <v>10</v>
      </c>
      <c r="T56" s="48"/>
      <c r="U56" s="39">
        <f t="shared" ref="U56" si="3215">T52*$G$56</f>
        <v>10</v>
      </c>
      <c r="V56" s="48"/>
      <c r="W56" s="39">
        <f t="shared" ref="W56" si="3216">V52*$G$56</f>
        <v>10</v>
      </c>
      <c r="X56" s="48"/>
      <c r="Y56" s="39">
        <f t="shared" ref="Y56" si="3217">X52*$G$56</f>
        <v>10</v>
      </c>
      <c r="Z56" s="48"/>
      <c r="AA56" s="39">
        <f t="shared" ref="AA56" si="3218">Z52*$G$56</f>
        <v>10</v>
      </c>
      <c r="AB56" s="48"/>
      <c r="AC56" s="39">
        <f t="shared" ref="AC56" si="3219">AB52*$G$56</f>
        <v>10</v>
      </c>
      <c r="AD56" s="48"/>
      <c r="AE56" s="39">
        <f t="shared" ref="AE56" si="3220">AD52*$G$56</f>
        <v>10</v>
      </c>
      <c r="AF56" s="48"/>
      <c r="AG56" s="39">
        <f t="shared" ref="AG56" si="3221">AF52*$G$56</f>
        <v>10</v>
      </c>
      <c r="AH56" s="48"/>
      <c r="AI56" s="39">
        <f t="shared" ref="AI56" si="3222">AH52*$G$56</f>
        <v>10</v>
      </c>
      <c r="AJ56" s="48"/>
      <c r="AK56" s="39">
        <f t="shared" ref="AK56" si="3223">AJ52*$G$56</f>
        <v>2</v>
      </c>
      <c r="AL56" s="48"/>
      <c r="AM56" s="39">
        <f t="shared" ref="AM56" si="3224">AL52*$G$56</f>
        <v>2</v>
      </c>
      <c r="AN56" s="48"/>
      <c r="AO56" s="39">
        <f t="shared" ref="AO56" si="3225">AN52*$G$56</f>
        <v>2</v>
      </c>
      <c r="AP56" s="48"/>
      <c r="AQ56" s="39">
        <f t="shared" ref="AQ56" si="3226">AP52*$G$56</f>
        <v>2</v>
      </c>
      <c r="AR56" s="48"/>
      <c r="AS56" s="39">
        <f t="shared" ref="AS56" si="3227">AR52*$G$56</f>
        <v>2</v>
      </c>
      <c r="AT56" s="48"/>
      <c r="AU56" s="39">
        <f t="shared" ref="AU56" si="3228">AT52*$G$56</f>
        <v>2</v>
      </c>
      <c r="AV56" s="48"/>
      <c r="AW56" s="39">
        <f t="shared" ref="AW56" si="3229">AV52*$G$56</f>
        <v>2</v>
      </c>
      <c r="AX56" s="48"/>
      <c r="AY56" s="39">
        <f t="shared" ref="AY56" si="3230">AX52*$G$56</f>
        <v>2</v>
      </c>
      <c r="AZ56" s="48"/>
      <c r="BA56" s="39">
        <f t="shared" ref="BA56" si="3231">AZ52*$G$56</f>
        <v>2</v>
      </c>
      <c r="BB56" s="48"/>
      <c r="BC56" s="39">
        <f t="shared" ref="BC56" si="3232">BB52*$G$56</f>
        <v>2</v>
      </c>
      <c r="BD56" s="48"/>
      <c r="BE56" s="39">
        <f t="shared" ref="BE56" si="3233">BD52*$G$56</f>
        <v>2</v>
      </c>
      <c r="BF56" s="48"/>
      <c r="BG56" s="39">
        <f t="shared" ref="BG56" si="3234">BF52*$G$56</f>
        <v>2</v>
      </c>
      <c r="BH56" s="48"/>
      <c r="BI56" s="39">
        <f t="shared" ref="BI56" si="3235">BH52*$G$56</f>
        <v>2</v>
      </c>
      <c r="BJ56" s="48"/>
      <c r="BK56" s="39">
        <f t="shared" ref="BK56" si="3236">BJ52*$G$56</f>
        <v>2</v>
      </c>
      <c r="BL56" s="48"/>
      <c r="BM56" s="39">
        <f t="shared" ref="BM56" si="3237">BL52*$G$56</f>
        <v>2</v>
      </c>
      <c r="BN56" s="48"/>
      <c r="BO56" s="39">
        <f t="shared" ref="BO56" si="3238">BN52*$G$56</f>
        <v>2</v>
      </c>
      <c r="BP56" s="48"/>
      <c r="BQ56" s="39">
        <f t="shared" ref="BQ56" si="3239">BP52*$G$56</f>
        <v>2</v>
      </c>
      <c r="BR56" s="48"/>
      <c r="BS56" s="39">
        <f t="shared" ref="BS56" si="3240">BR52*$G$56</f>
        <v>2</v>
      </c>
      <c r="BT56" s="48"/>
      <c r="BU56" s="39">
        <f t="shared" ref="BU56" si="3241">BT52*$G$56</f>
        <v>2</v>
      </c>
      <c r="BV56" s="48"/>
      <c r="BW56" s="39">
        <f t="shared" ref="BW56" si="3242">BV52*$G$56</f>
        <v>2</v>
      </c>
      <c r="BX56" s="48"/>
      <c r="BY56" s="39">
        <f t="shared" ref="BY56" si="3243">BX52*$G$56</f>
        <v>2</v>
      </c>
      <c r="BZ56" s="48"/>
      <c r="CA56" s="39">
        <f t="shared" ref="CA56" si="3244">BZ52*$G$56</f>
        <v>2</v>
      </c>
      <c r="CB56" s="48"/>
      <c r="CC56" s="39">
        <f t="shared" ref="CC56" si="3245">CB52*$G$56</f>
        <v>2</v>
      </c>
      <c r="CD56" s="48"/>
      <c r="CE56" s="39">
        <f t="shared" ref="CE56" si="3246">CD52*$G$56</f>
        <v>2</v>
      </c>
      <c r="CF56" s="48"/>
      <c r="CG56" s="39">
        <f t="shared" ref="CG56" si="3247">CF52*$G$56</f>
        <v>2</v>
      </c>
      <c r="CH56" s="48"/>
      <c r="CI56" s="39">
        <f t="shared" ref="CI56" si="3248">CH52*$G$56</f>
        <v>2</v>
      </c>
      <c r="CJ56" s="48"/>
      <c r="CK56" s="39">
        <f t="shared" ref="CK56" si="3249">CJ52*$G$56</f>
        <v>2</v>
      </c>
      <c r="CL56" s="48"/>
      <c r="CM56" s="39">
        <f t="shared" ref="CM56" si="3250">CL52*$G$56</f>
        <v>2</v>
      </c>
      <c r="CN56" s="48"/>
      <c r="CO56" s="39">
        <f t="shared" ref="CO56" si="3251">CN52*$G$56</f>
        <v>2</v>
      </c>
      <c r="CP56" s="48"/>
      <c r="CQ56" s="39">
        <f t="shared" ref="CQ56" si="3252">CP52*$G$56</f>
        <v>2</v>
      </c>
      <c r="CR56" s="48"/>
      <c r="CS56" s="39">
        <f t="shared" ref="CS56" si="3253">CR52*$G$56</f>
        <v>2</v>
      </c>
      <c r="CT56" s="48"/>
      <c r="CU56" s="39">
        <f t="shared" ref="CU56" si="3254">CT52*$G$56</f>
        <v>2</v>
      </c>
      <c r="CV56" s="48"/>
      <c r="CW56" s="39">
        <f t="shared" ref="CW56" si="3255">CV52*$G$56</f>
        <v>2</v>
      </c>
      <c r="CX56" s="48"/>
      <c r="CY56" s="39">
        <f t="shared" ref="CY56" si="3256">CX52*$G$56</f>
        <v>2</v>
      </c>
      <c r="CZ56" s="48"/>
      <c r="DA56" s="39">
        <f t="shared" ref="DA56" si="3257">CZ52*$G$56</f>
        <v>2</v>
      </c>
      <c r="DB56" s="48"/>
      <c r="DC56" s="39">
        <f t="shared" ref="DC56" si="3258">DB52*$G$56</f>
        <v>2</v>
      </c>
      <c r="DD56" s="48"/>
      <c r="DE56" s="39">
        <f t="shared" ref="DE56" si="3259">DD52*$G$56</f>
        <v>2</v>
      </c>
      <c r="DF56" s="48"/>
      <c r="DG56" s="39">
        <f t="shared" ref="DG56" si="3260">DF52*$G$56</f>
        <v>2</v>
      </c>
      <c r="DH56" s="48"/>
      <c r="DI56" s="39">
        <f t="shared" ref="DI56" si="3261">DH52*$G$56</f>
        <v>2</v>
      </c>
      <c r="DJ56" s="48"/>
      <c r="DK56" s="39">
        <f t="shared" ref="DK56" si="3262">DJ52*$G$56</f>
        <v>2</v>
      </c>
      <c r="DL56" s="48"/>
      <c r="DM56" s="39">
        <f t="shared" ref="DM56" si="3263">DL52*$G$56</f>
        <v>2</v>
      </c>
      <c r="DN56" s="48"/>
      <c r="DO56" s="39">
        <f t="shared" ref="DO56" si="3264">DN52*$G$56</f>
        <v>2</v>
      </c>
      <c r="DP56" s="48"/>
      <c r="DQ56" s="39">
        <f t="shared" ref="DQ56" si="3265">DP52*$G$56</f>
        <v>2</v>
      </c>
      <c r="DR56" s="48"/>
      <c r="DS56" s="39">
        <f t="shared" ref="DS56" si="3266">DR52*$G$56</f>
        <v>2</v>
      </c>
      <c r="DT56" s="48"/>
      <c r="DU56" s="39">
        <f t="shared" ref="DU56" si="3267">DT52*$G$56</f>
        <v>2</v>
      </c>
      <c r="DV56" s="48"/>
      <c r="DW56" s="39">
        <f t="shared" ref="DW56" si="3268">DV52*$G$56</f>
        <v>2</v>
      </c>
      <c r="DX56" s="48"/>
      <c r="DY56" s="39">
        <f t="shared" ref="DY56" si="3269">DX52*$G$56</f>
        <v>2</v>
      </c>
      <c r="DZ56" s="48"/>
      <c r="EA56" s="39">
        <f t="shared" ref="EA56" si="3270">DZ52*$G$56</f>
        <v>2</v>
      </c>
      <c r="EB56" s="48"/>
      <c r="EC56" s="39">
        <f t="shared" ref="EC56" si="3271">EB52*$G$56</f>
        <v>2</v>
      </c>
      <c r="ED56" s="48"/>
      <c r="EE56" s="39">
        <f t="shared" ref="EE56" si="3272">ED52*$G$56</f>
        <v>2</v>
      </c>
      <c r="EF56" s="48"/>
      <c r="EG56" s="39">
        <f t="shared" ref="EG56" si="3273">EF52*$G$56</f>
        <v>2</v>
      </c>
      <c r="EH56" s="48"/>
      <c r="EI56" s="39">
        <f t="shared" ref="EI56" si="3274">EH52*$G$56</f>
        <v>2</v>
      </c>
      <c r="EJ56" s="48"/>
      <c r="EK56" s="39">
        <f t="shared" ref="EK56" si="3275">EJ52*$G$56</f>
        <v>2</v>
      </c>
      <c r="EL56" s="48"/>
      <c r="EM56" s="39">
        <f t="shared" ref="EM56" si="3276">EL52*$G$56</f>
        <v>2</v>
      </c>
      <c r="EN56" s="48"/>
      <c r="EO56" s="39">
        <f t="shared" ref="EO56" si="3277">EN52*$G$56</f>
        <v>2</v>
      </c>
      <c r="EP56" s="48"/>
      <c r="EQ56" s="39">
        <f t="shared" ref="EQ56" si="3278">EP52*$G$56</f>
        <v>2</v>
      </c>
      <c r="ER56" s="48"/>
      <c r="ES56" s="39">
        <f t="shared" ref="ES56" si="3279">ER52*$G$56</f>
        <v>2</v>
      </c>
      <c r="ET56" s="48"/>
      <c r="EU56" s="39">
        <f t="shared" ref="EU56" si="3280">ET52*$G$56</f>
        <v>2</v>
      </c>
      <c r="EV56" s="48"/>
      <c r="EW56" s="39">
        <f t="shared" ref="EW56" si="3281">EV52*$G$56</f>
        <v>2</v>
      </c>
      <c r="EX56" s="48"/>
      <c r="EY56" s="39">
        <f t="shared" ref="EY56" si="3282">EX52*$G$56</f>
        <v>2</v>
      </c>
      <c r="EZ56" s="48"/>
      <c r="FA56" s="39">
        <f t="shared" ref="FA56" si="3283">EZ52*$G$56</f>
        <v>2</v>
      </c>
      <c r="FB56" s="48"/>
      <c r="FC56" s="39">
        <f t="shared" ref="FC56" si="3284">FB52*$G$56</f>
        <v>2</v>
      </c>
      <c r="FD56" s="48"/>
      <c r="FE56" s="39">
        <f t="shared" ref="FE56" si="3285">FD52*$G$56</f>
        <v>2</v>
      </c>
      <c r="FF56" s="48"/>
      <c r="FG56" s="39">
        <f t="shared" ref="FG56" si="3286">FF52*$G$56</f>
        <v>2</v>
      </c>
      <c r="FH56" s="48"/>
      <c r="FI56" s="39">
        <f t="shared" ref="FI56" si="3287">FH52*$G$56</f>
        <v>2</v>
      </c>
      <c r="FJ56" s="48"/>
      <c r="FK56" s="39">
        <f t="shared" ref="FK56" si="3288">FJ52*$G$56</f>
        <v>2</v>
      </c>
      <c r="FL56" s="48"/>
      <c r="FM56" s="39">
        <f t="shared" ref="FM56" si="3289">FL52*$G$56</f>
        <v>2</v>
      </c>
      <c r="FN56" s="48"/>
      <c r="FO56" s="39">
        <f t="shared" ref="FO56" si="3290">FN52*$G$56</f>
        <v>2</v>
      </c>
      <c r="FP56" s="48"/>
      <c r="FQ56" s="39">
        <f t="shared" ref="FQ56" si="3291">FP52*$G$56</f>
        <v>2</v>
      </c>
    </row>
    <row r="57" spans="1:173" x14ac:dyDescent="0.35">
      <c r="A57" s="15" t="s">
        <v>137</v>
      </c>
      <c r="B57" s="15">
        <v>913</v>
      </c>
      <c r="C57" s="15" t="s">
        <v>95</v>
      </c>
      <c r="D57" s="15" t="s">
        <v>144</v>
      </c>
      <c r="E57" s="15" t="s">
        <v>150</v>
      </c>
      <c r="F57" s="15">
        <v>6</v>
      </c>
      <c r="G57" s="15">
        <v>0</v>
      </c>
      <c r="H57" s="48"/>
      <c r="I57" s="15">
        <f t="shared" ref="I57" si="3292">H52*G57</f>
        <v>0</v>
      </c>
      <c r="J57" s="48"/>
      <c r="K57" s="39">
        <f>J52*$G$57</f>
        <v>0</v>
      </c>
      <c r="L57" s="48"/>
      <c r="M57" s="39">
        <f t="shared" ref="M57" si="3293">L52*$G$57</f>
        <v>0</v>
      </c>
      <c r="N57" s="48"/>
      <c r="O57" s="39">
        <f t="shared" ref="O57" si="3294">N52*$G$57</f>
        <v>0</v>
      </c>
      <c r="P57" s="48"/>
      <c r="Q57" s="39">
        <f t="shared" ref="Q57" si="3295">P52*$G$57</f>
        <v>0</v>
      </c>
      <c r="R57" s="48"/>
      <c r="S57" s="39">
        <f t="shared" ref="S57" si="3296">R52*$G$57</f>
        <v>0</v>
      </c>
      <c r="T57" s="48"/>
      <c r="U57" s="39">
        <f t="shared" ref="U57" si="3297">T52*$G$57</f>
        <v>0</v>
      </c>
      <c r="V57" s="48"/>
      <c r="W57" s="39">
        <f t="shared" ref="W57" si="3298">V52*$G$57</f>
        <v>0</v>
      </c>
      <c r="X57" s="48"/>
      <c r="Y57" s="39">
        <f t="shared" ref="Y57" si="3299">X52*$G$57</f>
        <v>0</v>
      </c>
      <c r="Z57" s="48"/>
      <c r="AA57" s="39">
        <f t="shared" ref="AA57" si="3300">Z52*$G$57</f>
        <v>0</v>
      </c>
      <c r="AB57" s="48"/>
      <c r="AC57" s="39">
        <f t="shared" ref="AC57" si="3301">AB52*$G$57</f>
        <v>0</v>
      </c>
      <c r="AD57" s="48"/>
      <c r="AE57" s="39">
        <f t="shared" ref="AE57" si="3302">AD52*$G$57</f>
        <v>0</v>
      </c>
      <c r="AF57" s="48"/>
      <c r="AG57" s="39">
        <f t="shared" ref="AG57" si="3303">AF52*$G$57</f>
        <v>0</v>
      </c>
      <c r="AH57" s="48"/>
      <c r="AI57" s="39">
        <f t="shared" ref="AI57" si="3304">AH52*$G$57</f>
        <v>0</v>
      </c>
      <c r="AJ57" s="48"/>
      <c r="AK57" s="39">
        <f t="shared" ref="AK57" si="3305">AJ52*$G$57</f>
        <v>0</v>
      </c>
      <c r="AL57" s="48"/>
      <c r="AM57" s="39">
        <f t="shared" ref="AM57" si="3306">AL52*$G$57</f>
        <v>0</v>
      </c>
      <c r="AN57" s="48"/>
      <c r="AO57" s="39">
        <f t="shared" ref="AO57" si="3307">AN52*$G$57</f>
        <v>0</v>
      </c>
      <c r="AP57" s="48"/>
      <c r="AQ57" s="39">
        <f t="shared" ref="AQ57" si="3308">AP52*$G$57</f>
        <v>0</v>
      </c>
      <c r="AR57" s="48"/>
      <c r="AS57" s="39">
        <f t="shared" ref="AS57" si="3309">AR52*$G$57</f>
        <v>0</v>
      </c>
      <c r="AT57" s="48"/>
      <c r="AU57" s="39">
        <f t="shared" ref="AU57" si="3310">AT52*$G$57</f>
        <v>0</v>
      </c>
      <c r="AV57" s="48"/>
      <c r="AW57" s="39">
        <f t="shared" ref="AW57" si="3311">AV52*$G$57</f>
        <v>0</v>
      </c>
      <c r="AX57" s="48"/>
      <c r="AY57" s="39">
        <f t="shared" ref="AY57" si="3312">AX52*$G$57</f>
        <v>0</v>
      </c>
      <c r="AZ57" s="48"/>
      <c r="BA57" s="39">
        <f t="shared" ref="BA57" si="3313">AZ52*$G$57</f>
        <v>0</v>
      </c>
      <c r="BB57" s="48"/>
      <c r="BC57" s="39">
        <f t="shared" ref="BC57" si="3314">BB52*$G$57</f>
        <v>0</v>
      </c>
      <c r="BD57" s="48"/>
      <c r="BE57" s="39">
        <f t="shared" ref="BE57" si="3315">BD52*$G$57</f>
        <v>0</v>
      </c>
      <c r="BF57" s="48"/>
      <c r="BG57" s="39">
        <f t="shared" ref="BG57" si="3316">BF52*$G$57</f>
        <v>0</v>
      </c>
      <c r="BH57" s="48"/>
      <c r="BI57" s="39">
        <f t="shared" ref="BI57" si="3317">BH52*$G$57</f>
        <v>0</v>
      </c>
      <c r="BJ57" s="48"/>
      <c r="BK57" s="39">
        <f t="shared" ref="BK57" si="3318">BJ52*$G$57</f>
        <v>0</v>
      </c>
      <c r="BL57" s="48"/>
      <c r="BM57" s="39">
        <f t="shared" ref="BM57" si="3319">BL52*$G$57</f>
        <v>0</v>
      </c>
      <c r="BN57" s="48"/>
      <c r="BO57" s="39">
        <f t="shared" ref="BO57" si="3320">BN52*$G$57</f>
        <v>0</v>
      </c>
      <c r="BP57" s="48"/>
      <c r="BQ57" s="39">
        <f t="shared" ref="BQ57" si="3321">BP52*$G$57</f>
        <v>0</v>
      </c>
      <c r="BR57" s="48"/>
      <c r="BS57" s="39">
        <f t="shared" ref="BS57" si="3322">BR52*$G$57</f>
        <v>0</v>
      </c>
      <c r="BT57" s="48"/>
      <c r="BU57" s="39">
        <f t="shared" ref="BU57" si="3323">BT52*$G$57</f>
        <v>0</v>
      </c>
      <c r="BV57" s="48"/>
      <c r="BW57" s="39">
        <f t="shared" ref="BW57" si="3324">BV52*$G$57</f>
        <v>0</v>
      </c>
      <c r="BX57" s="48"/>
      <c r="BY57" s="39">
        <f t="shared" ref="BY57" si="3325">BX52*$G$57</f>
        <v>0</v>
      </c>
      <c r="BZ57" s="48"/>
      <c r="CA57" s="39">
        <f t="shared" ref="CA57" si="3326">BZ52*$G$57</f>
        <v>0</v>
      </c>
      <c r="CB57" s="48"/>
      <c r="CC57" s="39">
        <f t="shared" ref="CC57" si="3327">CB52*$G$57</f>
        <v>0</v>
      </c>
      <c r="CD57" s="48"/>
      <c r="CE57" s="39">
        <f t="shared" ref="CE57" si="3328">CD52*$G$57</f>
        <v>0</v>
      </c>
      <c r="CF57" s="48"/>
      <c r="CG57" s="39">
        <f t="shared" ref="CG57" si="3329">CF52*$G$57</f>
        <v>0</v>
      </c>
      <c r="CH57" s="48"/>
      <c r="CI57" s="39">
        <f t="shared" ref="CI57" si="3330">CH52*$G$57</f>
        <v>0</v>
      </c>
      <c r="CJ57" s="48"/>
      <c r="CK57" s="39">
        <f t="shared" ref="CK57" si="3331">CJ52*$G$57</f>
        <v>0</v>
      </c>
      <c r="CL57" s="48"/>
      <c r="CM57" s="39">
        <f t="shared" ref="CM57" si="3332">CL52*$G$57</f>
        <v>0</v>
      </c>
      <c r="CN57" s="48"/>
      <c r="CO57" s="39">
        <f t="shared" ref="CO57" si="3333">CN52*$G$57</f>
        <v>0</v>
      </c>
      <c r="CP57" s="48"/>
      <c r="CQ57" s="39">
        <f t="shared" ref="CQ57" si="3334">CP52*$G$57</f>
        <v>0</v>
      </c>
      <c r="CR57" s="48"/>
      <c r="CS57" s="39">
        <f t="shared" ref="CS57" si="3335">CR52*$G$57</f>
        <v>0</v>
      </c>
      <c r="CT57" s="48"/>
      <c r="CU57" s="39">
        <f t="shared" ref="CU57" si="3336">CT52*$G$57</f>
        <v>0</v>
      </c>
      <c r="CV57" s="48"/>
      <c r="CW57" s="39">
        <f t="shared" ref="CW57" si="3337">CV52*$G$57</f>
        <v>0</v>
      </c>
      <c r="CX57" s="48"/>
      <c r="CY57" s="39">
        <f t="shared" ref="CY57" si="3338">CX52*$G$57</f>
        <v>0</v>
      </c>
      <c r="CZ57" s="48"/>
      <c r="DA57" s="39">
        <f t="shared" ref="DA57" si="3339">CZ52*$G$57</f>
        <v>0</v>
      </c>
      <c r="DB57" s="48"/>
      <c r="DC57" s="39">
        <f t="shared" ref="DC57" si="3340">DB52*$G$57</f>
        <v>0</v>
      </c>
      <c r="DD57" s="48"/>
      <c r="DE57" s="39">
        <f t="shared" ref="DE57" si="3341">DD52*$G$57</f>
        <v>0</v>
      </c>
      <c r="DF57" s="48"/>
      <c r="DG57" s="39">
        <f t="shared" ref="DG57" si="3342">DF52*$G$57</f>
        <v>0</v>
      </c>
      <c r="DH57" s="48"/>
      <c r="DI57" s="39">
        <f t="shared" ref="DI57" si="3343">DH52*$G$57</f>
        <v>0</v>
      </c>
      <c r="DJ57" s="48"/>
      <c r="DK57" s="39">
        <f t="shared" ref="DK57" si="3344">DJ52*$G$57</f>
        <v>0</v>
      </c>
      <c r="DL57" s="48"/>
      <c r="DM57" s="39">
        <f t="shared" ref="DM57" si="3345">DL52*$G$57</f>
        <v>0</v>
      </c>
      <c r="DN57" s="48"/>
      <c r="DO57" s="39">
        <f t="shared" ref="DO57" si="3346">DN52*$G$57</f>
        <v>0</v>
      </c>
      <c r="DP57" s="48"/>
      <c r="DQ57" s="39">
        <f t="shared" ref="DQ57" si="3347">DP52*$G$57</f>
        <v>0</v>
      </c>
      <c r="DR57" s="48"/>
      <c r="DS57" s="39">
        <f t="shared" ref="DS57" si="3348">DR52*$G$57</f>
        <v>0</v>
      </c>
      <c r="DT57" s="48"/>
      <c r="DU57" s="39">
        <f t="shared" ref="DU57" si="3349">DT52*$G$57</f>
        <v>0</v>
      </c>
      <c r="DV57" s="48"/>
      <c r="DW57" s="39">
        <f t="shared" ref="DW57" si="3350">DV52*$G$57</f>
        <v>0</v>
      </c>
      <c r="DX57" s="48"/>
      <c r="DY57" s="39">
        <f t="shared" ref="DY57" si="3351">DX52*$G$57</f>
        <v>0</v>
      </c>
      <c r="DZ57" s="48"/>
      <c r="EA57" s="39">
        <f t="shared" ref="EA57" si="3352">DZ52*$G$57</f>
        <v>0</v>
      </c>
      <c r="EB57" s="48"/>
      <c r="EC57" s="39">
        <f t="shared" ref="EC57" si="3353">EB52*$G$57</f>
        <v>0</v>
      </c>
      <c r="ED57" s="48"/>
      <c r="EE57" s="39">
        <f t="shared" ref="EE57" si="3354">ED52*$G$57</f>
        <v>0</v>
      </c>
      <c r="EF57" s="48"/>
      <c r="EG57" s="39">
        <f t="shared" ref="EG57" si="3355">EF52*$G$57</f>
        <v>0</v>
      </c>
      <c r="EH57" s="48"/>
      <c r="EI57" s="39">
        <f t="shared" ref="EI57" si="3356">EH52*$G$57</f>
        <v>0</v>
      </c>
      <c r="EJ57" s="48"/>
      <c r="EK57" s="39">
        <f t="shared" ref="EK57" si="3357">EJ52*$G$57</f>
        <v>0</v>
      </c>
      <c r="EL57" s="48"/>
      <c r="EM57" s="39">
        <f t="shared" ref="EM57" si="3358">EL52*$G$57</f>
        <v>0</v>
      </c>
      <c r="EN57" s="48"/>
      <c r="EO57" s="39">
        <f t="shared" ref="EO57" si="3359">EN52*$G$57</f>
        <v>0</v>
      </c>
      <c r="EP57" s="48"/>
      <c r="EQ57" s="39">
        <f t="shared" ref="EQ57" si="3360">EP52*$G$57</f>
        <v>0</v>
      </c>
      <c r="ER57" s="48"/>
      <c r="ES57" s="39">
        <f t="shared" ref="ES57" si="3361">ER52*$G$57</f>
        <v>0</v>
      </c>
      <c r="ET57" s="48"/>
      <c r="EU57" s="39">
        <f t="shared" ref="EU57" si="3362">ET52*$G$57</f>
        <v>0</v>
      </c>
      <c r="EV57" s="48"/>
      <c r="EW57" s="39">
        <f t="shared" ref="EW57" si="3363">EV52*$G$57</f>
        <v>0</v>
      </c>
      <c r="EX57" s="48"/>
      <c r="EY57" s="39">
        <f t="shared" ref="EY57" si="3364">EX52*$G$57</f>
        <v>0</v>
      </c>
      <c r="EZ57" s="48"/>
      <c r="FA57" s="39">
        <f t="shared" ref="FA57" si="3365">EZ52*$G$57</f>
        <v>0</v>
      </c>
      <c r="FB57" s="48"/>
      <c r="FC57" s="39">
        <f t="shared" ref="FC57" si="3366">FB52*$G$57</f>
        <v>0</v>
      </c>
      <c r="FD57" s="48"/>
      <c r="FE57" s="39">
        <f t="shared" ref="FE57" si="3367">FD52*$G$57</f>
        <v>0</v>
      </c>
      <c r="FF57" s="48"/>
      <c r="FG57" s="39">
        <f t="shared" ref="FG57" si="3368">FF52*$G$57</f>
        <v>0</v>
      </c>
      <c r="FH57" s="48"/>
      <c r="FI57" s="39">
        <f t="shared" ref="FI57" si="3369">FH52*$G$57</f>
        <v>0</v>
      </c>
      <c r="FJ57" s="48"/>
      <c r="FK57" s="39">
        <f t="shared" ref="FK57" si="3370">FJ52*$G$57</f>
        <v>0</v>
      </c>
      <c r="FL57" s="48"/>
      <c r="FM57" s="39">
        <f t="shared" ref="FM57" si="3371">FL52*$G$57</f>
        <v>0</v>
      </c>
      <c r="FN57" s="48"/>
      <c r="FO57" s="39">
        <f t="shared" ref="FO57" si="3372">FN52*$G$57</f>
        <v>0</v>
      </c>
      <c r="FP57" s="48"/>
      <c r="FQ57" s="39">
        <f t="shared" ref="FQ57" si="3373">FP52*$G$57</f>
        <v>0</v>
      </c>
    </row>
    <row r="58" spans="1:173" x14ac:dyDescent="0.35">
      <c r="A58" s="7"/>
      <c r="B58" s="7"/>
      <c r="C58" s="7"/>
      <c r="D58" s="7"/>
      <c r="E58" s="7"/>
      <c r="F58" s="7">
        <v>1</v>
      </c>
      <c r="G58" s="7"/>
      <c r="H58" s="49"/>
      <c r="I58" s="7">
        <f t="shared" ref="I58" si="3374">H58*G58</f>
        <v>0</v>
      </c>
      <c r="J58" s="56"/>
      <c r="K58" s="1">
        <f>J58*$G$58</f>
        <v>0</v>
      </c>
      <c r="L58" s="56"/>
      <c r="M58" s="1">
        <f t="shared" ref="M58" si="3375">L58*$G$58</f>
        <v>0</v>
      </c>
      <c r="N58" s="56"/>
      <c r="O58" s="1">
        <f t="shared" ref="O58" si="3376">N58*$G$58</f>
        <v>0</v>
      </c>
      <c r="P58" s="56"/>
      <c r="Q58" s="1">
        <f t="shared" ref="Q58" si="3377">P58*$G$58</f>
        <v>0</v>
      </c>
      <c r="R58" s="56"/>
      <c r="S58" s="1">
        <f t="shared" ref="S58" si="3378">R58*$G$58</f>
        <v>0</v>
      </c>
      <c r="T58" s="56"/>
      <c r="U58" s="1">
        <f t="shared" ref="U58" si="3379">T58*$G$58</f>
        <v>0</v>
      </c>
      <c r="V58" s="56"/>
      <c r="W58" s="1">
        <f t="shared" ref="W58" si="3380">V58*$G$58</f>
        <v>0</v>
      </c>
      <c r="X58" s="56"/>
      <c r="Y58" s="1">
        <f t="shared" ref="Y58" si="3381">X58*$G$58</f>
        <v>0</v>
      </c>
      <c r="Z58" s="56"/>
      <c r="AA58" s="1">
        <f t="shared" ref="AA58" si="3382">Z58*$G$58</f>
        <v>0</v>
      </c>
      <c r="AB58" s="56"/>
      <c r="AC58" s="1">
        <f t="shared" ref="AC58" si="3383">AB58*$G$58</f>
        <v>0</v>
      </c>
      <c r="AD58" s="56"/>
      <c r="AE58" s="1">
        <f t="shared" ref="AE58" si="3384">AD58*$G$58</f>
        <v>0</v>
      </c>
      <c r="AF58" s="56"/>
      <c r="AG58" s="1">
        <f t="shared" ref="AG58" si="3385">AF58*$G$58</f>
        <v>0</v>
      </c>
      <c r="AH58" s="56"/>
      <c r="AI58" s="1">
        <f t="shared" ref="AI58" si="3386">AH58*$G$58</f>
        <v>0</v>
      </c>
      <c r="AJ58" s="56"/>
      <c r="AK58" s="1">
        <f t="shared" ref="AK58" si="3387">AJ58*$G$58</f>
        <v>0</v>
      </c>
      <c r="AL58" s="56"/>
      <c r="AM58" s="1">
        <f t="shared" ref="AM58" si="3388">AL58*$G$58</f>
        <v>0</v>
      </c>
      <c r="AN58" s="56"/>
      <c r="AO58" s="1">
        <f t="shared" ref="AO58" si="3389">AN58*$G$58</f>
        <v>0</v>
      </c>
      <c r="AP58" s="56"/>
      <c r="AQ58" s="1">
        <f t="shared" ref="AQ58" si="3390">AP58*$G$58</f>
        <v>0</v>
      </c>
      <c r="AR58" s="56"/>
      <c r="AS58" s="1">
        <f t="shared" ref="AS58" si="3391">AR58*$G$58</f>
        <v>0</v>
      </c>
      <c r="AT58" s="56"/>
      <c r="AU58" s="1">
        <f t="shared" ref="AU58" si="3392">AT58*$G$58</f>
        <v>0</v>
      </c>
      <c r="AV58" s="56"/>
      <c r="AW58" s="1">
        <f t="shared" ref="AW58" si="3393">AV58*$G$58</f>
        <v>0</v>
      </c>
      <c r="AX58" s="56"/>
      <c r="AY58" s="1">
        <f t="shared" ref="AY58" si="3394">AX58*$G$58</f>
        <v>0</v>
      </c>
      <c r="AZ58" s="56"/>
      <c r="BA58" s="1">
        <f t="shared" ref="BA58" si="3395">AZ58*$G$58</f>
        <v>0</v>
      </c>
      <c r="BB58" s="56"/>
      <c r="BC58" s="1">
        <f t="shared" ref="BC58" si="3396">BB58*$G$58</f>
        <v>0</v>
      </c>
      <c r="BD58" s="56"/>
      <c r="BE58" s="1">
        <f t="shared" ref="BE58" si="3397">BD58*$G$58</f>
        <v>0</v>
      </c>
      <c r="BF58" s="56"/>
      <c r="BG58" s="1">
        <f t="shared" ref="BG58" si="3398">BF58*$G$58</f>
        <v>0</v>
      </c>
      <c r="BH58" s="56"/>
      <c r="BI58" s="1">
        <f t="shared" ref="BI58" si="3399">BH58*$G$58</f>
        <v>0</v>
      </c>
      <c r="BJ58" s="56"/>
      <c r="BK58" s="1">
        <f t="shared" ref="BK58" si="3400">BJ58*$G$58</f>
        <v>0</v>
      </c>
      <c r="BL58" s="56"/>
      <c r="BM58" s="1">
        <f t="shared" ref="BM58" si="3401">BL58*$G$58</f>
        <v>0</v>
      </c>
      <c r="BN58" s="56"/>
      <c r="BO58" s="1">
        <f t="shared" ref="BO58" si="3402">BN58*$G$58</f>
        <v>0</v>
      </c>
      <c r="BP58" s="56"/>
      <c r="BQ58" s="1">
        <f t="shared" ref="BQ58" si="3403">BP58*$G$58</f>
        <v>0</v>
      </c>
      <c r="BR58" s="56"/>
      <c r="BS58" s="1">
        <f t="shared" ref="BS58" si="3404">BR58*$G$58</f>
        <v>0</v>
      </c>
      <c r="BT58" s="56"/>
      <c r="BU58" s="1">
        <f t="shared" ref="BU58" si="3405">BT58*$G$58</f>
        <v>0</v>
      </c>
      <c r="BV58" s="56"/>
      <c r="BW58" s="1">
        <f t="shared" ref="BW58" si="3406">BV58*$G$58</f>
        <v>0</v>
      </c>
      <c r="BX58" s="56"/>
      <c r="BY58" s="1">
        <f t="shared" ref="BY58" si="3407">BX58*$G$58</f>
        <v>0</v>
      </c>
      <c r="BZ58" s="56"/>
      <c r="CA58" s="1">
        <f t="shared" ref="CA58" si="3408">BZ58*$G$58</f>
        <v>0</v>
      </c>
      <c r="CB58" s="56"/>
      <c r="CC58" s="1">
        <f t="shared" ref="CC58" si="3409">CB58*$G$58</f>
        <v>0</v>
      </c>
      <c r="CD58" s="56"/>
      <c r="CE58" s="1">
        <f t="shared" ref="CE58" si="3410">CD58*$G$58</f>
        <v>0</v>
      </c>
      <c r="CF58" s="56"/>
      <c r="CG58" s="1">
        <f t="shared" ref="CG58" si="3411">CF58*$G$58</f>
        <v>0</v>
      </c>
      <c r="CH58" s="56"/>
      <c r="CI58" s="1">
        <f t="shared" ref="CI58" si="3412">CH58*$G$58</f>
        <v>0</v>
      </c>
      <c r="CJ58" s="56"/>
      <c r="CK58" s="1">
        <f t="shared" ref="CK58" si="3413">CJ58*$G$58</f>
        <v>0</v>
      </c>
      <c r="CL58" s="56"/>
      <c r="CM58" s="1">
        <f t="shared" ref="CM58" si="3414">CL58*$G$58</f>
        <v>0</v>
      </c>
      <c r="CN58" s="56"/>
      <c r="CO58" s="1">
        <f t="shared" ref="CO58" si="3415">CN58*$G$58</f>
        <v>0</v>
      </c>
      <c r="CP58" s="56"/>
      <c r="CQ58" s="1">
        <f t="shared" ref="CQ58" si="3416">CP58*$G$58</f>
        <v>0</v>
      </c>
      <c r="CR58" s="56"/>
      <c r="CS58" s="1">
        <f t="shared" ref="CS58" si="3417">CR58*$G$58</f>
        <v>0</v>
      </c>
      <c r="CT58" s="56"/>
      <c r="CU58" s="1">
        <f t="shared" ref="CU58" si="3418">CT58*$G$58</f>
        <v>0</v>
      </c>
      <c r="CV58" s="56"/>
      <c r="CW58" s="1">
        <f t="shared" ref="CW58" si="3419">CV58*$G$58</f>
        <v>0</v>
      </c>
      <c r="CX58" s="56"/>
      <c r="CY58" s="1">
        <f t="shared" ref="CY58" si="3420">CX58*$G$58</f>
        <v>0</v>
      </c>
      <c r="CZ58" s="56"/>
      <c r="DA58" s="1">
        <f t="shared" ref="DA58" si="3421">CZ58*$G$58</f>
        <v>0</v>
      </c>
      <c r="DB58" s="56"/>
      <c r="DC58" s="1">
        <f t="shared" ref="DC58" si="3422">DB58*$G$58</f>
        <v>0</v>
      </c>
      <c r="DD58" s="56"/>
      <c r="DE58" s="1">
        <f t="shared" ref="DE58" si="3423">DD58*$G$58</f>
        <v>0</v>
      </c>
      <c r="DF58" s="56"/>
      <c r="DG58" s="1">
        <f t="shared" ref="DG58" si="3424">DF58*$G$58</f>
        <v>0</v>
      </c>
      <c r="DH58" s="56"/>
      <c r="DI58" s="1">
        <f t="shared" ref="DI58" si="3425">DH58*$G$58</f>
        <v>0</v>
      </c>
      <c r="DJ58" s="56"/>
      <c r="DK58" s="1">
        <f t="shared" ref="DK58" si="3426">DJ58*$G$58</f>
        <v>0</v>
      </c>
      <c r="DL58" s="56"/>
      <c r="DM58" s="1">
        <f t="shared" ref="DM58" si="3427">DL58*$G$58</f>
        <v>0</v>
      </c>
      <c r="DN58" s="56"/>
      <c r="DO58" s="1">
        <f t="shared" ref="DO58" si="3428">DN58*$G$58</f>
        <v>0</v>
      </c>
      <c r="DP58" s="56"/>
      <c r="DQ58" s="1">
        <f t="shared" ref="DQ58" si="3429">DP58*$G$58</f>
        <v>0</v>
      </c>
      <c r="DR58" s="56"/>
      <c r="DS58" s="1">
        <f t="shared" ref="DS58" si="3430">DR58*$G$58</f>
        <v>0</v>
      </c>
      <c r="DT58" s="56"/>
      <c r="DU58" s="1">
        <f t="shared" ref="DU58" si="3431">DT58*$G$58</f>
        <v>0</v>
      </c>
      <c r="DV58" s="56"/>
      <c r="DW58" s="1">
        <f t="shared" ref="DW58" si="3432">DV58*$G$58</f>
        <v>0</v>
      </c>
      <c r="DX58" s="56"/>
      <c r="DY58" s="1">
        <f t="shared" ref="DY58" si="3433">DX58*$G$58</f>
        <v>0</v>
      </c>
      <c r="DZ58" s="56"/>
      <c r="EA58" s="1">
        <f t="shared" ref="EA58" si="3434">DZ58*$G$58</f>
        <v>0</v>
      </c>
      <c r="EB58" s="56"/>
      <c r="EC58" s="1">
        <f t="shared" ref="EC58" si="3435">EB58*$G$58</f>
        <v>0</v>
      </c>
      <c r="ED58" s="56"/>
      <c r="EE58" s="1">
        <f t="shared" ref="EE58" si="3436">ED58*$G$58</f>
        <v>0</v>
      </c>
      <c r="EF58" s="56"/>
      <c r="EG58" s="1">
        <f t="shared" ref="EG58" si="3437">EF58*$G$58</f>
        <v>0</v>
      </c>
      <c r="EH58" s="56"/>
      <c r="EI58" s="1">
        <f t="shared" ref="EI58" si="3438">EH58*$G$58</f>
        <v>0</v>
      </c>
      <c r="EJ58" s="56"/>
      <c r="EK58" s="1">
        <f t="shared" ref="EK58" si="3439">EJ58*$G$58</f>
        <v>0</v>
      </c>
      <c r="EL58" s="56"/>
      <c r="EM58" s="1">
        <f t="shared" ref="EM58" si="3440">EL58*$G$58</f>
        <v>0</v>
      </c>
      <c r="EN58" s="56"/>
      <c r="EO58" s="1">
        <f t="shared" ref="EO58" si="3441">EN58*$G$58</f>
        <v>0</v>
      </c>
      <c r="EP58" s="56"/>
      <c r="EQ58" s="1">
        <f t="shared" ref="EQ58" si="3442">EP58*$G$58</f>
        <v>0</v>
      </c>
      <c r="ER58" s="56"/>
      <c r="ES58" s="1">
        <f t="shared" ref="ES58" si="3443">ER58*$G$58</f>
        <v>0</v>
      </c>
      <c r="ET58" s="56"/>
      <c r="EU58" s="1">
        <f t="shared" ref="EU58" si="3444">ET58*$G$58</f>
        <v>0</v>
      </c>
      <c r="EV58" s="56"/>
      <c r="EW58" s="1">
        <f t="shared" ref="EW58" si="3445">EV58*$G$58</f>
        <v>0</v>
      </c>
      <c r="EX58" s="56"/>
      <c r="EY58" s="1">
        <f t="shared" ref="EY58" si="3446">EX58*$G$58</f>
        <v>0</v>
      </c>
      <c r="EZ58" s="56"/>
      <c r="FA58" s="1">
        <f t="shared" ref="FA58" si="3447">EZ58*$G$58</f>
        <v>0</v>
      </c>
      <c r="FB58" s="56"/>
      <c r="FC58" s="1">
        <f t="shared" ref="FC58" si="3448">FB58*$G$58</f>
        <v>0</v>
      </c>
      <c r="FD58" s="56"/>
      <c r="FE58" s="1">
        <f t="shared" ref="FE58" si="3449">FD58*$G$58</f>
        <v>0</v>
      </c>
      <c r="FF58" s="56"/>
      <c r="FG58" s="1">
        <f t="shared" ref="FG58" si="3450">FF58*$G$58</f>
        <v>0</v>
      </c>
      <c r="FH58" s="56"/>
      <c r="FI58" s="1">
        <f t="shared" ref="FI58" si="3451">FH58*$G$58</f>
        <v>0</v>
      </c>
      <c r="FJ58" s="56"/>
      <c r="FK58" s="1">
        <f t="shared" ref="FK58" si="3452">FJ58*$G$58</f>
        <v>0</v>
      </c>
      <c r="FL58" s="56"/>
      <c r="FM58" s="1">
        <f t="shared" ref="FM58" si="3453">FL58*$G$58</f>
        <v>0</v>
      </c>
      <c r="FN58" s="56"/>
      <c r="FO58" s="1">
        <f t="shared" ref="FO58" si="3454">FN58*$G$58</f>
        <v>0</v>
      </c>
      <c r="FP58" s="56"/>
      <c r="FQ58" s="1">
        <f t="shared" ref="FQ58" si="3455">FP58*$G$58</f>
        <v>0</v>
      </c>
    </row>
    <row r="59" spans="1:173" x14ac:dyDescent="0.35">
      <c r="A59" s="7"/>
      <c r="B59" s="7"/>
      <c r="C59" s="7"/>
      <c r="D59" s="7"/>
      <c r="E59" s="7"/>
      <c r="F59" s="7">
        <v>2</v>
      </c>
      <c r="G59" s="7"/>
      <c r="H59" s="49"/>
      <c r="I59" s="7">
        <f t="shared" ref="I59" si="3456">H58*G59</f>
        <v>0</v>
      </c>
      <c r="J59" s="56"/>
      <c r="K59" s="1">
        <f>J58*$G$59</f>
        <v>0</v>
      </c>
      <c r="L59" s="56"/>
      <c r="M59" s="1">
        <f t="shared" ref="M59" si="3457">L58*$G$59</f>
        <v>0</v>
      </c>
      <c r="N59" s="56"/>
      <c r="O59" s="1">
        <f t="shared" ref="O59" si="3458">N58*$G$59</f>
        <v>0</v>
      </c>
      <c r="P59" s="56"/>
      <c r="Q59" s="1">
        <f t="shared" ref="Q59" si="3459">P58*$G$59</f>
        <v>0</v>
      </c>
      <c r="R59" s="56"/>
      <c r="S59" s="1">
        <f t="shared" ref="S59" si="3460">R58*$G$59</f>
        <v>0</v>
      </c>
      <c r="T59" s="56"/>
      <c r="U59" s="1">
        <f t="shared" ref="U59" si="3461">T58*$G$59</f>
        <v>0</v>
      </c>
      <c r="V59" s="56"/>
      <c r="W59" s="1">
        <f t="shared" ref="W59" si="3462">V58*$G$59</f>
        <v>0</v>
      </c>
      <c r="X59" s="56"/>
      <c r="Y59" s="1">
        <f t="shared" ref="Y59" si="3463">X58*$G$59</f>
        <v>0</v>
      </c>
      <c r="Z59" s="56"/>
      <c r="AA59" s="1">
        <f t="shared" ref="AA59" si="3464">Z58*$G$59</f>
        <v>0</v>
      </c>
      <c r="AB59" s="56"/>
      <c r="AC59" s="1">
        <f t="shared" ref="AC59" si="3465">AB58*$G$59</f>
        <v>0</v>
      </c>
      <c r="AD59" s="56"/>
      <c r="AE59" s="1">
        <f t="shared" ref="AE59" si="3466">AD58*$G$59</f>
        <v>0</v>
      </c>
      <c r="AF59" s="56"/>
      <c r="AG59" s="1">
        <f t="shared" ref="AG59" si="3467">AF58*$G$59</f>
        <v>0</v>
      </c>
      <c r="AH59" s="56"/>
      <c r="AI59" s="1">
        <f t="shared" ref="AI59" si="3468">AH58*$G$59</f>
        <v>0</v>
      </c>
      <c r="AJ59" s="56"/>
      <c r="AK59" s="1">
        <f t="shared" ref="AK59" si="3469">AJ58*$G$59</f>
        <v>0</v>
      </c>
      <c r="AL59" s="56"/>
      <c r="AM59" s="1">
        <f t="shared" ref="AM59" si="3470">AL58*$G$59</f>
        <v>0</v>
      </c>
      <c r="AN59" s="56"/>
      <c r="AO59" s="1">
        <f t="shared" ref="AO59" si="3471">AN58*$G$59</f>
        <v>0</v>
      </c>
      <c r="AP59" s="56"/>
      <c r="AQ59" s="1">
        <f t="shared" ref="AQ59" si="3472">AP58*$G$59</f>
        <v>0</v>
      </c>
      <c r="AR59" s="56"/>
      <c r="AS59" s="1">
        <f t="shared" ref="AS59" si="3473">AR58*$G$59</f>
        <v>0</v>
      </c>
      <c r="AT59" s="56"/>
      <c r="AU59" s="1">
        <f t="shared" ref="AU59" si="3474">AT58*$G$59</f>
        <v>0</v>
      </c>
      <c r="AV59" s="56"/>
      <c r="AW59" s="1">
        <f t="shared" ref="AW59" si="3475">AV58*$G$59</f>
        <v>0</v>
      </c>
      <c r="AX59" s="56"/>
      <c r="AY59" s="1">
        <f t="shared" ref="AY59" si="3476">AX58*$G$59</f>
        <v>0</v>
      </c>
      <c r="AZ59" s="56"/>
      <c r="BA59" s="1">
        <f t="shared" ref="BA59" si="3477">AZ58*$G$59</f>
        <v>0</v>
      </c>
      <c r="BB59" s="56"/>
      <c r="BC59" s="1">
        <f t="shared" ref="BC59" si="3478">BB58*$G$59</f>
        <v>0</v>
      </c>
      <c r="BD59" s="56"/>
      <c r="BE59" s="1">
        <f t="shared" ref="BE59" si="3479">BD58*$G$59</f>
        <v>0</v>
      </c>
      <c r="BF59" s="56"/>
      <c r="BG59" s="1">
        <f t="shared" ref="BG59" si="3480">BF58*$G$59</f>
        <v>0</v>
      </c>
      <c r="BH59" s="56"/>
      <c r="BI59" s="1">
        <f t="shared" ref="BI59" si="3481">BH58*$G$59</f>
        <v>0</v>
      </c>
      <c r="BJ59" s="56"/>
      <c r="BK59" s="1">
        <f t="shared" ref="BK59" si="3482">BJ58*$G$59</f>
        <v>0</v>
      </c>
      <c r="BL59" s="56"/>
      <c r="BM59" s="1">
        <f t="shared" ref="BM59" si="3483">BL58*$G$59</f>
        <v>0</v>
      </c>
      <c r="BN59" s="56"/>
      <c r="BO59" s="1">
        <f t="shared" ref="BO59" si="3484">BN58*$G$59</f>
        <v>0</v>
      </c>
      <c r="BP59" s="56"/>
      <c r="BQ59" s="1">
        <f t="shared" ref="BQ59" si="3485">BP58*$G$59</f>
        <v>0</v>
      </c>
      <c r="BR59" s="56"/>
      <c r="BS59" s="1">
        <f t="shared" ref="BS59" si="3486">BR58*$G$59</f>
        <v>0</v>
      </c>
      <c r="BT59" s="56"/>
      <c r="BU59" s="1">
        <f t="shared" ref="BU59" si="3487">BT58*$G$59</f>
        <v>0</v>
      </c>
      <c r="BV59" s="56"/>
      <c r="BW59" s="1">
        <f t="shared" ref="BW59" si="3488">BV58*$G$59</f>
        <v>0</v>
      </c>
      <c r="BX59" s="56"/>
      <c r="BY59" s="1">
        <f t="shared" ref="BY59" si="3489">BX58*$G$59</f>
        <v>0</v>
      </c>
      <c r="BZ59" s="56"/>
      <c r="CA59" s="1">
        <f t="shared" ref="CA59" si="3490">BZ58*$G$59</f>
        <v>0</v>
      </c>
      <c r="CB59" s="56"/>
      <c r="CC59" s="1">
        <f t="shared" ref="CC59" si="3491">CB58*$G$59</f>
        <v>0</v>
      </c>
      <c r="CD59" s="56"/>
      <c r="CE59" s="1">
        <f t="shared" ref="CE59" si="3492">CD58*$G$59</f>
        <v>0</v>
      </c>
      <c r="CF59" s="56"/>
      <c r="CG59" s="1">
        <f t="shared" ref="CG59" si="3493">CF58*$G$59</f>
        <v>0</v>
      </c>
      <c r="CH59" s="56"/>
      <c r="CI59" s="1">
        <f t="shared" ref="CI59" si="3494">CH58*$G$59</f>
        <v>0</v>
      </c>
      <c r="CJ59" s="56"/>
      <c r="CK59" s="1">
        <f t="shared" ref="CK59" si="3495">CJ58*$G$59</f>
        <v>0</v>
      </c>
      <c r="CL59" s="56"/>
      <c r="CM59" s="1">
        <f t="shared" ref="CM59" si="3496">CL58*$G$59</f>
        <v>0</v>
      </c>
      <c r="CN59" s="56"/>
      <c r="CO59" s="1">
        <f t="shared" ref="CO59" si="3497">CN58*$G$59</f>
        <v>0</v>
      </c>
      <c r="CP59" s="56"/>
      <c r="CQ59" s="1">
        <f t="shared" ref="CQ59" si="3498">CP58*$G$59</f>
        <v>0</v>
      </c>
      <c r="CR59" s="56"/>
      <c r="CS59" s="1">
        <f t="shared" ref="CS59" si="3499">CR58*$G$59</f>
        <v>0</v>
      </c>
      <c r="CT59" s="56"/>
      <c r="CU59" s="1">
        <f t="shared" ref="CU59" si="3500">CT58*$G$59</f>
        <v>0</v>
      </c>
      <c r="CV59" s="56"/>
      <c r="CW59" s="1">
        <f t="shared" ref="CW59" si="3501">CV58*$G$59</f>
        <v>0</v>
      </c>
      <c r="CX59" s="56"/>
      <c r="CY59" s="1">
        <f t="shared" ref="CY59" si="3502">CX58*$G$59</f>
        <v>0</v>
      </c>
      <c r="CZ59" s="56"/>
      <c r="DA59" s="1">
        <f t="shared" ref="DA59" si="3503">CZ58*$G$59</f>
        <v>0</v>
      </c>
      <c r="DB59" s="56"/>
      <c r="DC59" s="1">
        <f t="shared" ref="DC59" si="3504">DB58*$G$59</f>
        <v>0</v>
      </c>
      <c r="DD59" s="56"/>
      <c r="DE59" s="1">
        <f t="shared" ref="DE59" si="3505">DD58*$G$59</f>
        <v>0</v>
      </c>
      <c r="DF59" s="56"/>
      <c r="DG59" s="1">
        <f t="shared" ref="DG59" si="3506">DF58*$G$59</f>
        <v>0</v>
      </c>
      <c r="DH59" s="56"/>
      <c r="DI59" s="1">
        <f t="shared" ref="DI59" si="3507">DH58*$G$59</f>
        <v>0</v>
      </c>
      <c r="DJ59" s="56"/>
      <c r="DK59" s="1">
        <f t="shared" ref="DK59" si="3508">DJ58*$G$59</f>
        <v>0</v>
      </c>
      <c r="DL59" s="56"/>
      <c r="DM59" s="1">
        <f t="shared" ref="DM59" si="3509">DL58*$G$59</f>
        <v>0</v>
      </c>
      <c r="DN59" s="56"/>
      <c r="DO59" s="1">
        <f t="shared" ref="DO59" si="3510">DN58*$G$59</f>
        <v>0</v>
      </c>
      <c r="DP59" s="56"/>
      <c r="DQ59" s="1">
        <f t="shared" ref="DQ59" si="3511">DP58*$G$59</f>
        <v>0</v>
      </c>
      <c r="DR59" s="56"/>
      <c r="DS59" s="1">
        <f t="shared" ref="DS59" si="3512">DR58*$G$59</f>
        <v>0</v>
      </c>
      <c r="DT59" s="56"/>
      <c r="DU59" s="1">
        <f t="shared" ref="DU59" si="3513">DT58*$G$59</f>
        <v>0</v>
      </c>
      <c r="DV59" s="56"/>
      <c r="DW59" s="1">
        <f t="shared" ref="DW59" si="3514">DV58*$G$59</f>
        <v>0</v>
      </c>
      <c r="DX59" s="56"/>
      <c r="DY59" s="1">
        <f t="shared" ref="DY59" si="3515">DX58*$G$59</f>
        <v>0</v>
      </c>
      <c r="DZ59" s="56"/>
      <c r="EA59" s="1">
        <f t="shared" ref="EA59" si="3516">DZ58*$G$59</f>
        <v>0</v>
      </c>
      <c r="EB59" s="56"/>
      <c r="EC59" s="1">
        <f t="shared" ref="EC59" si="3517">EB58*$G$59</f>
        <v>0</v>
      </c>
      <c r="ED59" s="56"/>
      <c r="EE59" s="1">
        <f t="shared" ref="EE59" si="3518">ED58*$G$59</f>
        <v>0</v>
      </c>
      <c r="EF59" s="56"/>
      <c r="EG59" s="1">
        <f t="shared" ref="EG59" si="3519">EF58*$G$59</f>
        <v>0</v>
      </c>
      <c r="EH59" s="56"/>
      <c r="EI59" s="1">
        <f t="shared" ref="EI59" si="3520">EH58*$G$59</f>
        <v>0</v>
      </c>
      <c r="EJ59" s="56"/>
      <c r="EK59" s="1">
        <f t="shared" ref="EK59" si="3521">EJ58*$G$59</f>
        <v>0</v>
      </c>
      <c r="EL59" s="56"/>
      <c r="EM59" s="1">
        <f t="shared" ref="EM59" si="3522">EL58*$G$59</f>
        <v>0</v>
      </c>
      <c r="EN59" s="56"/>
      <c r="EO59" s="1">
        <f t="shared" ref="EO59" si="3523">EN58*$G$59</f>
        <v>0</v>
      </c>
      <c r="EP59" s="56"/>
      <c r="EQ59" s="1">
        <f t="shared" ref="EQ59" si="3524">EP58*$G$59</f>
        <v>0</v>
      </c>
      <c r="ER59" s="56"/>
      <c r="ES59" s="1">
        <f t="shared" ref="ES59" si="3525">ER58*$G$59</f>
        <v>0</v>
      </c>
      <c r="ET59" s="56"/>
      <c r="EU59" s="1">
        <f t="shared" ref="EU59" si="3526">ET58*$G$59</f>
        <v>0</v>
      </c>
      <c r="EV59" s="56"/>
      <c r="EW59" s="1">
        <f t="shared" ref="EW59" si="3527">EV58*$G$59</f>
        <v>0</v>
      </c>
      <c r="EX59" s="56"/>
      <c r="EY59" s="1">
        <f t="shared" ref="EY59" si="3528">EX58*$G$59</f>
        <v>0</v>
      </c>
      <c r="EZ59" s="56"/>
      <c r="FA59" s="1">
        <f t="shared" ref="FA59" si="3529">EZ58*$G$59</f>
        <v>0</v>
      </c>
      <c r="FB59" s="56"/>
      <c r="FC59" s="1">
        <f t="shared" ref="FC59" si="3530">FB58*$G$59</f>
        <v>0</v>
      </c>
      <c r="FD59" s="56"/>
      <c r="FE59" s="1">
        <f t="shared" ref="FE59" si="3531">FD58*$G$59</f>
        <v>0</v>
      </c>
      <c r="FF59" s="56"/>
      <c r="FG59" s="1">
        <f t="shared" ref="FG59" si="3532">FF58*$G$59</f>
        <v>0</v>
      </c>
      <c r="FH59" s="56"/>
      <c r="FI59" s="1">
        <f t="shared" ref="FI59" si="3533">FH58*$G$59</f>
        <v>0</v>
      </c>
      <c r="FJ59" s="56"/>
      <c r="FK59" s="1">
        <f t="shared" ref="FK59" si="3534">FJ58*$G$59</f>
        <v>0</v>
      </c>
      <c r="FL59" s="56"/>
      <c r="FM59" s="1">
        <f t="shared" ref="FM59" si="3535">FL58*$G$59</f>
        <v>0</v>
      </c>
      <c r="FN59" s="56"/>
      <c r="FO59" s="1">
        <f t="shared" ref="FO59" si="3536">FN58*$G$59</f>
        <v>0</v>
      </c>
      <c r="FP59" s="56"/>
      <c r="FQ59" s="1">
        <f t="shared" ref="FQ59" si="3537">FP58*$G$59</f>
        <v>0</v>
      </c>
    </row>
    <row r="60" spans="1:173" x14ac:dyDescent="0.35">
      <c r="A60" s="7"/>
      <c r="B60" s="7"/>
      <c r="C60" s="7"/>
      <c r="D60" s="7"/>
      <c r="E60" s="7"/>
      <c r="F60" s="7">
        <v>3</v>
      </c>
      <c r="G60" s="7"/>
      <c r="H60" s="49"/>
      <c r="I60" s="7">
        <f t="shared" ref="I60" si="3538">H58*G60</f>
        <v>0</v>
      </c>
      <c r="J60" s="56"/>
      <c r="K60" s="1">
        <f>J58*$G$60</f>
        <v>0</v>
      </c>
      <c r="L60" s="56"/>
      <c r="M60" s="1">
        <f t="shared" ref="M60" si="3539">L58*$G$60</f>
        <v>0</v>
      </c>
      <c r="N60" s="56"/>
      <c r="O60" s="1">
        <f t="shared" ref="O60" si="3540">N58*$G$60</f>
        <v>0</v>
      </c>
      <c r="P60" s="56"/>
      <c r="Q60" s="1">
        <f t="shared" ref="Q60" si="3541">P58*$G$60</f>
        <v>0</v>
      </c>
      <c r="R60" s="56"/>
      <c r="S60" s="1">
        <f t="shared" ref="S60" si="3542">R58*$G$60</f>
        <v>0</v>
      </c>
      <c r="T60" s="56"/>
      <c r="U60" s="1">
        <f t="shared" ref="U60" si="3543">T58*$G$60</f>
        <v>0</v>
      </c>
      <c r="V60" s="56"/>
      <c r="W60" s="1">
        <f t="shared" ref="W60" si="3544">V58*$G$60</f>
        <v>0</v>
      </c>
      <c r="X60" s="56"/>
      <c r="Y60" s="1">
        <f t="shared" ref="Y60" si="3545">X58*$G$60</f>
        <v>0</v>
      </c>
      <c r="Z60" s="56"/>
      <c r="AA60" s="1">
        <f t="shared" ref="AA60" si="3546">Z58*$G$60</f>
        <v>0</v>
      </c>
      <c r="AB60" s="56"/>
      <c r="AC60" s="1">
        <f t="shared" ref="AC60" si="3547">AB58*$G$60</f>
        <v>0</v>
      </c>
      <c r="AD60" s="56"/>
      <c r="AE60" s="1">
        <f t="shared" ref="AE60" si="3548">AD58*$G$60</f>
        <v>0</v>
      </c>
      <c r="AF60" s="56"/>
      <c r="AG60" s="1">
        <f t="shared" ref="AG60" si="3549">AF58*$G$60</f>
        <v>0</v>
      </c>
      <c r="AH60" s="56"/>
      <c r="AI60" s="1">
        <f t="shared" ref="AI60" si="3550">AH58*$G$60</f>
        <v>0</v>
      </c>
      <c r="AJ60" s="56"/>
      <c r="AK60" s="1">
        <f t="shared" ref="AK60" si="3551">AJ58*$G$60</f>
        <v>0</v>
      </c>
      <c r="AL60" s="56"/>
      <c r="AM60" s="1">
        <f t="shared" ref="AM60" si="3552">AL58*$G$60</f>
        <v>0</v>
      </c>
      <c r="AN60" s="56"/>
      <c r="AO60" s="1">
        <f t="shared" ref="AO60" si="3553">AN58*$G$60</f>
        <v>0</v>
      </c>
      <c r="AP60" s="56"/>
      <c r="AQ60" s="1">
        <f t="shared" ref="AQ60" si="3554">AP58*$G$60</f>
        <v>0</v>
      </c>
      <c r="AR60" s="56"/>
      <c r="AS60" s="1">
        <f t="shared" ref="AS60" si="3555">AR58*$G$60</f>
        <v>0</v>
      </c>
      <c r="AT60" s="56"/>
      <c r="AU60" s="1">
        <f t="shared" ref="AU60" si="3556">AT58*$G$60</f>
        <v>0</v>
      </c>
      <c r="AV60" s="56"/>
      <c r="AW60" s="1">
        <f t="shared" ref="AW60" si="3557">AV58*$G$60</f>
        <v>0</v>
      </c>
      <c r="AX60" s="56"/>
      <c r="AY60" s="1">
        <f t="shared" ref="AY60" si="3558">AX58*$G$60</f>
        <v>0</v>
      </c>
      <c r="AZ60" s="56"/>
      <c r="BA60" s="1">
        <f t="shared" ref="BA60" si="3559">AZ58*$G$60</f>
        <v>0</v>
      </c>
      <c r="BB60" s="56"/>
      <c r="BC60" s="1">
        <f t="shared" ref="BC60" si="3560">BB58*$G$60</f>
        <v>0</v>
      </c>
      <c r="BD60" s="56"/>
      <c r="BE60" s="1">
        <f t="shared" ref="BE60" si="3561">BD58*$G$60</f>
        <v>0</v>
      </c>
      <c r="BF60" s="56"/>
      <c r="BG60" s="1">
        <f t="shared" ref="BG60" si="3562">BF58*$G$60</f>
        <v>0</v>
      </c>
      <c r="BH60" s="56"/>
      <c r="BI60" s="1">
        <f t="shared" ref="BI60" si="3563">BH58*$G$60</f>
        <v>0</v>
      </c>
      <c r="BJ60" s="56"/>
      <c r="BK60" s="1">
        <f t="shared" ref="BK60" si="3564">BJ58*$G$60</f>
        <v>0</v>
      </c>
      <c r="BL60" s="56"/>
      <c r="BM60" s="1">
        <f t="shared" ref="BM60" si="3565">BL58*$G$60</f>
        <v>0</v>
      </c>
      <c r="BN60" s="56"/>
      <c r="BO60" s="1">
        <f t="shared" ref="BO60" si="3566">BN58*$G$60</f>
        <v>0</v>
      </c>
      <c r="BP60" s="56"/>
      <c r="BQ60" s="1">
        <f t="shared" ref="BQ60" si="3567">BP58*$G$60</f>
        <v>0</v>
      </c>
      <c r="BR60" s="56"/>
      <c r="BS60" s="1">
        <f t="shared" ref="BS60" si="3568">BR58*$G$60</f>
        <v>0</v>
      </c>
      <c r="BT60" s="56"/>
      <c r="BU60" s="1">
        <f t="shared" ref="BU60" si="3569">BT58*$G$60</f>
        <v>0</v>
      </c>
      <c r="BV60" s="56"/>
      <c r="BW60" s="1">
        <f t="shared" ref="BW60" si="3570">BV58*$G$60</f>
        <v>0</v>
      </c>
      <c r="BX60" s="56"/>
      <c r="BY60" s="1">
        <f t="shared" ref="BY60" si="3571">BX58*$G$60</f>
        <v>0</v>
      </c>
      <c r="BZ60" s="56"/>
      <c r="CA60" s="1">
        <f t="shared" ref="CA60" si="3572">BZ58*$G$60</f>
        <v>0</v>
      </c>
      <c r="CB60" s="56"/>
      <c r="CC60" s="1">
        <f t="shared" ref="CC60" si="3573">CB58*$G$60</f>
        <v>0</v>
      </c>
      <c r="CD60" s="56"/>
      <c r="CE60" s="1">
        <f t="shared" ref="CE60" si="3574">CD58*$G$60</f>
        <v>0</v>
      </c>
      <c r="CF60" s="56"/>
      <c r="CG60" s="1">
        <f t="shared" ref="CG60" si="3575">CF58*$G$60</f>
        <v>0</v>
      </c>
      <c r="CH60" s="56"/>
      <c r="CI60" s="1">
        <f t="shared" ref="CI60" si="3576">CH58*$G$60</f>
        <v>0</v>
      </c>
      <c r="CJ60" s="56"/>
      <c r="CK60" s="1">
        <f t="shared" ref="CK60" si="3577">CJ58*$G$60</f>
        <v>0</v>
      </c>
      <c r="CL60" s="56"/>
      <c r="CM60" s="1">
        <f t="shared" ref="CM60" si="3578">CL58*$G$60</f>
        <v>0</v>
      </c>
      <c r="CN60" s="56"/>
      <c r="CO60" s="1">
        <f t="shared" ref="CO60" si="3579">CN58*$G$60</f>
        <v>0</v>
      </c>
      <c r="CP60" s="56"/>
      <c r="CQ60" s="1">
        <f t="shared" ref="CQ60" si="3580">CP58*$G$60</f>
        <v>0</v>
      </c>
      <c r="CR60" s="56"/>
      <c r="CS60" s="1">
        <f t="shared" ref="CS60" si="3581">CR58*$G$60</f>
        <v>0</v>
      </c>
      <c r="CT60" s="56"/>
      <c r="CU60" s="1">
        <f t="shared" ref="CU60" si="3582">CT58*$G$60</f>
        <v>0</v>
      </c>
      <c r="CV60" s="56"/>
      <c r="CW60" s="1">
        <f t="shared" ref="CW60" si="3583">CV58*$G$60</f>
        <v>0</v>
      </c>
      <c r="CX60" s="56"/>
      <c r="CY60" s="1">
        <f t="shared" ref="CY60" si="3584">CX58*$G$60</f>
        <v>0</v>
      </c>
      <c r="CZ60" s="56"/>
      <c r="DA60" s="1">
        <f t="shared" ref="DA60" si="3585">CZ58*$G$60</f>
        <v>0</v>
      </c>
      <c r="DB60" s="56"/>
      <c r="DC60" s="1">
        <f t="shared" ref="DC60" si="3586">DB58*$G$60</f>
        <v>0</v>
      </c>
      <c r="DD60" s="56"/>
      <c r="DE60" s="1">
        <f t="shared" ref="DE60" si="3587">DD58*$G$60</f>
        <v>0</v>
      </c>
      <c r="DF60" s="56"/>
      <c r="DG60" s="1">
        <f t="shared" ref="DG60" si="3588">DF58*$G$60</f>
        <v>0</v>
      </c>
      <c r="DH60" s="56"/>
      <c r="DI60" s="1">
        <f t="shared" ref="DI60" si="3589">DH58*$G$60</f>
        <v>0</v>
      </c>
      <c r="DJ60" s="56"/>
      <c r="DK60" s="1">
        <f t="shared" ref="DK60" si="3590">DJ58*$G$60</f>
        <v>0</v>
      </c>
      <c r="DL60" s="56"/>
      <c r="DM60" s="1">
        <f t="shared" ref="DM60" si="3591">DL58*$G$60</f>
        <v>0</v>
      </c>
      <c r="DN60" s="56"/>
      <c r="DO60" s="1">
        <f t="shared" ref="DO60" si="3592">DN58*$G$60</f>
        <v>0</v>
      </c>
      <c r="DP60" s="56"/>
      <c r="DQ60" s="1">
        <f t="shared" ref="DQ60" si="3593">DP58*$G$60</f>
        <v>0</v>
      </c>
      <c r="DR60" s="56"/>
      <c r="DS60" s="1">
        <f t="shared" ref="DS60" si="3594">DR58*$G$60</f>
        <v>0</v>
      </c>
      <c r="DT60" s="56"/>
      <c r="DU60" s="1">
        <f t="shared" ref="DU60" si="3595">DT58*$G$60</f>
        <v>0</v>
      </c>
      <c r="DV60" s="56"/>
      <c r="DW60" s="1">
        <f t="shared" ref="DW60" si="3596">DV58*$G$60</f>
        <v>0</v>
      </c>
      <c r="DX60" s="56"/>
      <c r="DY60" s="1">
        <f t="shared" ref="DY60" si="3597">DX58*$G$60</f>
        <v>0</v>
      </c>
      <c r="DZ60" s="56"/>
      <c r="EA60" s="1">
        <f t="shared" ref="EA60" si="3598">DZ58*$G$60</f>
        <v>0</v>
      </c>
      <c r="EB60" s="56"/>
      <c r="EC60" s="1">
        <f t="shared" ref="EC60" si="3599">EB58*$G$60</f>
        <v>0</v>
      </c>
      <c r="ED60" s="56"/>
      <c r="EE60" s="1">
        <f t="shared" ref="EE60" si="3600">ED58*$G$60</f>
        <v>0</v>
      </c>
      <c r="EF60" s="56"/>
      <c r="EG60" s="1">
        <f t="shared" ref="EG60" si="3601">EF58*$G$60</f>
        <v>0</v>
      </c>
      <c r="EH60" s="56"/>
      <c r="EI60" s="1">
        <f t="shared" ref="EI60" si="3602">EH58*$G$60</f>
        <v>0</v>
      </c>
      <c r="EJ60" s="56"/>
      <c r="EK60" s="1">
        <f t="shared" ref="EK60" si="3603">EJ58*$G$60</f>
        <v>0</v>
      </c>
      <c r="EL60" s="56"/>
      <c r="EM60" s="1">
        <f t="shared" ref="EM60" si="3604">EL58*$G$60</f>
        <v>0</v>
      </c>
      <c r="EN60" s="56"/>
      <c r="EO60" s="1">
        <f t="shared" ref="EO60" si="3605">EN58*$G$60</f>
        <v>0</v>
      </c>
      <c r="EP60" s="56"/>
      <c r="EQ60" s="1">
        <f t="shared" ref="EQ60" si="3606">EP58*$G$60</f>
        <v>0</v>
      </c>
      <c r="ER60" s="56"/>
      <c r="ES60" s="1">
        <f t="shared" ref="ES60" si="3607">ER58*$G$60</f>
        <v>0</v>
      </c>
      <c r="ET60" s="56"/>
      <c r="EU60" s="1">
        <f t="shared" ref="EU60" si="3608">ET58*$G$60</f>
        <v>0</v>
      </c>
      <c r="EV60" s="56"/>
      <c r="EW60" s="1">
        <f t="shared" ref="EW60" si="3609">EV58*$G$60</f>
        <v>0</v>
      </c>
      <c r="EX60" s="56"/>
      <c r="EY60" s="1">
        <f t="shared" ref="EY60" si="3610">EX58*$G$60</f>
        <v>0</v>
      </c>
      <c r="EZ60" s="56"/>
      <c r="FA60" s="1">
        <f t="shared" ref="FA60" si="3611">EZ58*$G$60</f>
        <v>0</v>
      </c>
      <c r="FB60" s="56"/>
      <c r="FC60" s="1">
        <f t="shared" ref="FC60" si="3612">FB58*$G$60</f>
        <v>0</v>
      </c>
      <c r="FD60" s="56"/>
      <c r="FE60" s="1">
        <f t="shared" ref="FE60" si="3613">FD58*$G$60</f>
        <v>0</v>
      </c>
      <c r="FF60" s="56"/>
      <c r="FG60" s="1">
        <f t="shared" ref="FG60" si="3614">FF58*$G$60</f>
        <v>0</v>
      </c>
      <c r="FH60" s="56"/>
      <c r="FI60" s="1">
        <f t="shared" ref="FI60" si="3615">FH58*$G$60</f>
        <v>0</v>
      </c>
      <c r="FJ60" s="56"/>
      <c r="FK60" s="1">
        <f t="shared" ref="FK60" si="3616">FJ58*$G$60</f>
        <v>0</v>
      </c>
      <c r="FL60" s="56"/>
      <c r="FM60" s="1">
        <f t="shared" ref="FM60" si="3617">FL58*$G$60</f>
        <v>0</v>
      </c>
      <c r="FN60" s="56"/>
      <c r="FO60" s="1">
        <f t="shared" ref="FO60" si="3618">FN58*$G$60</f>
        <v>0</v>
      </c>
      <c r="FP60" s="56"/>
      <c r="FQ60" s="1">
        <f t="shared" ref="FQ60" si="3619">FP58*$G$60</f>
        <v>0</v>
      </c>
    </row>
    <row r="61" spans="1:173" x14ac:dyDescent="0.35">
      <c r="A61" s="7"/>
      <c r="B61" s="7"/>
      <c r="C61" s="7"/>
      <c r="D61" s="7"/>
      <c r="E61" s="7"/>
      <c r="F61" s="7">
        <v>4</v>
      </c>
      <c r="G61" s="7"/>
      <c r="H61" s="49"/>
      <c r="I61" s="7">
        <f t="shared" ref="I61" si="3620">H58*G61</f>
        <v>0</v>
      </c>
      <c r="J61" s="56"/>
      <c r="K61" s="1">
        <f>J58*$G$61</f>
        <v>0</v>
      </c>
      <c r="L61" s="56"/>
      <c r="M61" s="1">
        <f t="shared" ref="M61" si="3621">L58*$G$61</f>
        <v>0</v>
      </c>
      <c r="N61" s="56"/>
      <c r="O61" s="1">
        <f t="shared" ref="O61" si="3622">N58*$G$61</f>
        <v>0</v>
      </c>
      <c r="P61" s="56"/>
      <c r="Q61" s="1">
        <f t="shared" ref="Q61" si="3623">P58*$G$61</f>
        <v>0</v>
      </c>
      <c r="R61" s="56"/>
      <c r="S61" s="1">
        <f t="shared" ref="S61" si="3624">R58*$G$61</f>
        <v>0</v>
      </c>
      <c r="T61" s="56"/>
      <c r="U61" s="1">
        <f t="shared" ref="U61" si="3625">T58*$G$61</f>
        <v>0</v>
      </c>
      <c r="V61" s="56"/>
      <c r="W61" s="1">
        <f t="shared" ref="W61" si="3626">V58*$G$61</f>
        <v>0</v>
      </c>
      <c r="X61" s="56"/>
      <c r="Y61" s="1">
        <f t="shared" ref="Y61" si="3627">X58*$G$61</f>
        <v>0</v>
      </c>
      <c r="Z61" s="56"/>
      <c r="AA61" s="1">
        <f t="shared" ref="AA61" si="3628">Z58*$G$61</f>
        <v>0</v>
      </c>
      <c r="AB61" s="56"/>
      <c r="AC61" s="1">
        <f t="shared" ref="AC61" si="3629">AB58*$G$61</f>
        <v>0</v>
      </c>
      <c r="AD61" s="56"/>
      <c r="AE61" s="1">
        <f t="shared" ref="AE61" si="3630">AD58*$G$61</f>
        <v>0</v>
      </c>
      <c r="AF61" s="56"/>
      <c r="AG61" s="1">
        <f t="shared" ref="AG61" si="3631">AF58*$G$61</f>
        <v>0</v>
      </c>
      <c r="AH61" s="56"/>
      <c r="AI61" s="1">
        <f t="shared" ref="AI61" si="3632">AH58*$G$61</f>
        <v>0</v>
      </c>
      <c r="AJ61" s="56"/>
      <c r="AK61" s="1">
        <f t="shared" ref="AK61" si="3633">AJ58*$G$61</f>
        <v>0</v>
      </c>
      <c r="AL61" s="56"/>
      <c r="AM61" s="1">
        <f t="shared" ref="AM61" si="3634">AL58*$G$61</f>
        <v>0</v>
      </c>
      <c r="AN61" s="56"/>
      <c r="AO61" s="1">
        <f t="shared" ref="AO61" si="3635">AN58*$G$61</f>
        <v>0</v>
      </c>
      <c r="AP61" s="56"/>
      <c r="AQ61" s="1">
        <f t="shared" ref="AQ61" si="3636">AP58*$G$61</f>
        <v>0</v>
      </c>
      <c r="AR61" s="56"/>
      <c r="AS61" s="1">
        <f t="shared" ref="AS61" si="3637">AR58*$G$61</f>
        <v>0</v>
      </c>
      <c r="AT61" s="56"/>
      <c r="AU61" s="1">
        <f t="shared" ref="AU61" si="3638">AT58*$G$61</f>
        <v>0</v>
      </c>
      <c r="AV61" s="56"/>
      <c r="AW61" s="1">
        <f t="shared" ref="AW61" si="3639">AV58*$G$61</f>
        <v>0</v>
      </c>
      <c r="AX61" s="56"/>
      <c r="AY61" s="1">
        <f t="shared" ref="AY61" si="3640">AX58*$G$61</f>
        <v>0</v>
      </c>
      <c r="AZ61" s="56"/>
      <c r="BA61" s="1">
        <f t="shared" ref="BA61" si="3641">AZ58*$G$61</f>
        <v>0</v>
      </c>
      <c r="BB61" s="56"/>
      <c r="BC61" s="1">
        <f t="shared" ref="BC61" si="3642">BB58*$G$61</f>
        <v>0</v>
      </c>
      <c r="BD61" s="56"/>
      <c r="BE61" s="1">
        <f t="shared" ref="BE61" si="3643">BD58*$G$61</f>
        <v>0</v>
      </c>
      <c r="BF61" s="56"/>
      <c r="BG61" s="1">
        <f t="shared" ref="BG61" si="3644">BF58*$G$61</f>
        <v>0</v>
      </c>
      <c r="BH61" s="56"/>
      <c r="BI61" s="1">
        <f t="shared" ref="BI61" si="3645">BH58*$G$61</f>
        <v>0</v>
      </c>
      <c r="BJ61" s="56"/>
      <c r="BK61" s="1">
        <f t="shared" ref="BK61" si="3646">BJ58*$G$61</f>
        <v>0</v>
      </c>
      <c r="BL61" s="56"/>
      <c r="BM61" s="1">
        <f t="shared" ref="BM61" si="3647">BL58*$G$61</f>
        <v>0</v>
      </c>
      <c r="BN61" s="56"/>
      <c r="BO61" s="1">
        <f t="shared" ref="BO61" si="3648">BN58*$G$61</f>
        <v>0</v>
      </c>
      <c r="BP61" s="56"/>
      <c r="BQ61" s="1">
        <f t="shared" ref="BQ61" si="3649">BP58*$G$61</f>
        <v>0</v>
      </c>
      <c r="BR61" s="56"/>
      <c r="BS61" s="1">
        <f t="shared" ref="BS61" si="3650">BR58*$G$61</f>
        <v>0</v>
      </c>
      <c r="BT61" s="56"/>
      <c r="BU61" s="1">
        <f t="shared" ref="BU61" si="3651">BT58*$G$61</f>
        <v>0</v>
      </c>
      <c r="BV61" s="56"/>
      <c r="BW61" s="1">
        <f t="shared" ref="BW61" si="3652">BV58*$G$61</f>
        <v>0</v>
      </c>
      <c r="BX61" s="56"/>
      <c r="BY61" s="1">
        <f t="shared" ref="BY61" si="3653">BX58*$G$61</f>
        <v>0</v>
      </c>
      <c r="BZ61" s="56"/>
      <c r="CA61" s="1">
        <f t="shared" ref="CA61" si="3654">BZ58*$G$61</f>
        <v>0</v>
      </c>
      <c r="CB61" s="56"/>
      <c r="CC61" s="1">
        <f t="shared" ref="CC61" si="3655">CB58*$G$61</f>
        <v>0</v>
      </c>
      <c r="CD61" s="56"/>
      <c r="CE61" s="1">
        <f t="shared" ref="CE61" si="3656">CD58*$G$61</f>
        <v>0</v>
      </c>
      <c r="CF61" s="56"/>
      <c r="CG61" s="1">
        <f t="shared" ref="CG61" si="3657">CF58*$G$61</f>
        <v>0</v>
      </c>
      <c r="CH61" s="56"/>
      <c r="CI61" s="1">
        <f t="shared" ref="CI61" si="3658">CH58*$G$61</f>
        <v>0</v>
      </c>
      <c r="CJ61" s="56"/>
      <c r="CK61" s="1">
        <f t="shared" ref="CK61" si="3659">CJ58*$G$61</f>
        <v>0</v>
      </c>
      <c r="CL61" s="56"/>
      <c r="CM61" s="1">
        <f t="shared" ref="CM61" si="3660">CL58*$G$61</f>
        <v>0</v>
      </c>
      <c r="CN61" s="56"/>
      <c r="CO61" s="1">
        <f t="shared" ref="CO61" si="3661">CN58*$G$61</f>
        <v>0</v>
      </c>
      <c r="CP61" s="56"/>
      <c r="CQ61" s="1">
        <f t="shared" ref="CQ61" si="3662">CP58*$G$61</f>
        <v>0</v>
      </c>
      <c r="CR61" s="56"/>
      <c r="CS61" s="1">
        <f t="shared" ref="CS61" si="3663">CR58*$G$61</f>
        <v>0</v>
      </c>
      <c r="CT61" s="56"/>
      <c r="CU61" s="1">
        <f t="shared" ref="CU61" si="3664">CT58*$G$61</f>
        <v>0</v>
      </c>
      <c r="CV61" s="56"/>
      <c r="CW61" s="1">
        <f t="shared" ref="CW61" si="3665">CV58*$G$61</f>
        <v>0</v>
      </c>
      <c r="CX61" s="56"/>
      <c r="CY61" s="1">
        <f t="shared" ref="CY61" si="3666">CX58*$G$61</f>
        <v>0</v>
      </c>
      <c r="CZ61" s="56"/>
      <c r="DA61" s="1">
        <f t="shared" ref="DA61" si="3667">CZ58*$G$61</f>
        <v>0</v>
      </c>
      <c r="DB61" s="56"/>
      <c r="DC61" s="1">
        <f t="shared" ref="DC61" si="3668">DB58*$G$61</f>
        <v>0</v>
      </c>
      <c r="DD61" s="56"/>
      <c r="DE61" s="1">
        <f t="shared" ref="DE61" si="3669">DD58*$G$61</f>
        <v>0</v>
      </c>
      <c r="DF61" s="56"/>
      <c r="DG61" s="1">
        <f t="shared" ref="DG61" si="3670">DF58*$G$61</f>
        <v>0</v>
      </c>
      <c r="DH61" s="56"/>
      <c r="DI61" s="1">
        <f t="shared" ref="DI61" si="3671">DH58*$G$61</f>
        <v>0</v>
      </c>
      <c r="DJ61" s="56"/>
      <c r="DK61" s="1">
        <f t="shared" ref="DK61" si="3672">DJ58*$G$61</f>
        <v>0</v>
      </c>
      <c r="DL61" s="56"/>
      <c r="DM61" s="1">
        <f t="shared" ref="DM61" si="3673">DL58*$G$61</f>
        <v>0</v>
      </c>
      <c r="DN61" s="56"/>
      <c r="DO61" s="1">
        <f t="shared" ref="DO61" si="3674">DN58*$G$61</f>
        <v>0</v>
      </c>
      <c r="DP61" s="56"/>
      <c r="DQ61" s="1">
        <f t="shared" ref="DQ61" si="3675">DP58*$G$61</f>
        <v>0</v>
      </c>
      <c r="DR61" s="56"/>
      <c r="DS61" s="1">
        <f t="shared" ref="DS61" si="3676">DR58*$G$61</f>
        <v>0</v>
      </c>
      <c r="DT61" s="56"/>
      <c r="DU61" s="1">
        <f t="shared" ref="DU61" si="3677">DT58*$G$61</f>
        <v>0</v>
      </c>
      <c r="DV61" s="56"/>
      <c r="DW61" s="1">
        <f t="shared" ref="DW61" si="3678">DV58*$G$61</f>
        <v>0</v>
      </c>
      <c r="DX61" s="56"/>
      <c r="DY61" s="1">
        <f t="shared" ref="DY61" si="3679">DX58*$G$61</f>
        <v>0</v>
      </c>
      <c r="DZ61" s="56"/>
      <c r="EA61" s="1">
        <f t="shared" ref="EA61" si="3680">DZ58*$G$61</f>
        <v>0</v>
      </c>
      <c r="EB61" s="56"/>
      <c r="EC61" s="1">
        <f t="shared" ref="EC61" si="3681">EB58*$G$61</f>
        <v>0</v>
      </c>
      <c r="ED61" s="56"/>
      <c r="EE61" s="1">
        <f t="shared" ref="EE61" si="3682">ED58*$G$61</f>
        <v>0</v>
      </c>
      <c r="EF61" s="56"/>
      <c r="EG61" s="1">
        <f t="shared" ref="EG61" si="3683">EF58*$G$61</f>
        <v>0</v>
      </c>
      <c r="EH61" s="56"/>
      <c r="EI61" s="1">
        <f t="shared" ref="EI61" si="3684">EH58*$G$61</f>
        <v>0</v>
      </c>
      <c r="EJ61" s="56"/>
      <c r="EK61" s="1">
        <f t="shared" ref="EK61" si="3685">EJ58*$G$61</f>
        <v>0</v>
      </c>
      <c r="EL61" s="56"/>
      <c r="EM61" s="1">
        <f t="shared" ref="EM61" si="3686">EL58*$G$61</f>
        <v>0</v>
      </c>
      <c r="EN61" s="56"/>
      <c r="EO61" s="1">
        <f t="shared" ref="EO61" si="3687">EN58*$G$61</f>
        <v>0</v>
      </c>
      <c r="EP61" s="56"/>
      <c r="EQ61" s="1">
        <f t="shared" ref="EQ61" si="3688">EP58*$G$61</f>
        <v>0</v>
      </c>
      <c r="ER61" s="56"/>
      <c r="ES61" s="1">
        <f t="shared" ref="ES61" si="3689">ER58*$G$61</f>
        <v>0</v>
      </c>
      <c r="ET61" s="56"/>
      <c r="EU61" s="1">
        <f t="shared" ref="EU61" si="3690">ET58*$G$61</f>
        <v>0</v>
      </c>
      <c r="EV61" s="56"/>
      <c r="EW61" s="1">
        <f t="shared" ref="EW61" si="3691">EV58*$G$61</f>
        <v>0</v>
      </c>
      <c r="EX61" s="56"/>
      <c r="EY61" s="1">
        <f t="shared" ref="EY61" si="3692">EX58*$G$61</f>
        <v>0</v>
      </c>
      <c r="EZ61" s="56"/>
      <c r="FA61" s="1">
        <f t="shared" ref="FA61" si="3693">EZ58*$G$61</f>
        <v>0</v>
      </c>
      <c r="FB61" s="56"/>
      <c r="FC61" s="1">
        <f t="shared" ref="FC61" si="3694">FB58*$G$61</f>
        <v>0</v>
      </c>
      <c r="FD61" s="56"/>
      <c r="FE61" s="1">
        <f t="shared" ref="FE61" si="3695">FD58*$G$61</f>
        <v>0</v>
      </c>
      <c r="FF61" s="56"/>
      <c r="FG61" s="1">
        <f t="shared" ref="FG61" si="3696">FF58*$G$61</f>
        <v>0</v>
      </c>
      <c r="FH61" s="56"/>
      <c r="FI61" s="1">
        <f t="shared" ref="FI61" si="3697">FH58*$G$61</f>
        <v>0</v>
      </c>
      <c r="FJ61" s="56"/>
      <c r="FK61" s="1">
        <f t="shared" ref="FK61" si="3698">FJ58*$G$61</f>
        <v>0</v>
      </c>
      <c r="FL61" s="56"/>
      <c r="FM61" s="1">
        <f t="shared" ref="FM61" si="3699">FL58*$G$61</f>
        <v>0</v>
      </c>
      <c r="FN61" s="56"/>
      <c r="FO61" s="1">
        <f t="shared" ref="FO61" si="3700">FN58*$G$61</f>
        <v>0</v>
      </c>
      <c r="FP61" s="56"/>
      <c r="FQ61" s="1">
        <f t="shared" ref="FQ61" si="3701">FP58*$G$61</f>
        <v>0</v>
      </c>
    </row>
    <row r="62" spans="1:173" x14ac:dyDescent="0.35">
      <c r="A62" s="7"/>
      <c r="B62" s="7"/>
      <c r="C62" s="7"/>
      <c r="D62" s="7"/>
      <c r="E62" s="7"/>
      <c r="F62" s="7">
        <v>5</v>
      </c>
      <c r="G62" s="7"/>
      <c r="H62" s="49"/>
      <c r="I62" s="7">
        <f t="shared" ref="I62" si="3702">H58*G62</f>
        <v>0</v>
      </c>
      <c r="J62" s="56"/>
      <c r="K62" s="1">
        <f>J58*$G$62</f>
        <v>0</v>
      </c>
      <c r="L62" s="56"/>
      <c r="M62" s="1">
        <f t="shared" ref="M62" si="3703">L58*$G$62</f>
        <v>0</v>
      </c>
      <c r="N62" s="56"/>
      <c r="O62" s="1">
        <f t="shared" ref="O62" si="3704">N58*$G$62</f>
        <v>0</v>
      </c>
      <c r="P62" s="56"/>
      <c r="Q62" s="1">
        <f t="shared" ref="Q62" si="3705">P58*$G$62</f>
        <v>0</v>
      </c>
      <c r="R62" s="56"/>
      <c r="S62" s="1">
        <f t="shared" ref="S62" si="3706">R58*$G$62</f>
        <v>0</v>
      </c>
      <c r="T62" s="56"/>
      <c r="U62" s="1">
        <f t="shared" ref="U62" si="3707">T58*$G$62</f>
        <v>0</v>
      </c>
      <c r="V62" s="56"/>
      <c r="W62" s="1">
        <f t="shared" ref="W62" si="3708">V58*$G$62</f>
        <v>0</v>
      </c>
      <c r="X62" s="56"/>
      <c r="Y62" s="1">
        <f t="shared" ref="Y62" si="3709">X58*$G$62</f>
        <v>0</v>
      </c>
      <c r="Z62" s="56"/>
      <c r="AA62" s="1">
        <f t="shared" ref="AA62" si="3710">Z58*$G$62</f>
        <v>0</v>
      </c>
      <c r="AB62" s="56"/>
      <c r="AC62" s="1">
        <f t="shared" ref="AC62" si="3711">AB58*$G$62</f>
        <v>0</v>
      </c>
      <c r="AD62" s="56"/>
      <c r="AE62" s="1">
        <f t="shared" ref="AE62" si="3712">AD58*$G$62</f>
        <v>0</v>
      </c>
      <c r="AF62" s="56"/>
      <c r="AG62" s="1">
        <f t="shared" ref="AG62" si="3713">AF58*$G$62</f>
        <v>0</v>
      </c>
      <c r="AH62" s="56"/>
      <c r="AI62" s="1">
        <f t="shared" ref="AI62" si="3714">AH58*$G$62</f>
        <v>0</v>
      </c>
      <c r="AJ62" s="56"/>
      <c r="AK62" s="1">
        <f t="shared" ref="AK62" si="3715">AJ58*$G$62</f>
        <v>0</v>
      </c>
      <c r="AL62" s="56"/>
      <c r="AM62" s="1">
        <f t="shared" ref="AM62" si="3716">AL58*$G$62</f>
        <v>0</v>
      </c>
      <c r="AN62" s="56"/>
      <c r="AO62" s="1">
        <f t="shared" ref="AO62" si="3717">AN58*$G$62</f>
        <v>0</v>
      </c>
      <c r="AP62" s="56"/>
      <c r="AQ62" s="1">
        <f t="shared" ref="AQ62" si="3718">AP58*$G$62</f>
        <v>0</v>
      </c>
      <c r="AR62" s="56"/>
      <c r="AS62" s="1">
        <f t="shared" ref="AS62" si="3719">AR58*$G$62</f>
        <v>0</v>
      </c>
      <c r="AT62" s="56"/>
      <c r="AU62" s="1">
        <f t="shared" ref="AU62" si="3720">AT58*$G$62</f>
        <v>0</v>
      </c>
      <c r="AV62" s="56"/>
      <c r="AW62" s="1">
        <f t="shared" ref="AW62" si="3721">AV58*$G$62</f>
        <v>0</v>
      </c>
      <c r="AX62" s="56"/>
      <c r="AY62" s="1">
        <f t="shared" ref="AY62" si="3722">AX58*$G$62</f>
        <v>0</v>
      </c>
      <c r="AZ62" s="56"/>
      <c r="BA62" s="1">
        <f t="shared" ref="BA62" si="3723">AZ58*$G$62</f>
        <v>0</v>
      </c>
      <c r="BB62" s="56"/>
      <c r="BC62" s="1">
        <f t="shared" ref="BC62" si="3724">BB58*$G$62</f>
        <v>0</v>
      </c>
      <c r="BD62" s="56"/>
      <c r="BE62" s="1">
        <f t="shared" ref="BE62" si="3725">BD58*$G$62</f>
        <v>0</v>
      </c>
      <c r="BF62" s="56"/>
      <c r="BG62" s="1">
        <f t="shared" ref="BG62" si="3726">BF58*$G$62</f>
        <v>0</v>
      </c>
      <c r="BH62" s="56"/>
      <c r="BI62" s="1">
        <f t="shared" ref="BI62" si="3727">BH58*$G$62</f>
        <v>0</v>
      </c>
      <c r="BJ62" s="56"/>
      <c r="BK62" s="1">
        <f t="shared" ref="BK62" si="3728">BJ58*$G$62</f>
        <v>0</v>
      </c>
      <c r="BL62" s="56"/>
      <c r="BM62" s="1">
        <f t="shared" ref="BM62" si="3729">BL58*$G$62</f>
        <v>0</v>
      </c>
      <c r="BN62" s="56"/>
      <c r="BO62" s="1">
        <f t="shared" ref="BO62" si="3730">BN58*$G$62</f>
        <v>0</v>
      </c>
      <c r="BP62" s="56"/>
      <c r="BQ62" s="1">
        <f t="shared" ref="BQ62" si="3731">BP58*$G$62</f>
        <v>0</v>
      </c>
      <c r="BR62" s="56"/>
      <c r="BS62" s="1">
        <f t="shared" ref="BS62" si="3732">BR58*$G$62</f>
        <v>0</v>
      </c>
      <c r="BT62" s="56"/>
      <c r="BU62" s="1">
        <f t="shared" ref="BU62" si="3733">BT58*$G$62</f>
        <v>0</v>
      </c>
      <c r="BV62" s="56"/>
      <c r="BW62" s="1">
        <f t="shared" ref="BW62" si="3734">BV58*$G$62</f>
        <v>0</v>
      </c>
      <c r="BX62" s="56"/>
      <c r="BY62" s="1">
        <f t="shared" ref="BY62" si="3735">BX58*$G$62</f>
        <v>0</v>
      </c>
      <c r="BZ62" s="56"/>
      <c r="CA62" s="1">
        <f t="shared" ref="CA62" si="3736">BZ58*$G$62</f>
        <v>0</v>
      </c>
      <c r="CB62" s="56"/>
      <c r="CC62" s="1">
        <f t="shared" ref="CC62" si="3737">CB58*$G$62</f>
        <v>0</v>
      </c>
      <c r="CD62" s="56"/>
      <c r="CE62" s="1">
        <f t="shared" ref="CE62" si="3738">CD58*$G$62</f>
        <v>0</v>
      </c>
      <c r="CF62" s="56"/>
      <c r="CG62" s="1">
        <f t="shared" ref="CG62" si="3739">CF58*$G$62</f>
        <v>0</v>
      </c>
      <c r="CH62" s="56"/>
      <c r="CI62" s="1">
        <f t="shared" ref="CI62" si="3740">CH58*$G$62</f>
        <v>0</v>
      </c>
      <c r="CJ62" s="56"/>
      <c r="CK62" s="1">
        <f t="shared" ref="CK62" si="3741">CJ58*$G$62</f>
        <v>0</v>
      </c>
      <c r="CL62" s="56"/>
      <c r="CM62" s="1">
        <f t="shared" ref="CM62" si="3742">CL58*$G$62</f>
        <v>0</v>
      </c>
      <c r="CN62" s="56"/>
      <c r="CO62" s="1">
        <f t="shared" ref="CO62" si="3743">CN58*$G$62</f>
        <v>0</v>
      </c>
      <c r="CP62" s="56"/>
      <c r="CQ62" s="1">
        <f t="shared" ref="CQ62" si="3744">CP58*$G$62</f>
        <v>0</v>
      </c>
      <c r="CR62" s="56"/>
      <c r="CS62" s="1">
        <f t="shared" ref="CS62" si="3745">CR58*$G$62</f>
        <v>0</v>
      </c>
      <c r="CT62" s="56"/>
      <c r="CU62" s="1">
        <f t="shared" ref="CU62" si="3746">CT58*$G$62</f>
        <v>0</v>
      </c>
      <c r="CV62" s="56"/>
      <c r="CW62" s="1">
        <f t="shared" ref="CW62" si="3747">CV58*$G$62</f>
        <v>0</v>
      </c>
      <c r="CX62" s="56"/>
      <c r="CY62" s="1">
        <f t="shared" ref="CY62" si="3748">CX58*$G$62</f>
        <v>0</v>
      </c>
      <c r="CZ62" s="56"/>
      <c r="DA62" s="1">
        <f t="shared" ref="DA62" si="3749">CZ58*$G$62</f>
        <v>0</v>
      </c>
      <c r="DB62" s="56"/>
      <c r="DC62" s="1">
        <f t="shared" ref="DC62" si="3750">DB58*$G$62</f>
        <v>0</v>
      </c>
      <c r="DD62" s="56"/>
      <c r="DE62" s="1">
        <f t="shared" ref="DE62" si="3751">DD58*$G$62</f>
        <v>0</v>
      </c>
      <c r="DF62" s="56"/>
      <c r="DG62" s="1">
        <f t="shared" ref="DG62" si="3752">DF58*$G$62</f>
        <v>0</v>
      </c>
      <c r="DH62" s="56"/>
      <c r="DI62" s="1">
        <f t="shared" ref="DI62" si="3753">DH58*$G$62</f>
        <v>0</v>
      </c>
      <c r="DJ62" s="56"/>
      <c r="DK62" s="1">
        <f t="shared" ref="DK62" si="3754">DJ58*$G$62</f>
        <v>0</v>
      </c>
      <c r="DL62" s="56"/>
      <c r="DM62" s="1">
        <f t="shared" ref="DM62" si="3755">DL58*$G$62</f>
        <v>0</v>
      </c>
      <c r="DN62" s="56"/>
      <c r="DO62" s="1">
        <f t="shared" ref="DO62" si="3756">DN58*$G$62</f>
        <v>0</v>
      </c>
      <c r="DP62" s="56"/>
      <c r="DQ62" s="1">
        <f t="shared" ref="DQ62" si="3757">DP58*$G$62</f>
        <v>0</v>
      </c>
      <c r="DR62" s="56"/>
      <c r="DS62" s="1">
        <f t="shared" ref="DS62" si="3758">DR58*$G$62</f>
        <v>0</v>
      </c>
      <c r="DT62" s="56"/>
      <c r="DU62" s="1">
        <f t="shared" ref="DU62" si="3759">DT58*$G$62</f>
        <v>0</v>
      </c>
      <c r="DV62" s="56"/>
      <c r="DW62" s="1">
        <f t="shared" ref="DW62" si="3760">DV58*$G$62</f>
        <v>0</v>
      </c>
      <c r="DX62" s="56"/>
      <c r="DY62" s="1">
        <f t="shared" ref="DY62" si="3761">DX58*$G$62</f>
        <v>0</v>
      </c>
      <c r="DZ62" s="56"/>
      <c r="EA62" s="1">
        <f t="shared" ref="EA62" si="3762">DZ58*$G$62</f>
        <v>0</v>
      </c>
      <c r="EB62" s="56"/>
      <c r="EC62" s="1">
        <f t="shared" ref="EC62" si="3763">EB58*$G$62</f>
        <v>0</v>
      </c>
      <c r="ED62" s="56"/>
      <c r="EE62" s="1">
        <f t="shared" ref="EE62" si="3764">ED58*$G$62</f>
        <v>0</v>
      </c>
      <c r="EF62" s="56"/>
      <c r="EG62" s="1">
        <f t="shared" ref="EG62" si="3765">EF58*$G$62</f>
        <v>0</v>
      </c>
      <c r="EH62" s="56"/>
      <c r="EI62" s="1">
        <f t="shared" ref="EI62" si="3766">EH58*$G$62</f>
        <v>0</v>
      </c>
      <c r="EJ62" s="56"/>
      <c r="EK62" s="1">
        <f t="shared" ref="EK62" si="3767">EJ58*$G$62</f>
        <v>0</v>
      </c>
      <c r="EL62" s="56"/>
      <c r="EM62" s="1">
        <f t="shared" ref="EM62" si="3768">EL58*$G$62</f>
        <v>0</v>
      </c>
      <c r="EN62" s="56"/>
      <c r="EO62" s="1">
        <f t="shared" ref="EO62" si="3769">EN58*$G$62</f>
        <v>0</v>
      </c>
      <c r="EP62" s="56"/>
      <c r="EQ62" s="1">
        <f t="shared" ref="EQ62" si="3770">EP58*$G$62</f>
        <v>0</v>
      </c>
      <c r="ER62" s="56"/>
      <c r="ES62" s="1">
        <f t="shared" ref="ES62" si="3771">ER58*$G$62</f>
        <v>0</v>
      </c>
      <c r="ET62" s="56"/>
      <c r="EU62" s="1">
        <f t="shared" ref="EU62" si="3772">ET58*$G$62</f>
        <v>0</v>
      </c>
      <c r="EV62" s="56"/>
      <c r="EW62" s="1">
        <f t="shared" ref="EW62" si="3773">EV58*$G$62</f>
        <v>0</v>
      </c>
      <c r="EX62" s="56"/>
      <c r="EY62" s="1">
        <f t="shared" ref="EY62" si="3774">EX58*$G$62</f>
        <v>0</v>
      </c>
      <c r="EZ62" s="56"/>
      <c r="FA62" s="1">
        <f t="shared" ref="FA62" si="3775">EZ58*$G$62</f>
        <v>0</v>
      </c>
      <c r="FB62" s="56"/>
      <c r="FC62" s="1">
        <f t="shared" ref="FC62" si="3776">FB58*$G$62</f>
        <v>0</v>
      </c>
      <c r="FD62" s="56"/>
      <c r="FE62" s="1">
        <f t="shared" ref="FE62" si="3777">FD58*$G$62</f>
        <v>0</v>
      </c>
      <c r="FF62" s="56"/>
      <c r="FG62" s="1">
        <f t="shared" ref="FG62" si="3778">FF58*$G$62</f>
        <v>0</v>
      </c>
      <c r="FH62" s="56"/>
      <c r="FI62" s="1">
        <f t="shared" ref="FI62" si="3779">FH58*$G$62</f>
        <v>0</v>
      </c>
      <c r="FJ62" s="56"/>
      <c r="FK62" s="1">
        <f t="shared" ref="FK62" si="3780">FJ58*$G$62</f>
        <v>0</v>
      </c>
      <c r="FL62" s="56"/>
      <c r="FM62" s="1">
        <f t="shared" ref="FM62" si="3781">FL58*$G$62</f>
        <v>0</v>
      </c>
      <c r="FN62" s="56"/>
      <c r="FO62" s="1">
        <f t="shared" ref="FO62" si="3782">FN58*$G$62</f>
        <v>0</v>
      </c>
      <c r="FP62" s="56"/>
      <c r="FQ62" s="1">
        <f t="shared" ref="FQ62" si="3783">FP58*$G$62</f>
        <v>0</v>
      </c>
    </row>
    <row r="63" spans="1:173" x14ac:dyDescent="0.35">
      <c r="A63" s="7"/>
      <c r="B63" s="7"/>
      <c r="C63" s="7"/>
      <c r="D63" s="7"/>
      <c r="E63" s="7"/>
      <c r="F63" s="7">
        <v>6</v>
      </c>
      <c r="G63" s="7"/>
      <c r="H63" s="49"/>
      <c r="I63" s="7">
        <f t="shared" ref="I63" si="3784">H58*G63</f>
        <v>0</v>
      </c>
      <c r="J63" s="56"/>
      <c r="K63" s="1">
        <f>J58*$G$63</f>
        <v>0</v>
      </c>
      <c r="L63" s="56"/>
      <c r="M63" s="1">
        <f t="shared" ref="M63" si="3785">L58*$G$63</f>
        <v>0</v>
      </c>
      <c r="N63" s="56"/>
      <c r="O63" s="1">
        <f t="shared" ref="O63" si="3786">N58*$G$63</f>
        <v>0</v>
      </c>
      <c r="P63" s="56"/>
      <c r="Q63" s="1">
        <f t="shared" ref="Q63" si="3787">P58*$G$63</f>
        <v>0</v>
      </c>
      <c r="R63" s="56"/>
      <c r="S63" s="1">
        <f t="shared" ref="S63" si="3788">R58*$G$63</f>
        <v>0</v>
      </c>
      <c r="T63" s="56"/>
      <c r="U63" s="1">
        <f t="shared" ref="U63" si="3789">T58*$G$63</f>
        <v>0</v>
      </c>
      <c r="V63" s="56"/>
      <c r="W63" s="1">
        <f t="shared" ref="W63" si="3790">V58*$G$63</f>
        <v>0</v>
      </c>
      <c r="X63" s="56"/>
      <c r="Y63" s="1">
        <f t="shared" ref="Y63" si="3791">X58*$G$63</f>
        <v>0</v>
      </c>
      <c r="Z63" s="56"/>
      <c r="AA63" s="1">
        <f t="shared" ref="AA63" si="3792">Z58*$G$63</f>
        <v>0</v>
      </c>
      <c r="AB63" s="56"/>
      <c r="AC63" s="1">
        <f t="shared" ref="AC63" si="3793">AB58*$G$63</f>
        <v>0</v>
      </c>
      <c r="AD63" s="56"/>
      <c r="AE63" s="1">
        <f t="shared" ref="AE63" si="3794">AD58*$G$63</f>
        <v>0</v>
      </c>
      <c r="AF63" s="56"/>
      <c r="AG63" s="1">
        <f t="shared" ref="AG63" si="3795">AF58*$G$63</f>
        <v>0</v>
      </c>
      <c r="AH63" s="56"/>
      <c r="AI63" s="1">
        <f t="shared" ref="AI63" si="3796">AH58*$G$63</f>
        <v>0</v>
      </c>
      <c r="AJ63" s="56"/>
      <c r="AK63" s="1">
        <f t="shared" ref="AK63" si="3797">AJ58*$G$63</f>
        <v>0</v>
      </c>
      <c r="AL63" s="56"/>
      <c r="AM63" s="1">
        <f t="shared" ref="AM63" si="3798">AL58*$G$63</f>
        <v>0</v>
      </c>
      <c r="AN63" s="56"/>
      <c r="AO63" s="1">
        <f t="shared" ref="AO63" si="3799">AN58*$G$63</f>
        <v>0</v>
      </c>
      <c r="AP63" s="56"/>
      <c r="AQ63" s="1">
        <f t="shared" ref="AQ63" si="3800">AP58*$G$63</f>
        <v>0</v>
      </c>
      <c r="AR63" s="56"/>
      <c r="AS63" s="1">
        <f t="shared" ref="AS63" si="3801">AR58*$G$63</f>
        <v>0</v>
      </c>
      <c r="AT63" s="56"/>
      <c r="AU63" s="1">
        <f t="shared" ref="AU63" si="3802">AT58*$G$63</f>
        <v>0</v>
      </c>
      <c r="AV63" s="56"/>
      <c r="AW63" s="1">
        <f t="shared" ref="AW63" si="3803">AV58*$G$63</f>
        <v>0</v>
      </c>
      <c r="AX63" s="56"/>
      <c r="AY63" s="1">
        <f t="shared" ref="AY63" si="3804">AX58*$G$63</f>
        <v>0</v>
      </c>
      <c r="AZ63" s="56"/>
      <c r="BA63" s="1">
        <f t="shared" ref="BA63" si="3805">AZ58*$G$63</f>
        <v>0</v>
      </c>
      <c r="BB63" s="56"/>
      <c r="BC63" s="1">
        <f t="shared" ref="BC63" si="3806">BB58*$G$63</f>
        <v>0</v>
      </c>
      <c r="BD63" s="56"/>
      <c r="BE63" s="1">
        <f t="shared" ref="BE63" si="3807">BD58*$G$63</f>
        <v>0</v>
      </c>
      <c r="BF63" s="56"/>
      <c r="BG63" s="1">
        <f t="shared" ref="BG63" si="3808">BF58*$G$63</f>
        <v>0</v>
      </c>
      <c r="BH63" s="56"/>
      <c r="BI63" s="1">
        <f t="shared" ref="BI63" si="3809">BH58*$G$63</f>
        <v>0</v>
      </c>
      <c r="BJ63" s="56"/>
      <c r="BK63" s="1">
        <f t="shared" ref="BK63" si="3810">BJ58*$G$63</f>
        <v>0</v>
      </c>
      <c r="BL63" s="56"/>
      <c r="BM63" s="1">
        <f t="shared" ref="BM63" si="3811">BL58*$G$63</f>
        <v>0</v>
      </c>
      <c r="BN63" s="56"/>
      <c r="BO63" s="1">
        <f t="shared" ref="BO63" si="3812">BN58*$G$63</f>
        <v>0</v>
      </c>
      <c r="BP63" s="56"/>
      <c r="BQ63" s="1">
        <f t="shared" ref="BQ63" si="3813">BP58*$G$63</f>
        <v>0</v>
      </c>
      <c r="BR63" s="56"/>
      <c r="BS63" s="1">
        <f t="shared" ref="BS63" si="3814">BR58*$G$63</f>
        <v>0</v>
      </c>
      <c r="BT63" s="56"/>
      <c r="BU63" s="1">
        <f t="shared" ref="BU63" si="3815">BT58*$G$63</f>
        <v>0</v>
      </c>
      <c r="BV63" s="56"/>
      <c r="BW63" s="1">
        <f t="shared" ref="BW63" si="3816">BV58*$G$63</f>
        <v>0</v>
      </c>
      <c r="BX63" s="56"/>
      <c r="BY63" s="1">
        <f t="shared" ref="BY63" si="3817">BX58*$G$63</f>
        <v>0</v>
      </c>
      <c r="BZ63" s="56"/>
      <c r="CA63" s="1">
        <f t="shared" ref="CA63" si="3818">BZ58*$G$63</f>
        <v>0</v>
      </c>
      <c r="CB63" s="56"/>
      <c r="CC63" s="1">
        <f t="shared" ref="CC63" si="3819">CB58*$G$63</f>
        <v>0</v>
      </c>
      <c r="CD63" s="56"/>
      <c r="CE63" s="1">
        <f t="shared" ref="CE63" si="3820">CD58*$G$63</f>
        <v>0</v>
      </c>
      <c r="CF63" s="56"/>
      <c r="CG63" s="1">
        <f t="shared" ref="CG63" si="3821">CF58*$G$63</f>
        <v>0</v>
      </c>
      <c r="CH63" s="56"/>
      <c r="CI63" s="1">
        <f t="shared" ref="CI63" si="3822">CH58*$G$63</f>
        <v>0</v>
      </c>
      <c r="CJ63" s="56"/>
      <c r="CK63" s="1">
        <f t="shared" ref="CK63" si="3823">CJ58*$G$63</f>
        <v>0</v>
      </c>
      <c r="CL63" s="56"/>
      <c r="CM63" s="1">
        <f t="shared" ref="CM63" si="3824">CL58*$G$63</f>
        <v>0</v>
      </c>
      <c r="CN63" s="56"/>
      <c r="CO63" s="1">
        <f t="shared" ref="CO63" si="3825">CN58*$G$63</f>
        <v>0</v>
      </c>
      <c r="CP63" s="56"/>
      <c r="CQ63" s="1">
        <f t="shared" ref="CQ63" si="3826">CP58*$G$63</f>
        <v>0</v>
      </c>
      <c r="CR63" s="56"/>
      <c r="CS63" s="1">
        <f t="shared" ref="CS63" si="3827">CR58*$G$63</f>
        <v>0</v>
      </c>
      <c r="CT63" s="56"/>
      <c r="CU63" s="1">
        <f t="shared" ref="CU63" si="3828">CT58*$G$63</f>
        <v>0</v>
      </c>
      <c r="CV63" s="56"/>
      <c r="CW63" s="1">
        <f t="shared" ref="CW63" si="3829">CV58*$G$63</f>
        <v>0</v>
      </c>
      <c r="CX63" s="56"/>
      <c r="CY63" s="1">
        <f t="shared" ref="CY63" si="3830">CX58*$G$63</f>
        <v>0</v>
      </c>
      <c r="CZ63" s="56"/>
      <c r="DA63" s="1">
        <f t="shared" ref="DA63" si="3831">CZ58*$G$63</f>
        <v>0</v>
      </c>
      <c r="DB63" s="56"/>
      <c r="DC63" s="1">
        <f t="shared" ref="DC63" si="3832">DB58*$G$63</f>
        <v>0</v>
      </c>
      <c r="DD63" s="56"/>
      <c r="DE63" s="1">
        <f t="shared" ref="DE63" si="3833">DD58*$G$63</f>
        <v>0</v>
      </c>
      <c r="DF63" s="56"/>
      <c r="DG63" s="1">
        <f t="shared" ref="DG63" si="3834">DF58*$G$63</f>
        <v>0</v>
      </c>
      <c r="DH63" s="56"/>
      <c r="DI63" s="1">
        <f t="shared" ref="DI63" si="3835">DH58*$G$63</f>
        <v>0</v>
      </c>
      <c r="DJ63" s="56"/>
      <c r="DK63" s="1">
        <f t="shared" ref="DK63" si="3836">DJ58*$G$63</f>
        <v>0</v>
      </c>
      <c r="DL63" s="56"/>
      <c r="DM63" s="1">
        <f t="shared" ref="DM63" si="3837">DL58*$G$63</f>
        <v>0</v>
      </c>
      <c r="DN63" s="56"/>
      <c r="DO63" s="1">
        <f t="shared" ref="DO63" si="3838">DN58*$G$63</f>
        <v>0</v>
      </c>
      <c r="DP63" s="56"/>
      <c r="DQ63" s="1">
        <f t="shared" ref="DQ63" si="3839">DP58*$G$63</f>
        <v>0</v>
      </c>
      <c r="DR63" s="56"/>
      <c r="DS63" s="1">
        <f t="shared" ref="DS63" si="3840">DR58*$G$63</f>
        <v>0</v>
      </c>
      <c r="DT63" s="56"/>
      <c r="DU63" s="1">
        <f t="shared" ref="DU63" si="3841">DT58*$G$63</f>
        <v>0</v>
      </c>
      <c r="DV63" s="56"/>
      <c r="DW63" s="1">
        <f t="shared" ref="DW63" si="3842">DV58*$G$63</f>
        <v>0</v>
      </c>
      <c r="DX63" s="56"/>
      <c r="DY63" s="1">
        <f t="shared" ref="DY63" si="3843">DX58*$G$63</f>
        <v>0</v>
      </c>
      <c r="DZ63" s="56"/>
      <c r="EA63" s="1">
        <f t="shared" ref="EA63" si="3844">DZ58*$G$63</f>
        <v>0</v>
      </c>
      <c r="EB63" s="56"/>
      <c r="EC63" s="1">
        <f t="shared" ref="EC63" si="3845">EB58*$G$63</f>
        <v>0</v>
      </c>
      <c r="ED63" s="56"/>
      <c r="EE63" s="1">
        <f t="shared" ref="EE63" si="3846">ED58*$G$63</f>
        <v>0</v>
      </c>
      <c r="EF63" s="56"/>
      <c r="EG63" s="1">
        <f t="shared" ref="EG63" si="3847">EF58*$G$63</f>
        <v>0</v>
      </c>
      <c r="EH63" s="56"/>
      <c r="EI63" s="1">
        <f t="shared" ref="EI63" si="3848">EH58*$G$63</f>
        <v>0</v>
      </c>
      <c r="EJ63" s="56"/>
      <c r="EK63" s="1">
        <f t="shared" ref="EK63" si="3849">EJ58*$G$63</f>
        <v>0</v>
      </c>
      <c r="EL63" s="56"/>
      <c r="EM63" s="1">
        <f t="shared" ref="EM63" si="3850">EL58*$G$63</f>
        <v>0</v>
      </c>
      <c r="EN63" s="56"/>
      <c r="EO63" s="1">
        <f t="shared" ref="EO63" si="3851">EN58*$G$63</f>
        <v>0</v>
      </c>
      <c r="EP63" s="56"/>
      <c r="EQ63" s="1">
        <f t="shared" ref="EQ63" si="3852">EP58*$G$63</f>
        <v>0</v>
      </c>
      <c r="ER63" s="56"/>
      <c r="ES63" s="1">
        <f t="shared" ref="ES63" si="3853">ER58*$G$63</f>
        <v>0</v>
      </c>
      <c r="ET63" s="56"/>
      <c r="EU63" s="1">
        <f t="shared" ref="EU63" si="3854">ET58*$G$63</f>
        <v>0</v>
      </c>
      <c r="EV63" s="56"/>
      <c r="EW63" s="1">
        <f t="shared" ref="EW63" si="3855">EV58*$G$63</f>
        <v>0</v>
      </c>
      <c r="EX63" s="56"/>
      <c r="EY63" s="1">
        <f t="shared" ref="EY63" si="3856">EX58*$G$63</f>
        <v>0</v>
      </c>
      <c r="EZ63" s="56"/>
      <c r="FA63" s="1">
        <f t="shared" ref="FA63" si="3857">EZ58*$G$63</f>
        <v>0</v>
      </c>
      <c r="FB63" s="56"/>
      <c r="FC63" s="1">
        <f t="shared" ref="FC63" si="3858">FB58*$G$63</f>
        <v>0</v>
      </c>
      <c r="FD63" s="56"/>
      <c r="FE63" s="1">
        <f t="shared" ref="FE63" si="3859">FD58*$G$63</f>
        <v>0</v>
      </c>
      <c r="FF63" s="56"/>
      <c r="FG63" s="1">
        <f t="shared" ref="FG63" si="3860">FF58*$G$63</f>
        <v>0</v>
      </c>
      <c r="FH63" s="56"/>
      <c r="FI63" s="1">
        <f t="shared" ref="FI63" si="3861">FH58*$G$63</f>
        <v>0</v>
      </c>
      <c r="FJ63" s="56"/>
      <c r="FK63" s="1">
        <f t="shared" ref="FK63" si="3862">FJ58*$G$63</f>
        <v>0</v>
      </c>
      <c r="FL63" s="56"/>
      <c r="FM63" s="1">
        <f t="shared" ref="FM63" si="3863">FL58*$G$63</f>
        <v>0</v>
      </c>
      <c r="FN63" s="56"/>
      <c r="FO63" s="1">
        <f t="shared" ref="FO63" si="3864">FN58*$G$63</f>
        <v>0</v>
      </c>
      <c r="FP63" s="56"/>
      <c r="FQ63" s="1">
        <f t="shared" ref="FQ63" si="3865">FP58*$G$63</f>
        <v>0</v>
      </c>
    </row>
    <row r="64" spans="1:173" x14ac:dyDescent="0.35">
      <c r="A64" s="16"/>
      <c r="B64" s="16"/>
      <c r="C64" s="16"/>
      <c r="D64" s="16"/>
      <c r="E64" s="16"/>
      <c r="F64" s="16">
        <v>1</v>
      </c>
      <c r="G64" s="16"/>
      <c r="H64" s="50"/>
      <c r="I64" s="16">
        <f t="shared" ref="I64" si="3866">H64*G64</f>
        <v>0</v>
      </c>
      <c r="J64" s="56"/>
      <c r="K64" s="1">
        <f>J64*$G$64</f>
        <v>0</v>
      </c>
      <c r="L64" s="56"/>
      <c r="M64" s="1">
        <f t="shared" ref="M64" si="3867">L64*$G$64</f>
        <v>0</v>
      </c>
      <c r="N64" s="56"/>
      <c r="O64" s="1">
        <f t="shared" ref="O64" si="3868">N64*$G$64</f>
        <v>0</v>
      </c>
      <c r="P64" s="56"/>
      <c r="Q64" s="1">
        <f t="shared" ref="Q64" si="3869">P64*$G$64</f>
        <v>0</v>
      </c>
      <c r="R64" s="56"/>
      <c r="S64" s="1">
        <f t="shared" ref="S64" si="3870">R64*$G$64</f>
        <v>0</v>
      </c>
      <c r="T64" s="56"/>
      <c r="U64" s="1">
        <f t="shared" ref="U64" si="3871">T64*$G$64</f>
        <v>0</v>
      </c>
      <c r="V64" s="56"/>
      <c r="W64" s="1">
        <f t="shared" ref="W64" si="3872">V64*$G$64</f>
        <v>0</v>
      </c>
      <c r="X64" s="56"/>
      <c r="Y64" s="1">
        <f t="shared" ref="Y64" si="3873">X64*$G$64</f>
        <v>0</v>
      </c>
      <c r="Z64" s="56"/>
      <c r="AA64" s="1">
        <f t="shared" ref="AA64" si="3874">Z64*$G$64</f>
        <v>0</v>
      </c>
      <c r="AB64" s="56"/>
      <c r="AC64" s="1">
        <f t="shared" ref="AC64" si="3875">AB64*$G$64</f>
        <v>0</v>
      </c>
      <c r="AD64" s="56"/>
      <c r="AE64" s="1">
        <f t="shared" ref="AE64" si="3876">AD64*$G$64</f>
        <v>0</v>
      </c>
      <c r="AF64" s="56"/>
      <c r="AG64" s="1">
        <f t="shared" ref="AG64" si="3877">AF64*$G$64</f>
        <v>0</v>
      </c>
      <c r="AH64" s="56"/>
      <c r="AI64" s="1">
        <f t="shared" ref="AI64" si="3878">AH64*$G$64</f>
        <v>0</v>
      </c>
      <c r="AJ64" s="56"/>
      <c r="AK64" s="1">
        <f t="shared" ref="AK64" si="3879">AJ64*$G$64</f>
        <v>0</v>
      </c>
      <c r="AL64" s="56"/>
      <c r="AM64" s="1">
        <f t="shared" ref="AM64" si="3880">AL64*$G$64</f>
        <v>0</v>
      </c>
      <c r="AN64" s="56"/>
      <c r="AO64" s="1">
        <f t="shared" ref="AO64" si="3881">AN64*$G$64</f>
        <v>0</v>
      </c>
      <c r="AP64" s="56"/>
      <c r="AQ64" s="1">
        <f t="shared" ref="AQ64" si="3882">AP64*$G$64</f>
        <v>0</v>
      </c>
      <c r="AR64" s="56"/>
      <c r="AS64" s="1">
        <f t="shared" ref="AS64" si="3883">AR64*$G$64</f>
        <v>0</v>
      </c>
      <c r="AT64" s="56"/>
      <c r="AU64" s="1">
        <f t="shared" ref="AU64" si="3884">AT64*$G$64</f>
        <v>0</v>
      </c>
      <c r="AV64" s="56"/>
      <c r="AW64" s="1">
        <f t="shared" ref="AW64" si="3885">AV64*$G$64</f>
        <v>0</v>
      </c>
      <c r="AX64" s="56"/>
      <c r="AY64" s="1">
        <f t="shared" ref="AY64" si="3886">AX64*$G$64</f>
        <v>0</v>
      </c>
      <c r="AZ64" s="56"/>
      <c r="BA64" s="1">
        <f t="shared" ref="BA64" si="3887">AZ64*$G$64</f>
        <v>0</v>
      </c>
      <c r="BB64" s="56"/>
      <c r="BC64" s="1">
        <f t="shared" ref="BC64" si="3888">BB64*$G$64</f>
        <v>0</v>
      </c>
      <c r="BD64" s="56"/>
      <c r="BE64" s="1">
        <f t="shared" ref="BE64" si="3889">BD64*$G$64</f>
        <v>0</v>
      </c>
      <c r="BF64" s="56"/>
      <c r="BG64" s="1">
        <f t="shared" ref="BG64" si="3890">BF64*$G$64</f>
        <v>0</v>
      </c>
      <c r="BH64" s="56"/>
      <c r="BI64" s="1">
        <f t="shared" ref="BI64" si="3891">BH64*$G$64</f>
        <v>0</v>
      </c>
      <c r="BJ64" s="56"/>
      <c r="BK64" s="1">
        <f t="shared" ref="BK64" si="3892">BJ64*$G$64</f>
        <v>0</v>
      </c>
      <c r="BL64" s="56"/>
      <c r="BM64" s="1">
        <f t="shared" ref="BM64" si="3893">BL64*$G$64</f>
        <v>0</v>
      </c>
      <c r="BN64" s="56"/>
      <c r="BO64" s="1">
        <f t="shared" ref="BO64" si="3894">BN64*$G$64</f>
        <v>0</v>
      </c>
      <c r="BP64" s="56"/>
      <c r="BQ64" s="1">
        <f t="shared" ref="BQ64" si="3895">BP64*$G$64</f>
        <v>0</v>
      </c>
      <c r="BR64" s="56"/>
      <c r="BS64" s="1">
        <f t="shared" ref="BS64" si="3896">BR64*$G$64</f>
        <v>0</v>
      </c>
      <c r="BT64" s="56"/>
      <c r="BU64" s="1">
        <f t="shared" ref="BU64" si="3897">BT64*$G$64</f>
        <v>0</v>
      </c>
      <c r="BV64" s="56"/>
      <c r="BW64" s="1">
        <f t="shared" ref="BW64" si="3898">BV64*$G$64</f>
        <v>0</v>
      </c>
      <c r="BX64" s="56"/>
      <c r="BY64" s="1">
        <f t="shared" ref="BY64" si="3899">BX64*$G$64</f>
        <v>0</v>
      </c>
      <c r="BZ64" s="56"/>
      <c r="CA64" s="1">
        <f t="shared" ref="CA64" si="3900">BZ64*$G$64</f>
        <v>0</v>
      </c>
      <c r="CB64" s="56"/>
      <c r="CC64" s="1">
        <f t="shared" ref="CC64" si="3901">CB64*$G$64</f>
        <v>0</v>
      </c>
      <c r="CD64" s="56"/>
      <c r="CE64" s="1">
        <f t="shared" ref="CE64" si="3902">CD64*$G$64</f>
        <v>0</v>
      </c>
      <c r="CF64" s="56"/>
      <c r="CG64" s="1">
        <f t="shared" ref="CG64" si="3903">CF64*$G$64</f>
        <v>0</v>
      </c>
      <c r="CH64" s="56"/>
      <c r="CI64" s="1">
        <f t="shared" ref="CI64" si="3904">CH64*$G$64</f>
        <v>0</v>
      </c>
      <c r="CJ64" s="56"/>
      <c r="CK64" s="1">
        <f t="shared" ref="CK64" si="3905">CJ64*$G$64</f>
        <v>0</v>
      </c>
      <c r="CL64" s="56"/>
      <c r="CM64" s="1">
        <f t="shared" ref="CM64" si="3906">CL64*$G$64</f>
        <v>0</v>
      </c>
      <c r="CN64" s="56"/>
      <c r="CO64" s="1">
        <f t="shared" ref="CO64" si="3907">CN64*$G$64</f>
        <v>0</v>
      </c>
      <c r="CP64" s="56"/>
      <c r="CQ64" s="1">
        <f t="shared" ref="CQ64" si="3908">CP64*$G$64</f>
        <v>0</v>
      </c>
      <c r="CR64" s="56"/>
      <c r="CS64" s="1">
        <f t="shared" ref="CS64" si="3909">CR64*$G$64</f>
        <v>0</v>
      </c>
      <c r="CT64" s="56"/>
      <c r="CU64" s="1">
        <f t="shared" ref="CU64" si="3910">CT64*$G$64</f>
        <v>0</v>
      </c>
      <c r="CV64" s="56"/>
      <c r="CW64" s="1">
        <f t="shared" ref="CW64" si="3911">CV64*$G$64</f>
        <v>0</v>
      </c>
      <c r="CX64" s="56"/>
      <c r="CY64" s="1">
        <f t="shared" ref="CY64" si="3912">CX64*$G$64</f>
        <v>0</v>
      </c>
      <c r="CZ64" s="56"/>
      <c r="DA64" s="1">
        <f t="shared" ref="DA64" si="3913">CZ64*$G$64</f>
        <v>0</v>
      </c>
      <c r="DB64" s="56"/>
      <c r="DC64" s="1">
        <f t="shared" ref="DC64" si="3914">DB64*$G$64</f>
        <v>0</v>
      </c>
      <c r="DD64" s="56"/>
      <c r="DE64" s="1">
        <f t="shared" ref="DE64" si="3915">DD64*$G$64</f>
        <v>0</v>
      </c>
      <c r="DF64" s="56"/>
      <c r="DG64" s="1">
        <f t="shared" ref="DG64" si="3916">DF64*$G$64</f>
        <v>0</v>
      </c>
      <c r="DH64" s="56"/>
      <c r="DI64" s="1">
        <f t="shared" ref="DI64" si="3917">DH64*$G$64</f>
        <v>0</v>
      </c>
      <c r="DJ64" s="56"/>
      <c r="DK64" s="1">
        <f t="shared" ref="DK64" si="3918">DJ64*$G$64</f>
        <v>0</v>
      </c>
      <c r="DL64" s="56"/>
      <c r="DM64" s="1">
        <f t="shared" ref="DM64" si="3919">DL64*$G$64</f>
        <v>0</v>
      </c>
      <c r="DN64" s="56"/>
      <c r="DO64" s="1">
        <f t="shared" ref="DO64" si="3920">DN64*$G$64</f>
        <v>0</v>
      </c>
      <c r="DP64" s="56"/>
      <c r="DQ64" s="1">
        <f t="shared" ref="DQ64" si="3921">DP64*$G$64</f>
        <v>0</v>
      </c>
      <c r="DR64" s="56"/>
      <c r="DS64" s="1">
        <f t="shared" ref="DS64" si="3922">DR64*$G$64</f>
        <v>0</v>
      </c>
      <c r="DT64" s="56"/>
      <c r="DU64" s="1">
        <f t="shared" ref="DU64" si="3923">DT64*$G$64</f>
        <v>0</v>
      </c>
      <c r="DV64" s="56"/>
      <c r="DW64" s="1">
        <f t="shared" ref="DW64" si="3924">DV64*$G$64</f>
        <v>0</v>
      </c>
      <c r="DX64" s="56"/>
      <c r="DY64" s="1">
        <f t="shared" ref="DY64" si="3925">DX64*$G$64</f>
        <v>0</v>
      </c>
      <c r="DZ64" s="56"/>
      <c r="EA64" s="1">
        <f t="shared" ref="EA64" si="3926">DZ64*$G$64</f>
        <v>0</v>
      </c>
      <c r="EB64" s="56"/>
      <c r="EC64" s="1">
        <f t="shared" ref="EC64" si="3927">EB64*$G$64</f>
        <v>0</v>
      </c>
      <c r="ED64" s="56"/>
      <c r="EE64" s="1">
        <f t="shared" ref="EE64" si="3928">ED64*$G$64</f>
        <v>0</v>
      </c>
      <c r="EF64" s="56"/>
      <c r="EG64" s="1">
        <f t="shared" ref="EG64" si="3929">EF64*$G$64</f>
        <v>0</v>
      </c>
      <c r="EH64" s="56"/>
      <c r="EI64" s="1">
        <f t="shared" ref="EI64" si="3930">EH64*$G$64</f>
        <v>0</v>
      </c>
      <c r="EJ64" s="56"/>
      <c r="EK64" s="1">
        <f t="shared" ref="EK64" si="3931">EJ64*$G$64</f>
        <v>0</v>
      </c>
      <c r="EL64" s="56"/>
      <c r="EM64" s="1">
        <f t="shared" ref="EM64" si="3932">EL64*$G$64</f>
        <v>0</v>
      </c>
      <c r="EN64" s="56"/>
      <c r="EO64" s="1">
        <f t="shared" ref="EO64" si="3933">EN64*$G$64</f>
        <v>0</v>
      </c>
      <c r="EP64" s="56"/>
      <c r="EQ64" s="1">
        <f t="shared" ref="EQ64" si="3934">EP64*$G$64</f>
        <v>0</v>
      </c>
      <c r="ER64" s="56"/>
      <c r="ES64" s="1">
        <f t="shared" ref="ES64" si="3935">ER64*$G$64</f>
        <v>0</v>
      </c>
      <c r="ET64" s="56"/>
      <c r="EU64" s="1">
        <f t="shared" ref="EU64" si="3936">ET64*$G$64</f>
        <v>0</v>
      </c>
      <c r="EV64" s="56"/>
      <c r="EW64" s="1">
        <f t="shared" ref="EW64" si="3937">EV64*$G$64</f>
        <v>0</v>
      </c>
      <c r="EX64" s="56"/>
      <c r="EY64" s="1">
        <f t="shared" ref="EY64" si="3938">EX64*$G$64</f>
        <v>0</v>
      </c>
      <c r="EZ64" s="56"/>
      <c r="FA64" s="1">
        <f t="shared" ref="FA64" si="3939">EZ64*$G$64</f>
        <v>0</v>
      </c>
      <c r="FB64" s="56"/>
      <c r="FC64" s="1">
        <f t="shared" ref="FC64" si="3940">FB64*$G$64</f>
        <v>0</v>
      </c>
      <c r="FD64" s="56"/>
      <c r="FE64" s="1">
        <f t="shared" ref="FE64" si="3941">FD64*$G$64</f>
        <v>0</v>
      </c>
      <c r="FF64" s="56"/>
      <c r="FG64" s="1">
        <f t="shared" ref="FG64" si="3942">FF64*$G$64</f>
        <v>0</v>
      </c>
      <c r="FH64" s="56"/>
      <c r="FI64" s="1">
        <f t="shared" ref="FI64" si="3943">FH64*$G$64</f>
        <v>0</v>
      </c>
      <c r="FJ64" s="56"/>
      <c r="FK64" s="1">
        <f t="shared" ref="FK64" si="3944">FJ64*$G$64</f>
        <v>0</v>
      </c>
      <c r="FL64" s="56"/>
      <c r="FM64" s="1">
        <f t="shared" ref="FM64" si="3945">FL64*$G$64</f>
        <v>0</v>
      </c>
      <c r="FN64" s="56"/>
      <c r="FO64" s="1">
        <f t="shared" ref="FO64" si="3946">FN64*$G$64</f>
        <v>0</v>
      </c>
      <c r="FP64" s="56"/>
      <c r="FQ64" s="1">
        <f t="shared" ref="FQ64" si="3947">FP64*$G$64</f>
        <v>0</v>
      </c>
    </row>
    <row r="65" spans="1:185" x14ac:dyDescent="0.35">
      <c r="A65" s="16"/>
      <c r="B65" s="16"/>
      <c r="C65" s="16"/>
      <c r="D65" s="16"/>
      <c r="E65" s="16"/>
      <c r="F65" s="16">
        <v>2</v>
      </c>
      <c r="G65" s="16"/>
      <c r="H65" s="50"/>
      <c r="I65" s="16">
        <f t="shared" ref="I65" si="3948">H64*G65</f>
        <v>0</v>
      </c>
      <c r="J65" s="56"/>
      <c r="K65" s="1">
        <f>J64*$G$65</f>
        <v>0</v>
      </c>
      <c r="L65" s="56"/>
      <c r="M65" s="1">
        <f t="shared" ref="M65" si="3949">L64*$G$65</f>
        <v>0</v>
      </c>
      <c r="N65" s="56"/>
      <c r="O65" s="1">
        <f t="shared" ref="O65" si="3950">N64*$G$65</f>
        <v>0</v>
      </c>
      <c r="P65" s="56"/>
      <c r="Q65" s="1">
        <f t="shared" ref="Q65" si="3951">P64*$G$65</f>
        <v>0</v>
      </c>
      <c r="R65" s="56"/>
      <c r="S65" s="1">
        <f t="shared" ref="S65" si="3952">R64*$G$65</f>
        <v>0</v>
      </c>
      <c r="T65" s="56"/>
      <c r="U65" s="1">
        <f t="shared" ref="U65" si="3953">T64*$G$65</f>
        <v>0</v>
      </c>
      <c r="V65" s="56"/>
      <c r="W65" s="1">
        <f t="shared" ref="W65" si="3954">V64*$G$65</f>
        <v>0</v>
      </c>
      <c r="X65" s="56"/>
      <c r="Y65" s="1">
        <f t="shared" ref="Y65" si="3955">X64*$G$65</f>
        <v>0</v>
      </c>
      <c r="Z65" s="56"/>
      <c r="AA65" s="1">
        <f t="shared" ref="AA65" si="3956">Z64*$G$65</f>
        <v>0</v>
      </c>
      <c r="AB65" s="56"/>
      <c r="AC65" s="1">
        <f t="shared" ref="AC65" si="3957">AB64*$G$65</f>
        <v>0</v>
      </c>
      <c r="AD65" s="56"/>
      <c r="AE65" s="1">
        <f t="shared" ref="AE65" si="3958">AD64*$G$65</f>
        <v>0</v>
      </c>
      <c r="AF65" s="56"/>
      <c r="AG65" s="1">
        <f t="shared" ref="AG65" si="3959">AF64*$G$65</f>
        <v>0</v>
      </c>
      <c r="AH65" s="56"/>
      <c r="AI65" s="1">
        <f t="shared" ref="AI65" si="3960">AH64*$G$65</f>
        <v>0</v>
      </c>
      <c r="AJ65" s="56"/>
      <c r="AK65" s="1">
        <f t="shared" ref="AK65" si="3961">AJ64*$G$65</f>
        <v>0</v>
      </c>
      <c r="AL65" s="56"/>
      <c r="AM65" s="1">
        <f t="shared" ref="AM65" si="3962">AL64*$G$65</f>
        <v>0</v>
      </c>
      <c r="AN65" s="56"/>
      <c r="AO65" s="1">
        <f t="shared" ref="AO65" si="3963">AN64*$G$65</f>
        <v>0</v>
      </c>
      <c r="AP65" s="56"/>
      <c r="AQ65" s="1">
        <f t="shared" ref="AQ65" si="3964">AP64*$G$65</f>
        <v>0</v>
      </c>
      <c r="AR65" s="56"/>
      <c r="AS65" s="1">
        <f t="shared" ref="AS65" si="3965">AR64*$G$65</f>
        <v>0</v>
      </c>
      <c r="AT65" s="56"/>
      <c r="AU65" s="1">
        <f t="shared" ref="AU65" si="3966">AT64*$G$65</f>
        <v>0</v>
      </c>
      <c r="AV65" s="56"/>
      <c r="AW65" s="1">
        <f t="shared" ref="AW65" si="3967">AV64*$G$65</f>
        <v>0</v>
      </c>
      <c r="AX65" s="56"/>
      <c r="AY65" s="1">
        <f t="shared" ref="AY65" si="3968">AX64*$G$65</f>
        <v>0</v>
      </c>
      <c r="AZ65" s="56"/>
      <c r="BA65" s="1">
        <f t="shared" ref="BA65" si="3969">AZ64*$G$65</f>
        <v>0</v>
      </c>
      <c r="BB65" s="56"/>
      <c r="BC65" s="1">
        <f t="shared" ref="BC65" si="3970">BB64*$G$65</f>
        <v>0</v>
      </c>
      <c r="BD65" s="56"/>
      <c r="BE65" s="1">
        <f t="shared" ref="BE65" si="3971">BD64*$G$65</f>
        <v>0</v>
      </c>
      <c r="BF65" s="56"/>
      <c r="BG65" s="1">
        <f t="shared" ref="BG65" si="3972">BF64*$G$65</f>
        <v>0</v>
      </c>
      <c r="BH65" s="56"/>
      <c r="BI65" s="1">
        <f t="shared" ref="BI65" si="3973">BH64*$G$65</f>
        <v>0</v>
      </c>
      <c r="BJ65" s="56"/>
      <c r="BK65" s="1">
        <f t="shared" ref="BK65" si="3974">BJ64*$G$65</f>
        <v>0</v>
      </c>
      <c r="BL65" s="56"/>
      <c r="BM65" s="1">
        <f t="shared" ref="BM65" si="3975">BL64*$G$65</f>
        <v>0</v>
      </c>
      <c r="BN65" s="56"/>
      <c r="BO65" s="1">
        <f t="shared" ref="BO65" si="3976">BN64*$G$65</f>
        <v>0</v>
      </c>
      <c r="BP65" s="56"/>
      <c r="BQ65" s="1">
        <f t="shared" ref="BQ65" si="3977">BP64*$G$65</f>
        <v>0</v>
      </c>
      <c r="BR65" s="56"/>
      <c r="BS65" s="1">
        <f t="shared" ref="BS65" si="3978">BR64*$G$65</f>
        <v>0</v>
      </c>
      <c r="BT65" s="56"/>
      <c r="BU65" s="1">
        <f t="shared" ref="BU65" si="3979">BT64*$G$65</f>
        <v>0</v>
      </c>
      <c r="BV65" s="56"/>
      <c r="BW65" s="1">
        <f t="shared" ref="BW65" si="3980">BV64*$G$65</f>
        <v>0</v>
      </c>
      <c r="BX65" s="56"/>
      <c r="BY65" s="1">
        <f t="shared" ref="BY65" si="3981">BX64*$G$65</f>
        <v>0</v>
      </c>
      <c r="BZ65" s="56"/>
      <c r="CA65" s="1">
        <f t="shared" ref="CA65" si="3982">BZ64*$G$65</f>
        <v>0</v>
      </c>
      <c r="CB65" s="56"/>
      <c r="CC65" s="1">
        <f t="shared" ref="CC65" si="3983">CB64*$G$65</f>
        <v>0</v>
      </c>
      <c r="CD65" s="56"/>
      <c r="CE65" s="1">
        <f t="shared" ref="CE65" si="3984">CD64*$G$65</f>
        <v>0</v>
      </c>
      <c r="CF65" s="56"/>
      <c r="CG65" s="1">
        <f t="shared" ref="CG65" si="3985">CF64*$G$65</f>
        <v>0</v>
      </c>
      <c r="CH65" s="56"/>
      <c r="CI65" s="1">
        <f t="shared" ref="CI65" si="3986">CH64*$G$65</f>
        <v>0</v>
      </c>
      <c r="CJ65" s="56"/>
      <c r="CK65" s="1">
        <f t="shared" ref="CK65" si="3987">CJ64*$G$65</f>
        <v>0</v>
      </c>
      <c r="CL65" s="56"/>
      <c r="CM65" s="1">
        <f t="shared" ref="CM65" si="3988">CL64*$G$65</f>
        <v>0</v>
      </c>
      <c r="CN65" s="56"/>
      <c r="CO65" s="1">
        <f t="shared" ref="CO65" si="3989">CN64*$G$65</f>
        <v>0</v>
      </c>
      <c r="CP65" s="56"/>
      <c r="CQ65" s="1">
        <f t="shared" ref="CQ65" si="3990">CP64*$G$65</f>
        <v>0</v>
      </c>
      <c r="CR65" s="56"/>
      <c r="CS65" s="1">
        <f t="shared" ref="CS65" si="3991">CR64*$G$65</f>
        <v>0</v>
      </c>
      <c r="CT65" s="56"/>
      <c r="CU65" s="1">
        <f t="shared" ref="CU65" si="3992">CT64*$G$65</f>
        <v>0</v>
      </c>
      <c r="CV65" s="56"/>
      <c r="CW65" s="1">
        <f t="shared" ref="CW65" si="3993">CV64*$G$65</f>
        <v>0</v>
      </c>
      <c r="CX65" s="56"/>
      <c r="CY65" s="1">
        <f t="shared" ref="CY65" si="3994">CX64*$G$65</f>
        <v>0</v>
      </c>
      <c r="CZ65" s="56"/>
      <c r="DA65" s="1">
        <f t="shared" ref="DA65" si="3995">CZ64*$G$65</f>
        <v>0</v>
      </c>
      <c r="DB65" s="56"/>
      <c r="DC65" s="1">
        <f t="shared" ref="DC65" si="3996">DB64*$G$65</f>
        <v>0</v>
      </c>
      <c r="DD65" s="56"/>
      <c r="DE65" s="1">
        <f t="shared" ref="DE65" si="3997">DD64*$G$65</f>
        <v>0</v>
      </c>
      <c r="DF65" s="56"/>
      <c r="DG65" s="1">
        <f t="shared" ref="DG65" si="3998">DF64*$G$65</f>
        <v>0</v>
      </c>
      <c r="DH65" s="56"/>
      <c r="DI65" s="1">
        <f t="shared" ref="DI65" si="3999">DH64*$G$65</f>
        <v>0</v>
      </c>
      <c r="DJ65" s="56"/>
      <c r="DK65" s="1">
        <f t="shared" ref="DK65" si="4000">DJ64*$G$65</f>
        <v>0</v>
      </c>
      <c r="DL65" s="56"/>
      <c r="DM65" s="1">
        <f t="shared" ref="DM65" si="4001">DL64*$G$65</f>
        <v>0</v>
      </c>
      <c r="DN65" s="56"/>
      <c r="DO65" s="1">
        <f t="shared" ref="DO65" si="4002">DN64*$G$65</f>
        <v>0</v>
      </c>
      <c r="DP65" s="56"/>
      <c r="DQ65" s="1">
        <f t="shared" ref="DQ65" si="4003">DP64*$G$65</f>
        <v>0</v>
      </c>
      <c r="DR65" s="56"/>
      <c r="DS65" s="1">
        <f t="shared" ref="DS65" si="4004">DR64*$G$65</f>
        <v>0</v>
      </c>
      <c r="DT65" s="56"/>
      <c r="DU65" s="1">
        <f t="shared" ref="DU65" si="4005">DT64*$G$65</f>
        <v>0</v>
      </c>
      <c r="DV65" s="56"/>
      <c r="DW65" s="1">
        <f t="shared" ref="DW65" si="4006">DV64*$G$65</f>
        <v>0</v>
      </c>
      <c r="DX65" s="56"/>
      <c r="DY65" s="1">
        <f t="shared" ref="DY65" si="4007">DX64*$G$65</f>
        <v>0</v>
      </c>
      <c r="DZ65" s="56"/>
      <c r="EA65" s="1">
        <f t="shared" ref="EA65" si="4008">DZ64*$G$65</f>
        <v>0</v>
      </c>
      <c r="EB65" s="56"/>
      <c r="EC65" s="1">
        <f t="shared" ref="EC65" si="4009">EB64*$G$65</f>
        <v>0</v>
      </c>
      <c r="ED65" s="56"/>
      <c r="EE65" s="1">
        <f t="shared" ref="EE65" si="4010">ED64*$G$65</f>
        <v>0</v>
      </c>
      <c r="EF65" s="56"/>
      <c r="EG65" s="1">
        <f t="shared" ref="EG65" si="4011">EF64*$G$65</f>
        <v>0</v>
      </c>
      <c r="EH65" s="56"/>
      <c r="EI65" s="1">
        <f t="shared" ref="EI65" si="4012">EH64*$G$65</f>
        <v>0</v>
      </c>
      <c r="EJ65" s="56"/>
      <c r="EK65" s="1">
        <f t="shared" ref="EK65" si="4013">EJ64*$G$65</f>
        <v>0</v>
      </c>
      <c r="EL65" s="56"/>
      <c r="EM65" s="1">
        <f t="shared" ref="EM65" si="4014">EL64*$G$65</f>
        <v>0</v>
      </c>
      <c r="EN65" s="56"/>
      <c r="EO65" s="1">
        <f t="shared" ref="EO65" si="4015">EN64*$G$65</f>
        <v>0</v>
      </c>
      <c r="EP65" s="56"/>
      <c r="EQ65" s="1">
        <f t="shared" ref="EQ65" si="4016">EP64*$G$65</f>
        <v>0</v>
      </c>
      <c r="ER65" s="56"/>
      <c r="ES65" s="1">
        <f t="shared" ref="ES65" si="4017">ER64*$G$65</f>
        <v>0</v>
      </c>
      <c r="ET65" s="56"/>
      <c r="EU65" s="1">
        <f t="shared" ref="EU65" si="4018">ET64*$G$65</f>
        <v>0</v>
      </c>
      <c r="EV65" s="56"/>
      <c r="EW65" s="1">
        <f t="shared" ref="EW65" si="4019">EV64*$G$65</f>
        <v>0</v>
      </c>
      <c r="EX65" s="56"/>
      <c r="EY65" s="1">
        <f t="shared" ref="EY65" si="4020">EX64*$G$65</f>
        <v>0</v>
      </c>
      <c r="EZ65" s="56"/>
      <c r="FA65" s="1">
        <f t="shared" ref="FA65" si="4021">EZ64*$G$65</f>
        <v>0</v>
      </c>
      <c r="FB65" s="56"/>
      <c r="FC65" s="1">
        <f t="shared" ref="FC65" si="4022">FB64*$G$65</f>
        <v>0</v>
      </c>
      <c r="FD65" s="56"/>
      <c r="FE65" s="1">
        <f t="shared" ref="FE65" si="4023">FD64*$G$65</f>
        <v>0</v>
      </c>
      <c r="FF65" s="56"/>
      <c r="FG65" s="1">
        <f t="shared" ref="FG65" si="4024">FF64*$G$65</f>
        <v>0</v>
      </c>
      <c r="FH65" s="56"/>
      <c r="FI65" s="1">
        <f t="shared" ref="FI65" si="4025">FH64*$G$65</f>
        <v>0</v>
      </c>
      <c r="FJ65" s="56"/>
      <c r="FK65" s="1">
        <f t="shared" ref="FK65" si="4026">FJ64*$G$65</f>
        <v>0</v>
      </c>
      <c r="FL65" s="56"/>
      <c r="FM65" s="1">
        <f t="shared" ref="FM65" si="4027">FL64*$G$65</f>
        <v>0</v>
      </c>
      <c r="FN65" s="56"/>
      <c r="FO65" s="1">
        <f t="shared" ref="FO65" si="4028">FN64*$G$65</f>
        <v>0</v>
      </c>
      <c r="FP65" s="56"/>
      <c r="FQ65" s="1">
        <f t="shared" ref="FQ65" si="4029">FP64*$G$65</f>
        <v>0</v>
      </c>
    </row>
    <row r="66" spans="1:185" x14ac:dyDescent="0.35">
      <c r="A66" s="16"/>
      <c r="B66" s="16"/>
      <c r="C66" s="16"/>
      <c r="D66" s="16"/>
      <c r="E66" s="16"/>
      <c r="F66" s="16">
        <v>3</v>
      </c>
      <c r="G66" s="16"/>
      <c r="H66" s="50"/>
      <c r="I66" s="16">
        <f t="shared" ref="I66" si="4030">H64*G66</f>
        <v>0</v>
      </c>
      <c r="J66" s="56"/>
      <c r="K66" s="1">
        <f>J64*$G$66</f>
        <v>0</v>
      </c>
      <c r="L66" s="56"/>
      <c r="M66" s="1">
        <f t="shared" ref="M66" si="4031">L64*$G$66</f>
        <v>0</v>
      </c>
      <c r="N66" s="56"/>
      <c r="O66" s="1">
        <f t="shared" ref="O66" si="4032">N64*$G$66</f>
        <v>0</v>
      </c>
      <c r="P66" s="56"/>
      <c r="Q66" s="1">
        <f t="shared" ref="Q66" si="4033">P64*$G$66</f>
        <v>0</v>
      </c>
      <c r="R66" s="56"/>
      <c r="S66" s="1">
        <f t="shared" ref="S66" si="4034">R64*$G$66</f>
        <v>0</v>
      </c>
      <c r="T66" s="56"/>
      <c r="U66" s="1">
        <f t="shared" ref="U66" si="4035">T64*$G$66</f>
        <v>0</v>
      </c>
      <c r="V66" s="56"/>
      <c r="W66" s="1">
        <f t="shared" ref="W66" si="4036">V64*$G$66</f>
        <v>0</v>
      </c>
      <c r="X66" s="56"/>
      <c r="Y66" s="1">
        <f t="shared" ref="Y66" si="4037">X64*$G$66</f>
        <v>0</v>
      </c>
      <c r="Z66" s="56"/>
      <c r="AA66" s="1">
        <f t="shared" ref="AA66" si="4038">Z64*$G$66</f>
        <v>0</v>
      </c>
      <c r="AB66" s="56"/>
      <c r="AC66" s="1">
        <f t="shared" ref="AC66" si="4039">AB64*$G$66</f>
        <v>0</v>
      </c>
      <c r="AD66" s="56"/>
      <c r="AE66" s="1">
        <f t="shared" ref="AE66" si="4040">AD64*$G$66</f>
        <v>0</v>
      </c>
      <c r="AF66" s="56"/>
      <c r="AG66" s="1">
        <f t="shared" ref="AG66" si="4041">AF64*$G$66</f>
        <v>0</v>
      </c>
      <c r="AH66" s="56"/>
      <c r="AI66" s="1">
        <f t="shared" ref="AI66" si="4042">AH64*$G$66</f>
        <v>0</v>
      </c>
      <c r="AJ66" s="56"/>
      <c r="AK66" s="1">
        <f t="shared" ref="AK66" si="4043">AJ64*$G$66</f>
        <v>0</v>
      </c>
      <c r="AL66" s="56"/>
      <c r="AM66" s="1">
        <f t="shared" ref="AM66" si="4044">AL64*$G$66</f>
        <v>0</v>
      </c>
      <c r="AN66" s="56"/>
      <c r="AO66" s="1">
        <f t="shared" ref="AO66" si="4045">AN64*$G$66</f>
        <v>0</v>
      </c>
      <c r="AP66" s="56"/>
      <c r="AQ66" s="1">
        <f t="shared" ref="AQ66" si="4046">AP64*$G$66</f>
        <v>0</v>
      </c>
      <c r="AR66" s="56"/>
      <c r="AS66" s="1">
        <f t="shared" ref="AS66" si="4047">AR64*$G$66</f>
        <v>0</v>
      </c>
      <c r="AT66" s="56"/>
      <c r="AU66" s="1">
        <f t="shared" ref="AU66" si="4048">AT64*$G$66</f>
        <v>0</v>
      </c>
      <c r="AV66" s="56"/>
      <c r="AW66" s="1">
        <f t="shared" ref="AW66" si="4049">AV64*$G$66</f>
        <v>0</v>
      </c>
      <c r="AX66" s="56"/>
      <c r="AY66" s="1">
        <f t="shared" ref="AY66" si="4050">AX64*$G$66</f>
        <v>0</v>
      </c>
      <c r="AZ66" s="56"/>
      <c r="BA66" s="1">
        <f t="shared" ref="BA66" si="4051">AZ64*$G$66</f>
        <v>0</v>
      </c>
      <c r="BB66" s="56"/>
      <c r="BC66" s="1">
        <f t="shared" ref="BC66" si="4052">BB64*$G$66</f>
        <v>0</v>
      </c>
      <c r="BD66" s="56"/>
      <c r="BE66" s="1">
        <f t="shared" ref="BE66" si="4053">BD64*$G$66</f>
        <v>0</v>
      </c>
      <c r="BF66" s="56"/>
      <c r="BG66" s="1">
        <f t="shared" ref="BG66" si="4054">BF64*$G$66</f>
        <v>0</v>
      </c>
      <c r="BH66" s="56"/>
      <c r="BI66" s="1">
        <f t="shared" ref="BI66" si="4055">BH64*$G$66</f>
        <v>0</v>
      </c>
      <c r="BJ66" s="56"/>
      <c r="BK66" s="1">
        <f t="shared" ref="BK66" si="4056">BJ64*$G$66</f>
        <v>0</v>
      </c>
      <c r="BL66" s="56"/>
      <c r="BM66" s="1">
        <f t="shared" ref="BM66" si="4057">BL64*$G$66</f>
        <v>0</v>
      </c>
      <c r="BN66" s="56"/>
      <c r="BO66" s="1">
        <f t="shared" ref="BO66" si="4058">BN64*$G$66</f>
        <v>0</v>
      </c>
      <c r="BP66" s="56"/>
      <c r="BQ66" s="1">
        <f t="shared" ref="BQ66" si="4059">BP64*$G$66</f>
        <v>0</v>
      </c>
      <c r="BR66" s="56"/>
      <c r="BS66" s="1">
        <f t="shared" ref="BS66" si="4060">BR64*$G$66</f>
        <v>0</v>
      </c>
      <c r="BT66" s="56"/>
      <c r="BU66" s="1">
        <f t="shared" ref="BU66" si="4061">BT64*$G$66</f>
        <v>0</v>
      </c>
      <c r="BV66" s="56"/>
      <c r="BW66" s="1">
        <f t="shared" ref="BW66" si="4062">BV64*$G$66</f>
        <v>0</v>
      </c>
      <c r="BX66" s="56"/>
      <c r="BY66" s="1">
        <f t="shared" ref="BY66" si="4063">BX64*$G$66</f>
        <v>0</v>
      </c>
      <c r="BZ66" s="56"/>
      <c r="CA66" s="1">
        <f t="shared" ref="CA66" si="4064">BZ64*$G$66</f>
        <v>0</v>
      </c>
      <c r="CB66" s="56"/>
      <c r="CC66" s="1">
        <f t="shared" ref="CC66" si="4065">CB64*$G$66</f>
        <v>0</v>
      </c>
      <c r="CD66" s="56"/>
      <c r="CE66" s="1">
        <f t="shared" ref="CE66" si="4066">CD64*$G$66</f>
        <v>0</v>
      </c>
      <c r="CF66" s="56"/>
      <c r="CG66" s="1">
        <f t="shared" ref="CG66" si="4067">CF64*$G$66</f>
        <v>0</v>
      </c>
      <c r="CH66" s="56"/>
      <c r="CI66" s="1">
        <f t="shared" ref="CI66" si="4068">CH64*$G$66</f>
        <v>0</v>
      </c>
      <c r="CJ66" s="56"/>
      <c r="CK66" s="1">
        <f t="shared" ref="CK66" si="4069">CJ64*$G$66</f>
        <v>0</v>
      </c>
      <c r="CL66" s="56"/>
      <c r="CM66" s="1">
        <f t="shared" ref="CM66" si="4070">CL64*$G$66</f>
        <v>0</v>
      </c>
      <c r="CN66" s="56"/>
      <c r="CO66" s="1">
        <f t="shared" ref="CO66" si="4071">CN64*$G$66</f>
        <v>0</v>
      </c>
      <c r="CP66" s="56"/>
      <c r="CQ66" s="1">
        <f t="shared" ref="CQ66" si="4072">CP64*$G$66</f>
        <v>0</v>
      </c>
      <c r="CR66" s="56"/>
      <c r="CS66" s="1">
        <f t="shared" ref="CS66" si="4073">CR64*$G$66</f>
        <v>0</v>
      </c>
      <c r="CT66" s="56"/>
      <c r="CU66" s="1">
        <f t="shared" ref="CU66" si="4074">CT64*$G$66</f>
        <v>0</v>
      </c>
      <c r="CV66" s="56"/>
      <c r="CW66" s="1">
        <f t="shared" ref="CW66" si="4075">CV64*$G$66</f>
        <v>0</v>
      </c>
      <c r="CX66" s="56"/>
      <c r="CY66" s="1">
        <f t="shared" ref="CY66" si="4076">CX64*$G$66</f>
        <v>0</v>
      </c>
      <c r="CZ66" s="56"/>
      <c r="DA66" s="1">
        <f t="shared" ref="DA66" si="4077">CZ64*$G$66</f>
        <v>0</v>
      </c>
      <c r="DB66" s="56"/>
      <c r="DC66" s="1">
        <f t="shared" ref="DC66" si="4078">DB64*$G$66</f>
        <v>0</v>
      </c>
      <c r="DD66" s="56"/>
      <c r="DE66" s="1">
        <f t="shared" ref="DE66" si="4079">DD64*$G$66</f>
        <v>0</v>
      </c>
      <c r="DF66" s="56"/>
      <c r="DG66" s="1">
        <f t="shared" ref="DG66" si="4080">DF64*$G$66</f>
        <v>0</v>
      </c>
      <c r="DH66" s="56"/>
      <c r="DI66" s="1">
        <f t="shared" ref="DI66" si="4081">DH64*$G$66</f>
        <v>0</v>
      </c>
      <c r="DJ66" s="56"/>
      <c r="DK66" s="1">
        <f t="shared" ref="DK66" si="4082">DJ64*$G$66</f>
        <v>0</v>
      </c>
      <c r="DL66" s="56"/>
      <c r="DM66" s="1">
        <f t="shared" ref="DM66" si="4083">DL64*$G$66</f>
        <v>0</v>
      </c>
      <c r="DN66" s="56"/>
      <c r="DO66" s="1">
        <f t="shared" ref="DO66" si="4084">DN64*$G$66</f>
        <v>0</v>
      </c>
      <c r="DP66" s="56"/>
      <c r="DQ66" s="1">
        <f t="shared" ref="DQ66" si="4085">DP64*$G$66</f>
        <v>0</v>
      </c>
      <c r="DR66" s="56"/>
      <c r="DS66" s="1">
        <f t="shared" ref="DS66" si="4086">DR64*$G$66</f>
        <v>0</v>
      </c>
      <c r="DT66" s="56"/>
      <c r="DU66" s="1">
        <f t="shared" ref="DU66" si="4087">DT64*$G$66</f>
        <v>0</v>
      </c>
      <c r="DV66" s="56"/>
      <c r="DW66" s="1">
        <f t="shared" ref="DW66" si="4088">DV64*$G$66</f>
        <v>0</v>
      </c>
      <c r="DX66" s="56"/>
      <c r="DY66" s="1">
        <f t="shared" ref="DY66" si="4089">DX64*$G$66</f>
        <v>0</v>
      </c>
      <c r="DZ66" s="56"/>
      <c r="EA66" s="1">
        <f t="shared" ref="EA66" si="4090">DZ64*$G$66</f>
        <v>0</v>
      </c>
      <c r="EB66" s="56"/>
      <c r="EC66" s="1">
        <f t="shared" ref="EC66" si="4091">EB64*$G$66</f>
        <v>0</v>
      </c>
      <c r="ED66" s="56"/>
      <c r="EE66" s="1">
        <f t="shared" ref="EE66" si="4092">ED64*$G$66</f>
        <v>0</v>
      </c>
      <c r="EF66" s="56"/>
      <c r="EG66" s="1">
        <f t="shared" ref="EG66" si="4093">EF64*$G$66</f>
        <v>0</v>
      </c>
      <c r="EH66" s="56"/>
      <c r="EI66" s="1">
        <f t="shared" ref="EI66" si="4094">EH64*$G$66</f>
        <v>0</v>
      </c>
      <c r="EJ66" s="56"/>
      <c r="EK66" s="1">
        <f t="shared" ref="EK66" si="4095">EJ64*$G$66</f>
        <v>0</v>
      </c>
      <c r="EL66" s="56"/>
      <c r="EM66" s="1">
        <f t="shared" ref="EM66" si="4096">EL64*$G$66</f>
        <v>0</v>
      </c>
      <c r="EN66" s="56"/>
      <c r="EO66" s="1">
        <f t="shared" ref="EO66" si="4097">EN64*$G$66</f>
        <v>0</v>
      </c>
      <c r="EP66" s="56"/>
      <c r="EQ66" s="1">
        <f t="shared" ref="EQ66" si="4098">EP64*$G$66</f>
        <v>0</v>
      </c>
      <c r="ER66" s="56"/>
      <c r="ES66" s="1">
        <f t="shared" ref="ES66" si="4099">ER64*$G$66</f>
        <v>0</v>
      </c>
      <c r="ET66" s="56"/>
      <c r="EU66" s="1">
        <f t="shared" ref="EU66" si="4100">ET64*$G$66</f>
        <v>0</v>
      </c>
      <c r="EV66" s="56"/>
      <c r="EW66" s="1">
        <f t="shared" ref="EW66" si="4101">EV64*$G$66</f>
        <v>0</v>
      </c>
      <c r="EX66" s="56"/>
      <c r="EY66" s="1">
        <f t="shared" ref="EY66" si="4102">EX64*$G$66</f>
        <v>0</v>
      </c>
      <c r="EZ66" s="56"/>
      <c r="FA66" s="1">
        <f t="shared" ref="FA66" si="4103">EZ64*$G$66</f>
        <v>0</v>
      </c>
      <c r="FB66" s="56"/>
      <c r="FC66" s="1">
        <f t="shared" ref="FC66" si="4104">FB64*$G$66</f>
        <v>0</v>
      </c>
      <c r="FD66" s="56"/>
      <c r="FE66" s="1">
        <f t="shared" ref="FE66" si="4105">FD64*$G$66</f>
        <v>0</v>
      </c>
      <c r="FF66" s="56"/>
      <c r="FG66" s="1">
        <f t="shared" ref="FG66" si="4106">FF64*$G$66</f>
        <v>0</v>
      </c>
      <c r="FH66" s="56"/>
      <c r="FI66" s="1">
        <f t="shared" ref="FI66" si="4107">FH64*$G$66</f>
        <v>0</v>
      </c>
      <c r="FJ66" s="56"/>
      <c r="FK66" s="1">
        <f t="shared" ref="FK66" si="4108">FJ64*$G$66</f>
        <v>0</v>
      </c>
      <c r="FL66" s="56"/>
      <c r="FM66" s="1">
        <f t="shared" ref="FM66" si="4109">FL64*$G$66</f>
        <v>0</v>
      </c>
      <c r="FN66" s="56"/>
      <c r="FO66" s="1">
        <f t="shared" ref="FO66" si="4110">FN64*$G$66</f>
        <v>0</v>
      </c>
      <c r="FP66" s="56"/>
      <c r="FQ66" s="1">
        <f t="shared" ref="FQ66" si="4111">FP64*$G$66</f>
        <v>0</v>
      </c>
    </row>
    <row r="67" spans="1:185" x14ac:dyDescent="0.35">
      <c r="A67" s="16"/>
      <c r="B67" s="16"/>
      <c r="C67" s="16"/>
      <c r="D67" s="16"/>
      <c r="E67" s="16"/>
      <c r="F67" s="16">
        <v>4</v>
      </c>
      <c r="G67" s="16"/>
      <c r="H67" s="50"/>
      <c r="I67" s="16">
        <f t="shared" ref="I67" si="4112">H64*G67</f>
        <v>0</v>
      </c>
      <c r="J67" s="56"/>
      <c r="K67" s="1">
        <f>J64*$G$67</f>
        <v>0</v>
      </c>
      <c r="L67" s="56"/>
      <c r="M67" s="1">
        <f t="shared" ref="M67" si="4113">L64*$G$67</f>
        <v>0</v>
      </c>
      <c r="N67" s="56"/>
      <c r="O67" s="1">
        <f t="shared" ref="O67" si="4114">N64*$G$67</f>
        <v>0</v>
      </c>
      <c r="P67" s="56"/>
      <c r="Q67" s="1">
        <f t="shared" ref="Q67" si="4115">P64*$G$67</f>
        <v>0</v>
      </c>
      <c r="R67" s="56"/>
      <c r="S67" s="1">
        <f t="shared" ref="S67" si="4116">R64*$G$67</f>
        <v>0</v>
      </c>
      <c r="T67" s="56"/>
      <c r="U67" s="1">
        <f t="shared" ref="U67" si="4117">T64*$G$67</f>
        <v>0</v>
      </c>
      <c r="V67" s="56"/>
      <c r="W67" s="1">
        <f t="shared" ref="W67" si="4118">V64*$G$67</f>
        <v>0</v>
      </c>
      <c r="X67" s="56"/>
      <c r="Y67" s="1">
        <f t="shared" ref="Y67" si="4119">X64*$G$67</f>
        <v>0</v>
      </c>
      <c r="Z67" s="56"/>
      <c r="AA67" s="1">
        <f t="shared" ref="AA67" si="4120">Z64*$G$67</f>
        <v>0</v>
      </c>
      <c r="AB67" s="56"/>
      <c r="AC67" s="1">
        <f t="shared" ref="AC67" si="4121">AB64*$G$67</f>
        <v>0</v>
      </c>
      <c r="AD67" s="56"/>
      <c r="AE67" s="1">
        <f t="shared" ref="AE67" si="4122">AD64*$G$67</f>
        <v>0</v>
      </c>
      <c r="AF67" s="56"/>
      <c r="AG67" s="1">
        <f t="shared" ref="AG67" si="4123">AF64*$G$67</f>
        <v>0</v>
      </c>
      <c r="AH67" s="56"/>
      <c r="AI67" s="1">
        <f t="shared" ref="AI67" si="4124">AH64*$G$67</f>
        <v>0</v>
      </c>
      <c r="AJ67" s="56"/>
      <c r="AK67" s="1">
        <f t="shared" ref="AK67" si="4125">AJ64*$G$67</f>
        <v>0</v>
      </c>
      <c r="AL67" s="56"/>
      <c r="AM67" s="1">
        <f t="shared" ref="AM67" si="4126">AL64*$G$67</f>
        <v>0</v>
      </c>
      <c r="AN67" s="56"/>
      <c r="AO67" s="1">
        <f t="shared" ref="AO67" si="4127">AN64*$G$67</f>
        <v>0</v>
      </c>
      <c r="AP67" s="56"/>
      <c r="AQ67" s="1">
        <f t="shared" ref="AQ67" si="4128">AP64*$G$67</f>
        <v>0</v>
      </c>
      <c r="AR67" s="56"/>
      <c r="AS67" s="1">
        <f t="shared" ref="AS67" si="4129">AR64*$G$67</f>
        <v>0</v>
      </c>
      <c r="AT67" s="56"/>
      <c r="AU67" s="1">
        <f t="shared" ref="AU67" si="4130">AT64*$G$67</f>
        <v>0</v>
      </c>
      <c r="AV67" s="56"/>
      <c r="AW67" s="1">
        <f t="shared" ref="AW67" si="4131">AV64*$G$67</f>
        <v>0</v>
      </c>
      <c r="AX67" s="56"/>
      <c r="AY67" s="1">
        <f t="shared" ref="AY67" si="4132">AX64*$G$67</f>
        <v>0</v>
      </c>
      <c r="AZ67" s="56"/>
      <c r="BA67" s="1">
        <f t="shared" ref="BA67" si="4133">AZ64*$G$67</f>
        <v>0</v>
      </c>
      <c r="BB67" s="56"/>
      <c r="BC67" s="1">
        <f t="shared" ref="BC67" si="4134">BB64*$G$67</f>
        <v>0</v>
      </c>
      <c r="BD67" s="56"/>
      <c r="BE67" s="1">
        <f t="shared" ref="BE67" si="4135">BD64*$G$67</f>
        <v>0</v>
      </c>
      <c r="BF67" s="56"/>
      <c r="BG67" s="1">
        <f t="shared" ref="BG67" si="4136">BF64*$G$67</f>
        <v>0</v>
      </c>
      <c r="BH67" s="56"/>
      <c r="BI67" s="1">
        <f t="shared" ref="BI67" si="4137">BH64*$G$67</f>
        <v>0</v>
      </c>
      <c r="BJ67" s="56"/>
      <c r="BK67" s="1">
        <f t="shared" ref="BK67" si="4138">BJ64*$G$67</f>
        <v>0</v>
      </c>
      <c r="BL67" s="56"/>
      <c r="BM67" s="1">
        <f t="shared" ref="BM67" si="4139">BL64*$G$67</f>
        <v>0</v>
      </c>
      <c r="BN67" s="56"/>
      <c r="BO67" s="1">
        <f t="shared" ref="BO67" si="4140">BN64*$G$67</f>
        <v>0</v>
      </c>
      <c r="BP67" s="56"/>
      <c r="BQ67" s="1">
        <f t="shared" ref="BQ67" si="4141">BP64*$G$67</f>
        <v>0</v>
      </c>
      <c r="BR67" s="56"/>
      <c r="BS67" s="1">
        <f t="shared" ref="BS67" si="4142">BR64*$G$67</f>
        <v>0</v>
      </c>
      <c r="BT67" s="56"/>
      <c r="BU67" s="1">
        <f t="shared" ref="BU67" si="4143">BT64*$G$67</f>
        <v>0</v>
      </c>
      <c r="BV67" s="56"/>
      <c r="BW67" s="1">
        <f t="shared" ref="BW67" si="4144">BV64*$G$67</f>
        <v>0</v>
      </c>
      <c r="BX67" s="56"/>
      <c r="BY67" s="1">
        <f t="shared" ref="BY67" si="4145">BX64*$G$67</f>
        <v>0</v>
      </c>
      <c r="BZ67" s="56"/>
      <c r="CA67" s="1">
        <f t="shared" ref="CA67" si="4146">BZ64*$G$67</f>
        <v>0</v>
      </c>
      <c r="CB67" s="56"/>
      <c r="CC67" s="1">
        <f t="shared" ref="CC67" si="4147">CB64*$G$67</f>
        <v>0</v>
      </c>
      <c r="CD67" s="56"/>
      <c r="CE67" s="1">
        <f t="shared" ref="CE67" si="4148">CD64*$G$67</f>
        <v>0</v>
      </c>
      <c r="CF67" s="56"/>
      <c r="CG67" s="1">
        <f t="shared" ref="CG67" si="4149">CF64*$G$67</f>
        <v>0</v>
      </c>
      <c r="CH67" s="56"/>
      <c r="CI67" s="1">
        <f t="shared" ref="CI67" si="4150">CH64*$G$67</f>
        <v>0</v>
      </c>
      <c r="CJ67" s="56"/>
      <c r="CK67" s="1">
        <f t="shared" ref="CK67" si="4151">CJ64*$G$67</f>
        <v>0</v>
      </c>
      <c r="CL67" s="56"/>
      <c r="CM67" s="1">
        <f t="shared" ref="CM67" si="4152">CL64*$G$67</f>
        <v>0</v>
      </c>
      <c r="CN67" s="56"/>
      <c r="CO67" s="1">
        <f t="shared" ref="CO67" si="4153">CN64*$G$67</f>
        <v>0</v>
      </c>
      <c r="CP67" s="56"/>
      <c r="CQ67" s="1">
        <f t="shared" ref="CQ67" si="4154">CP64*$G$67</f>
        <v>0</v>
      </c>
      <c r="CR67" s="56"/>
      <c r="CS67" s="1">
        <f t="shared" ref="CS67" si="4155">CR64*$G$67</f>
        <v>0</v>
      </c>
      <c r="CT67" s="56"/>
      <c r="CU67" s="1">
        <f t="shared" ref="CU67" si="4156">CT64*$G$67</f>
        <v>0</v>
      </c>
      <c r="CV67" s="56"/>
      <c r="CW67" s="1">
        <f t="shared" ref="CW67" si="4157">CV64*$G$67</f>
        <v>0</v>
      </c>
      <c r="CX67" s="56"/>
      <c r="CY67" s="1">
        <f t="shared" ref="CY67" si="4158">CX64*$G$67</f>
        <v>0</v>
      </c>
      <c r="CZ67" s="56"/>
      <c r="DA67" s="1">
        <f t="shared" ref="DA67" si="4159">CZ64*$G$67</f>
        <v>0</v>
      </c>
      <c r="DB67" s="56"/>
      <c r="DC67" s="1">
        <f t="shared" ref="DC67" si="4160">DB64*$G$67</f>
        <v>0</v>
      </c>
      <c r="DD67" s="56"/>
      <c r="DE67" s="1">
        <f t="shared" ref="DE67" si="4161">DD64*$G$67</f>
        <v>0</v>
      </c>
      <c r="DF67" s="56"/>
      <c r="DG67" s="1">
        <f t="shared" ref="DG67" si="4162">DF64*$G$67</f>
        <v>0</v>
      </c>
      <c r="DH67" s="56"/>
      <c r="DI67" s="1">
        <f t="shared" ref="DI67" si="4163">DH64*$G$67</f>
        <v>0</v>
      </c>
      <c r="DJ67" s="56"/>
      <c r="DK67" s="1">
        <f t="shared" ref="DK67" si="4164">DJ64*$G$67</f>
        <v>0</v>
      </c>
      <c r="DL67" s="56"/>
      <c r="DM67" s="1">
        <f t="shared" ref="DM67" si="4165">DL64*$G$67</f>
        <v>0</v>
      </c>
      <c r="DN67" s="56"/>
      <c r="DO67" s="1">
        <f t="shared" ref="DO67" si="4166">DN64*$G$67</f>
        <v>0</v>
      </c>
      <c r="DP67" s="56"/>
      <c r="DQ67" s="1">
        <f t="shared" ref="DQ67" si="4167">DP64*$G$67</f>
        <v>0</v>
      </c>
      <c r="DR67" s="56"/>
      <c r="DS67" s="1">
        <f t="shared" ref="DS67" si="4168">DR64*$G$67</f>
        <v>0</v>
      </c>
      <c r="DT67" s="56"/>
      <c r="DU67" s="1">
        <f t="shared" ref="DU67" si="4169">DT64*$G$67</f>
        <v>0</v>
      </c>
      <c r="DV67" s="56"/>
      <c r="DW67" s="1">
        <f t="shared" ref="DW67" si="4170">DV64*$G$67</f>
        <v>0</v>
      </c>
      <c r="DX67" s="56"/>
      <c r="DY67" s="1">
        <f t="shared" ref="DY67" si="4171">DX64*$G$67</f>
        <v>0</v>
      </c>
      <c r="DZ67" s="56"/>
      <c r="EA67" s="1">
        <f t="shared" ref="EA67" si="4172">DZ64*$G$67</f>
        <v>0</v>
      </c>
      <c r="EB67" s="56"/>
      <c r="EC67" s="1">
        <f t="shared" ref="EC67" si="4173">EB64*$G$67</f>
        <v>0</v>
      </c>
      <c r="ED67" s="56"/>
      <c r="EE67" s="1">
        <f t="shared" ref="EE67" si="4174">ED64*$G$67</f>
        <v>0</v>
      </c>
      <c r="EF67" s="56"/>
      <c r="EG67" s="1">
        <f t="shared" ref="EG67" si="4175">EF64*$G$67</f>
        <v>0</v>
      </c>
      <c r="EH67" s="56"/>
      <c r="EI67" s="1">
        <f t="shared" ref="EI67" si="4176">EH64*$G$67</f>
        <v>0</v>
      </c>
      <c r="EJ67" s="56"/>
      <c r="EK67" s="1">
        <f t="shared" ref="EK67" si="4177">EJ64*$G$67</f>
        <v>0</v>
      </c>
      <c r="EL67" s="56"/>
      <c r="EM67" s="1">
        <f t="shared" ref="EM67" si="4178">EL64*$G$67</f>
        <v>0</v>
      </c>
      <c r="EN67" s="56"/>
      <c r="EO67" s="1">
        <f t="shared" ref="EO67" si="4179">EN64*$G$67</f>
        <v>0</v>
      </c>
      <c r="EP67" s="56"/>
      <c r="EQ67" s="1">
        <f t="shared" ref="EQ67" si="4180">EP64*$G$67</f>
        <v>0</v>
      </c>
      <c r="ER67" s="56"/>
      <c r="ES67" s="1">
        <f t="shared" ref="ES67" si="4181">ER64*$G$67</f>
        <v>0</v>
      </c>
      <c r="ET67" s="56"/>
      <c r="EU67" s="1">
        <f t="shared" ref="EU67" si="4182">ET64*$G$67</f>
        <v>0</v>
      </c>
      <c r="EV67" s="56"/>
      <c r="EW67" s="1">
        <f t="shared" ref="EW67" si="4183">EV64*$G$67</f>
        <v>0</v>
      </c>
      <c r="EX67" s="56"/>
      <c r="EY67" s="1">
        <f t="shared" ref="EY67" si="4184">EX64*$G$67</f>
        <v>0</v>
      </c>
      <c r="EZ67" s="56"/>
      <c r="FA67" s="1">
        <f t="shared" ref="FA67" si="4185">EZ64*$G$67</f>
        <v>0</v>
      </c>
      <c r="FB67" s="56"/>
      <c r="FC67" s="1">
        <f t="shared" ref="FC67" si="4186">FB64*$G$67</f>
        <v>0</v>
      </c>
      <c r="FD67" s="56"/>
      <c r="FE67" s="1">
        <f t="shared" ref="FE67" si="4187">FD64*$G$67</f>
        <v>0</v>
      </c>
      <c r="FF67" s="56"/>
      <c r="FG67" s="1">
        <f t="shared" ref="FG67" si="4188">FF64*$G$67</f>
        <v>0</v>
      </c>
      <c r="FH67" s="56"/>
      <c r="FI67" s="1">
        <f t="shared" ref="FI67" si="4189">FH64*$G$67</f>
        <v>0</v>
      </c>
      <c r="FJ67" s="56"/>
      <c r="FK67" s="1">
        <f t="shared" ref="FK67" si="4190">FJ64*$G$67</f>
        <v>0</v>
      </c>
      <c r="FL67" s="56"/>
      <c r="FM67" s="1">
        <f t="shared" ref="FM67" si="4191">FL64*$G$67</f>
        <v>0</v>
      </c>
      <c r="FN67" s="56"/>
      <c r="FO67" s="1">
        <f t="shared" ref="FO67" si="4192">FN64*$G$67</f>
        <v>0</v>
      </c>
      <c r="FP67" s="56"/>
      <c r="FQ67" s="1">
        <f t="shared" ref="FQ67" si="4193">FP64*$G$67</f>
        <v>0</v>
      </c>
    </row>
    <row r="68" spans="1:185" x14ac:dyDescent="0.35">
      <c r="A68" s="16"/>
      <c r="B68" s="16"/>
      <c r="C68" s="16"/>
      <c r="D68" s="16"/>
      <c r="E68" s="16"/>
      <c r="F68" s="16">
        <v>5</v>
      </c>
      <c r="G68" s="16"/>
      <c r="H68" s="50"/>
      <c r="I68" s="16">
        <f t="shared" ref="I68" si="4194">H64*G68</f>
        <v>0</v>
      </c>
      <c r="J68" s="56"/>
      <c r="K68" s="1">
        <f>J64*$G$68</f>
        <v>0</v>
      </c>
      <c r="L68" s="56"/>
      <c r="M68" s="1">
        <f t="shared" ref="M68" si="4195">L64*$G$68</f>
        <v>0</v>
      </c>
      <c r="N68" s="56"/>
      <c r="O68" s="1">
        <f t="shared" ref="O68" si="4196">N64*$G$68</f>
        <v>0</v>
      </c>
      <c r="P68" s="56"/>
      <c r="Q68" s="1">
        <f t="shared" ref="Q68" si="4197">P64*$G$68</f>
        <v>0</v>
      </c>
      <c r="R68" s="56"/>
      <c r="S68" s="1">
        <f t="shared" ref="S68" si="4198">R64*$G$68</f>
        <v>0</v>
      </c>
      <c r="T68" s="56"/>
      <c r="U68" s="1">
        <f t="shared" ref="U68" si="4199">T64*$G$68</f>
        <v>0</v>
      </c>
      <c r="V68" s="56"/>
      <c r="W68" s="1">
        <f t="shared" ref="W68" si="4200">V64*$G$68</f>
        <v>0</v>
      </c>
      <c r="X68" s="56"/>
      <c r="Y68" s="1">
        <f t="shared" ref="Y68" si="4201">X64*$G$68</f>
        <v>0</v>
      </c>
      <c r="Z68" s="56"/>
      <c r="AA68" s="1">
        <f t="shared" ref="AA68" si="4202">Z64*$G$68</f>
        <v>0</v>
      </c>
      <c r="AB68" s="56"/>
      <c r="AC68" s="1">
        <f t="shared" ref="AC68" si="4203">AB64*$G$68</f>
        <v>0</v>
      </c>
      <c r="AD68" s="56"/>
      <c r="AE68" s="1">
        <f t="shared" ref="AE68" si="4204">AD64*$G$68</f>
        <v>0</v>
      </c>
      <c r="AF68" s="56"/>
      <c r="AG68" s="1">
        <f t="shared" ref="AG68" si="4205">AF64*$G$68</f>
        <v>0</v>
      </c>
      <c r="AH68" s="56"/>
      <c r="AI68" s="1">
        <f t="shared" ref="AI68" si="4206">AH64*$G$68</f>
        <v>0</v>
      </c>
      <c r="AJ68" s="56"/>
      <c r="AK68" s="1">
        <f t="shared" ref="AK68" si="4207">AJ64*$G$68</f>
        <v>0</v>
      </c>
      <c r="AL68" s="56"/>
      <c r="AM68" s="1">
        <f t="shared" ref="AM68" si="4208">AL64*$G$68</f>
        <v>0</v>
      </c>
      <c r="AN68" s="56"/>
      <c r="AO68" s="1">
        <f t="shared" ref="AO68" si="4209">AN64*$G$68</f>
        <v>0</v>
      </c>
      <c r="AP68" s="56"/>
      <c r="AQ68" s="1">
        <f t="shared" ref="AQ68" si="4210">AP64*$G$68</f>
        <v>0</v>
      </c>
      <c r="AR68" s="56"/>
      <c r="AS68" s="1">
        <f t="shared" ref="AS68" si="4211">AR64*$G$68</f>
        <v>0</v>
      </c>
      <c r="AT68" s="56"/>
      <c r="AU68" s="1">
        <f t="shared" ref="AU68" si="4212">AT64*$G$68</f>
        <v>0</v>
      </c>
      <c r="AV68" s="56"/>
      <c r="AW68" s="1">
        <f t="shared" ref="AW68" si="4213">AV64*$G$68</f>
        <v>0</v>
      </c>
      <c r="AX68" s="56"/>
      <c r="AY68" s="1">
        <f t="shared" ref="AY68" si="4214">AX64*$G$68</f>
        <v>0</v>
      </c>
      <c r="AZ68" s="56"/>
      <c r="BA68" s="1">
        <f t="shared" ref="BA68" si="4215">AZ64*$G$68</f>
        <v>0</v>
      </c>
      <c r="BB68" s="56"/>
      <c r="BC68" s="1">
        <f t="shared" ref="BC68" si="4216">BB64*$G$68</f>
        <v>0</v>
      </c>
      <c r="BD68" s="56"/>
      <c r="BE68" s="1">
        <f t="shared" ref="BE68" si="4217">BD64*$G$68</f>
        <v>0</v>
      </c>
      <c r="BF68" s="56"/>
      <c r="BG68" s="1">
        <f t="shared" ref="BG68" si="4218">BF64*$G$68</f>
        <v>0</v>
      </c>
      <c r="BH68" s="56"/>
      <c r="BI68" s="1">
        <f t="shared" ref="BI68" si="4219">BH64*$G$68</f>
        <v>0</v>
      </c>
      <c r="BJ68" s="56"/>
      <c r="BK68" s="1">
        <f t="shared" ref="BK68" si="4220">BJ64*$G$68</f>
        <v>0</v>
      </c>
      <c r="BL68" s="56"/>
      <c r="BM68" s="1">
        <f t="shared" ref="BM68" si="4221">BL64*$G$68</f>
        <v>0</v>
      </c>
      <c r="BN68" s="56"/>
      <c r="BO68" s="1">
        <f t="shared" ref="BO68" si="4222">BN64*$G$68</f>
        <v>0</v>
      </c>
      <c r="BP68" s="56"/>
      <c r="BQ68" s="1">
        <f t="shared" ref="BQ68" si="4223">BP64*$G$68</f>
        <v>0</v>
      </c>
      <c r="BR68" s="56"/>
      <c r="BS68" s="1">
        <f t="shared" ref="BS68" si="4224">BR64*$G$68</f>
        <v>0</v>
      </c>
      <c r="BT68" s="56"/>
      <c r="BU68" s="1">
        <f t="shared" ref="BU68" si="4225">BT64*$G$68</f>
        <v>0</v>
      </c>
      <c r="BV68" s="56"/>
      <c r="BW68" s="1">
        <f t="shared" ref="BW68" si="4226">BV64*$G$68</f>
        <v>0</v>
      </c>
      <c r="BX68" s="56"/>
      <c r="BY68" s="1">
        <f t="shared" ref="BY68" si="4227">BX64*$G$68</f>
        <v>0</v>
      </c>
      <c r="BZ68" s="56"/>
      <c r="CA68" s="1">
        <f t="shared" ref="CA68" si="4228">BZ64*$G$68</f>
        <v>0</v>
      </c>
      <c r="CB68" s="56"/>
      <c r="CC68" s="1">
        <f t="shared" ref="CC68" si="4229">CB64*$G$68</f>
        <v>0</v>
      </c>
      <c r="CD68" s="56"/>
      <c r="CE68" s="1">
        <f t="shared" ref="CE68" si="4230">CD64*$G$68</f>
        <v>0</v>
      </c>
      <c r="CF68" s="56"/>
      <c r="CG68" s="1">
        <f t="shared" ref="CG68" si="4231">CF64*$G$68</f>
        <v>0</v>
      </c>
      <c r="CH68" s="56"/>
      <c r="CI68" s="1">
        <f t="shared" ref="CI68" si="4232">CH64*$G$68</f>
        <v>0</v>
      </c>
      <c r="CJ68" s="56"/>
      <c r="CK68" s="1">
        <f t="shared" ref="CK68" si="4233">CJ64*$G$68</f>
        <v>0</v>
      </c>
      <c r="CL68" s="56"/>
      <c r="CM68" s="1">
        <f t="shared" ref="CM68" si="4234">CL64*$G$68</f>
        <v>0</v>
      </c>
      <c r="CN68" s="56"/>
      <c r="CO68" s="1">
        <f t="shared" ref="CO68" si="4235">CN64*$G$68</f>
        <v>0</v>
      </c>
      <c r="CP68" s="56"/>
      <c r="CQ68" s="1">
        <f t="shared" ref="CQ68" si="4236">CP64*$G$68</f>
        <v>0</v>
      </c>
      <c r="CR68" s="56"/>
      <c r="CS68" s="1">
        <f t="shared" ref="CS68" si="4237">CR64*$G$68</f>
        <v>0</v>
      </c>
      <c r="CT68" s="56"/>
      <c r="CU68" s="1">
        <f t="shared" ref="CU68" si="4238">CT64*$G$68</f>
        <v>0</v>
      </c>
      <c r="CV68" s="56"/>
      <c r="CW68" s="1">
        <f t="shared" ref="CW68" si="4239">CV64*$G$68</f>
        <v>0</v>
      </c>
      <c r="CX68" s="56"/>
      <c r="CY68" s="1">
        <f t="shared" ref="CY68" si="4240">CX64*$G$68</f>
        <v>0</v>
      </c>
      <c r="CZ68" s="56"/>
      <c r="DA68" s="1">
        <f t="shared" ref="DA68" si="4241">CZ64*$G$68</f>
        <v>0</v>
      </c>
      <c r="DB68" s="56"/>
      <c r="DC68" s="1">
        <f t="shared" ref="DC68" si="4242">DB64*$G$68</f>
        <v>0</v>
      </c>
      <c r="DD68" s="56"/>
      <c r="DE68" s="1">
        <f t="shared" ref="DE68" si="4243">DD64*$G$68</f>
        <v>0</v>
      </c>
      <c r="DF68" s="56"/>
      <c r="DG68" s="1">
        <f t="shared" ref="DG68" si="4244">DF64*$G$68</f>
        <v>0</v>
      </c>
      <c r="DH68" s="56"/>
      <c r="DI68" s="1">
        <f t="shared" ref="DI68" si="4245">DH64*$G$68</f>
        <v>0</v>
      </c>
      <c r="DJ68" s="56"/>
      <c r="DK68" s="1">
        <f t="shared" ref="DK68" si="4246">DJ64*$G$68</f>
        <v>0</v>
      </c>
      <c r="DL68" s="56"/>
      <c r="DM68" s="1">
        <f t="shared" ref="DM68" si="4247">DL64*$G$68</f>
        <v>0</v>
      </c>
      <c r="DN68" s="56"/>
      <c r="DO68" s="1">
        <f t="shared" ref="DO68" si="4248">DN64*$G$68</f>
        <v>0</v>
      </c>
      <c r="DP68" s="56"/>
      <c r="DQ68" s="1">
        <f t="shared" ref="DQ68" si="4249">DP64*$G$68</f>
        <v>0</v>
      </c>
      <c r="DR68" s="56"/>
      <c r="DS68" s="1">
        <f t="shared" ref="DS68" si="4250">DR64*$G$68</f>
        <v>0</v>
      </c>
      <c r="DT68" s="56"/>
      <c r="DU68" s="1">
        <f t="shared" ref="DU68" si="4251">DT64*$G$68</f>
        <v>0</v>
      </c>
      <c r="DV68" s="56"/>
      <c r="DW68" s="1">
        <f t="shared" ref="DW68" si="4252">DV64*$G$68</f>
        <v>0</v>
      </c>
      <c r="DX68" s="56"/>
      <c r="DY68" s="1">
        <f t="shared" ref="DY68" si="4253">DX64*$G$68</f>
        <v>0</v>
      </c>
      <c r="DZ68" s="56"/>
      <c r="EA68" s="1">
        <f t="shared" ref="EA68" si="4254">DZ64*$G$68</f>
        <v>0</v>
      </c>
      <c r="EB68" s="56"/>
      <c r="EC68" s="1">
        <f t="shared" ref="EC68" si="4255">EB64*$G$68</f>
        <v>0</v>
      </c>
      <c r="ED68" s="56"/>
      <c r="EE68" s="1">
        <f t="shared" ref="EE68" si="4256">ED64*$G$68</f>
        <v>0</v>
      </c>
      <c r="EF68" s="56"/>
      <c r="EG68" s="1">
        <f t="shared" ref="EG68" si="4257">EF64*$G$68</f>
        <v>0</v>
      </c>
      <c r="EH68" s="56"/>
      <c r="EI68" s="1">
        <f t="shared" ref="EI68" si="4258">EH64*$G$68</f>
        <v>0</v>
      </c>
      <c r="EJ68" s="56"/>
      <c r="EK68" s="1">
        <f t="shared" ref="EK68" si="4259">EJ64*$G$68</f>
        <v>0</v>
      </c>
      <c r="EL68" s="56"/>
      <c r="EM68" s="1">
        <f t="shared" ref="EM68" si="4260">EL64*$G$68</f>
        <v>0</v>
      </c>
      <c r="EN68" s="56"/>
      <c r="EO68" s="1">
        <f t="shared" ref="EO68" si="4261">EN64*$G$68</f>
        <v>0</v>
      </c>
      <c r="EP68" s="56"/>
      <c r="EQ68" s="1">
        <f t="shared" ref="EQ68" si="4262">EP64*$G$68</f>
        <v>0</v>
      </c>
      <c r="ER68" s="56"/>
      <c r="ES68" s="1">
        <f t="shared" ref="ES68" si="4263">ER64*$G$68</f>
        <v>0</v>
      </c>
      <c r="ET68" s="56"/>
      <c r="EU68" s="1">
        <f t="shared" ref="EU68" si="4264">ET64*$G$68</f>
        <v>0</v>
      </c>
      <c r="EV68" s="56"/>
      <c r="EW68" s="1">
        <f t="shared" ref="EW68" si="4265">EV64*$G$68</f>
        <v>0</v>
      </c>
      <c r="EX68" s="56"/>
      <c r="EY68" s="1">
        <f t="shared" ref="EY68" si="4266">EX64*$G$68</f>
        <v>0</v>
      </c>
      <c r="EZ68" s="56"/>
      <c r="FA68" s="1">
        <f t="shared" ref="FA68" si="4267">EZ64*$G$68</f>
        <v>0</v>
      </c>
      <c r="FB68" s="56"/>
      <c r="FC68" s="1">
        <f t="shared" ref="FC68" si="4268">FB64*$G$68</f>
        <v>0</v>
      </c>
      <c r="FD68" s="56"/>
      <c r="FE68" s="1">
        <f t="shared" ref="FE68" si="4269">FD64*$G$68</f>
        <v>0</v>
      </c>
      <c r="FF68" s="56"/>
      <c r="FG68" s="1">
        <f t="shared" ref="FG68" si="4270">FF64*$G$68</f>
        <v>0</v>
      </c>
      <c r="FH68" s="56"/>
      <c r="FI68" s="1">
        <f t="shared" ref="FI68" si="4271">FH64*$G$68</f>
        <v>0</v>
      </c>
      <c r="FJ68" s="56"/>
      <c r="FK68" s="1">
        <f t="shared" ref="FK68" si="4272">FJ64*$G$68</f>
        <v>0</v>
      </c>
      <c r="FL68" s="56"/>
      <c r="FM68" s="1">
        <f t="shared" ref="FM68" si="4273">FL64*$G$68</f>
        <v>0</v>
      </c>
      <c r="FN68" s="56"/>
      <c r="FO68" s="1">
        <f t="shared" ref="FO68" si="4274">FN64*$G$68</f>
        <v>0</v>
      </c>
      <c r="FP68" s="56"/>
      <c r="FQ68" s="1">
        <f t="shared" ref="FQ68" si="4275">FP64*$G$68</f>
        <v>0</v>
      </c>
    </row>
    <row r="69" spans="1:185" x14ac:dyDescent="0.35">
      <c r="A69" s="16"/>
      <c r="B69" s="16"/>
      <c r="C69" s="16"/>
      <c r="D69" s="16"/>
      <c r="E69" s="16"/>
      <c r="F69" s="16">
        <v>6</v>
      </c>
      <c r="G69" s="16"/>
      <c r="H69" s="50"/>
      <c r="I69" s="16">
        <f t="shared" ref="I69" si="4276">H64*G69</f>
        <v>0</v>
      </c>
      <c r="J69" s="56"/>
      <c r="K69" s="1">
        <f>J64*$G$69</f>
        <v>0</v>
      </c>
      <c r="L69" s="56"/>
      <c r="M69" s="1">
        <f t="shared" ref="M69" si="4277">L64*$G$69</f>
        <v>0</v>
      </c>
      <c r="N69" s="56"/>
      <c r="O69" s="1">
        <f t="shared" ref="O69" si="4278">N64*$G$69</f>
        <v>0</v>
      </c>
      <c r="P69" s="56"/>
      <c r="Q69" s="1">
        <f t="shared" ref="Q69" si="4279">P64*$G$69</f>
        <v>0</v>
      </c>
      <c r="R69" s="56"/>
      <c r="S69" s="1">
        <f t="shared" ref="S69" si="4280">R64*$G$69</f>
        <v>0</v>
      </c>
      <c r="T69" s="56"/>
      <c r="U69" s="1">
        <f t="shared" ref="U69" si="4281">T64*$G$69</f>
        <v>0</v>
      </c>
      <c r="V69" s="56"/>
      <c r="W69" s="1">
        <f t="shared" ref="W69" si="4282">V64*$G$69</f>
        <v>0</v>
      </c>
      <c r="X69" s="56"/>
      <c r="Y69" s="1">
        <f t="shared" ref="Y69" si="4283">X64*$G$69</f>
        <v>0</v>
      </c>
      <c r="Z69" s="56"/>
      <c r="AA69" s="1">
        <f t="shared" ref="AA69" si="4284">Z64*$G$69</f>
        <v>0</v>
      </c>
      <c r="AB69" s="56"/>
      <c r="AC69" s="1">
        <f t="shared" ref="AC69" si="4285">AB64*$G$69</f>
        <v>0</v>
      </c>
      <c r="AD69" s="56"/>
      <c r="AE69" s="1">
        <f t="shared" ref="AE69" si="4286">AD64*$G$69</f>
        <v>0</v>
      </c>
      <c r="AF69" s="56"/>
      <c r="AG69" s="1">
        <f t="shared" ref="AG69" si="4287">AF64*$G$69</f>
        <v>0</v>
      </c>
      <c r="AH69" s="56"/>
      <c r="AI69" s="1">
        <f t="shared" ref="AI69" si="4288">AH64*$G$69</f>
        <v>0</v>
      </c>
      <c r="AJ69" s="56"/>
      <c r="AK69" s="1">
        <f t="shared" ref="AK69" si="4289">AJ64*$G$69</f>
        <v>0</v>
      </c>
      <c r="AL69" s="56"/>
      <c r="AM69" s="1">
        <f t="shared" ref="AM69" si="4290">AL64*$G$69</f>
        <v>0</v>
      </c>
      <c r="AN69" s="56"/>
      <c r="AO69" s="1">
        <f t="shared" ref="AO69" si="4291">AN64*$G$69</f>
        <v>0</v>
      </c>
      <c r="AP69" s="56"/>
      <c r="AQ69" s="1">
        <f t="shared" ref="AQ69" si="4292">AP64*$G$69</f>
        <v>0</v>
      </c>
      <c r="AR69" s="56"/>
      <c r="AS69" s="1">
        <f t="shared" ref="AS69" si="4293">AR64*$G$69</f>
        <v>0</v>
      </c>
      <c r="AT69" s="56"/>
      <c r="AU69" s="1">
        <f t="shared" ref="AU69" si="4294">AT64*$G$69</f>
        <v>0</v>
      </c>
      <c r="AV69" s="56"/>
      <c r="AW69" s="1">
        <f t="shared" ref="AW69" si="4295">AV64*$G$69</f>
        <v>0</v>
      </c>
      <c r="AX69" s="56"/>
      <c r="AY69" s="1">
        <f t="shared" ref="AY69" si="4296">AX64*$G$69</f>
        <v>0</v>
      </c>
      <c r="AZ69" s="56"/>
      <c r="BA69" s="1">
        <f t="shared" ref="BA69" si="4297">AZ64*$G$69</f>
        <v>0</v>
      </c>
      <c r="BB69" s="56"/>
      <c r="BC69" s="1">
        <f t="shared" ref="BC69" si="4298">BB64*$G$69</f>
        <v>0</v>
      </c>
      <c r="BD69" s="56"/>
      <c r="BE69" s="1">
        <f t="shared" ref="BE69" si="4299">BD64*$G$69</f>
        <v>0</v>
      </c>
      <c r="BF69" s="56"/>
      <c r="BG69" s="1">
        <f t="shared" ref="BG69" si="4300">BF64*$G$69</f>
        <v>0</v>
      </c>
      <c r="BH69" s="56"/>
      <c r="BI69" s="1">
        <f t="shared" ref="BI69" si="4301">BH64*$G$69</f>
        <v>0</v>
      </c>
      <c r="BJ69" s="56"/>
      <c r="BK69" s="1">
        <f t="shared" ref="BK69" si="4302">BJ64*$G$69</f>
        <v>0</v>
      </c>
      <c r="BL69" s="56"/>
      <c r="BM69" s="1">
        <f t="shared" ref="BM69" si="4303">BL64*$G$69</f>
        <v>0</v>
      </c>
      <c r="BN69" s="56"/>
      <c r="BO69" s="1">
        <f t="shared" ref="BO69" si="4304">BN64*$G$69</f>
        <v>0</v>
      </c>
      <c r="BP69" s="56"/>
      <c r="BQ69" s="1">
        <f t="shared" ref="BQ69" si="4305">BP64*$G$69</f>
        <v>0</v>
      </c>
      <c r="BR69" s="56"/>
      <c r="BS69" s="1">
        <f t="shared" ref="BS69" si="4306">BR64*$G$69</f>
        <v>0</v>
      </c>
      <c r="BT69" s="56"/>
      <c r="BU69" s="1">
        <f t="shared" ref="BU69" si="4307">BT64*$G$69</f>
        <v>0</v>
      </c>
      <c r="BV69" s="56"/>
      <c r="BW69" s="1">
        <f t="shared" ref="BW69" si="4308">BV64*$G$69</f>
        <v>0</v>
      </c>
      <c r="BX69" s="56"/>
      <c r="BY69" s="1">
        <f t="shared" ref="BY69" si="4309">BX64*$G$69</f>
        <v>0</v>
      </c>
      <c r="BZ69" s="56"/>
      <c r="CA69" s="1">
        <f t="shared" ref="CA69" si="4310">BZ64*$G$69</f>
        <v>0</v>
      </c>
      <c r="CB69" s="56"/>
      <c r="CC69" s="1">
        <f t="shared" ref="CC69" si="4311">CB64*$G$69</f>
        <v>0</v>
      </c>
      <c r="CD69" s="56"/>
      <c r="CE69" s="1">
        <f t="shared" ref="CE69" si="4312">CD64*$G$69</f>
        <v>0</v>
      </c>
      <c r="CF69" s="56"/>
      <c r="CG69" s="1">
        <f t="shared" ref="CG69" si="4313">CF64*$G$69</f>
        <v>0</v>
      </c>
      <c r="CH69" s="56"/>
      <c r="CI69" s="1">
        <f t="shared" ref="CI69" si="4314">CH64*$G$69</f>
        <v>0</v>
      </c>
      <c r="CJ69" s="56"/>
      <c r="CK69" s="1">
        <f t="shared" ref="CK69" si="4315">CJ64*$G$69</f>
        <v>0</v>
      </c>
      <c r="CL69" s="56"/>
      <c r="CM69" s="1">
        <f t="shared" ref="CM69" si="4316">CL64*$G$69</f>
        <v>0</v>
      </c>
      <c r="CN69" s="56"/>
      <c r="CO69" s="1">
        <f t="shared" ref="CO69" si="4317">CN64*$G$69</f>
        <v>0</v>
      </c>
      <c r="CP69" s="56"/>
      <c r="CQ69" s="1">
        <f t="shared" ref="CQ69" si="4318">CP64*$G$69</f>
        <v>0</v>
      </c>
      <c r="CR69" s="56"/>
      <c r="CS69" s="1">
        <f t="shared" ref="CS69" si="4319">CR64*$G$69</f>
        <v>0</v>
      </c>
      <c r="CT69" s="56"/>
      <c r="CU69" s="1">
        <f t="shared" ref="CU69" si="4320">CT64*$G$69</f>
        <v>0</v>
      </c>
      <c r="CV69" s="56"/>
      <c r="CW69" s="1">
        <f t="shared" ref="CW69" si="4321">CV64*$G$69</f>
        <v>0</v>
      </c>
      <c r="CX69" s="56"/>
      <c r="CY69" s="1">
        <f t="shared" ref="CY69" si="4322">CX64*$G$69</f>
        <v>0</v>
      </c>
      <c r="CZ69" s="56"/>
      <c r="DA69" s="1">
        <f t="shared" ref="DA69" si="4323">CZ64*$G$69</f>
        <v>0</v>
      </c>
      <c r="DB69" s="56"/>
      <c r="DC69" s="1">
        <f t="shared" ref="DC69" si="4324">DB64*$G$69</f>
        <v>0</v>
      </c>
      <c r="DD69" s="56"/>
      <c r="DE69" s="1">
        <f t="shared" ref="DE69" si="4325">DD64*$G$69</f>
        <v>0</v>
      </c>
      <c r="DF69" s="56"/>
      <c r="DG69" s="1">
        <f t="shared" ref="DG69" si="4326">DF64*$G$69</f>
        <v>0</v>
      </c>
      <c r="DH69" s="56"/>
      <c r="DI69" s="1">
        <f t="shared" ref="DI69" si="4327">DH64*$G$69</f>
        <v>0</v>
      </c>
      <c r="DJ69" s="56"/>
      <c r="DK69" s="1">
        <f t="shared" ref="DK69" si="4328">DJ64*$G$69</f>
        <v>0</v>
      </c>
      <c r="DL69" s="56"/>
      <c r="DM69" s="1">
        <f t="shared" ref="DM69" si="4329">DL64*$G$69</f>
        <v>0</v>
      </c>
      <c r="DN69" s="56"/>
      <c r="DO69" s="1">
        <f t="shared" ref="DO69" si="4330">DN64*$G$69</f>
        <v>0</v>
      </c>
      <c r="DP69" s="56"/>
      <c r="DQ69" s="1">
        <f t="shared" ref="DQ69" si="4331">DP64*$G$69</f>
        <v>0</v>
      </c>
      <c r="DR69" s="56"/>
      <c r="DS69" s="1">
        <f t="shared" ref="DS69" si="4332">DR64*$G$69</f>
        <v>0</v>
      </c>
      <c r="DT69" s="56"/>
      <c r="DU69" s="1">
        <f t="shared" ref="DU69" si="4333">DT64*$G$69</f>
        <v>0</v>
      </c>
      <c r="DV69" s="56"/>
      <c r="DW69" s="1">
        <f t="shared" ref="DW69" si="4334">DV64*$G$69</f>
        <v>0</v>
      </c>
      <c r="DX69" s="56"/>
      <c r="DY69" s="1">
        <f t="shared" ref="DY69" si="4335">DX64*$G$69</f>
        <v>0</v>
      </c>
      <c r="DZ69" s="56"/>
      <c r="EA69" s="1">
        <f t="shared" ref="EA69" si="4336">DZ64*$G$69</f>
        <v>0</v>
      </c>
      <c r="EB69" s="56"/>
      <c r="EC69" s="1">
        <f t="shared" ref="EC69" si="4337">EB64*$G$69</f>
        <v>0</v>
      </c>
      <c r="ED69" s="56"/>
      <c r="EE69" s="1">
        <f t="shared" ref="EE69" si="4338">ED64*$G$69</f>
        <v>0</v>
      </c>
      <c r="EF69" s="56"/>
      <c r="EG69" s="1">
        <f t="shared" ref="EG69" si="4339">EF64*$G$69</f>
        <v>0</v>
      </c>
      <c r="EH69" s="56"/>
      <c r="EI69" s="1">
        <f t="shared" ref="EI69" si="4340">EH64*$G$69</f>
        <v>0</v>
      </c>
      <c r="EJ69" s="56"/>
      <c r="EK69" s="1">
        <f t="shared" ref="EK69" si="4341">EJ64*$G$69</f>
        <v>0</v>
      </c>
      <c r="EL69" s="56"/>
      <c r="EM69" s="1">
        <f t="shared" ref="EM69" si="4342">EL64*$G$69</f>
        <v>0</v>
      </c>
      <c r="EN69" s="56"/>
      <c r="EO69" s="1">
        <f t="shared" ref="EO69" si="4343">EN64*$G$69</f>
        <v>0</v>
      </c>
      <c r="EP69" s="56"/>
      <c r="EQ69" s="1">
        <f t="shared" ref="EQ69" si="4344">EP64*$G$69</f>
        <v>0</v>
      </c>
      <c r="ER69" s="56"/>
      <c r="ES69" s="1">
        <f t="shared" ref="ES69" si="4345">ER64*$G$69</f>
        <v>0</v>
      </c>
      <c r="ET69" s="56"/>
      <c r="EU69" s="1">
        <f t="shared" ref="EU69" si="4346">ET64*$G$69</f>
        <v>0</v>
      </c>
      <c r="EV69" s="56"/>
      <c r="EW69" s="1">
        <f t="shared" ref="EW69" si="4347">EV64*$G$69</f>
        <v>0</v>
      </c>
      <c r="EX69" s="56"/>
      <c r="EY69" s="1">
        <f t="shared" ref="EY69" si="4348">EX64*$G$69</f>
        <v>0</v>
      </c>
      <c r="EZ69" s="56"/>
      <c r="FA69" s="1">
        <f t="shared" ref="FA69" si="4349">EZ64*$G$69</f>
        <v>0</v>
      </c>
      <c r="FB69" s="56"/>
      <c r="FC69" s="1">
        <f t="shared" ref="FC69" si="4350">FB64*$G$69</f>
        <v>0</v>
      </c>
      <c r="FD69" s="56"/>
      <c r="FE69" s="1">
        <f t="shared" ref="FE69" si="4351">FD64*$G$69</f>
        <v>0</v>
      </c>
      <c r="FF69" s="56"/>
      <c r="FG69" s="1">
        <f t="shared" ref="FG69" si="4352">FF64*$G$69</f>
        <v>0</v>
      </c>
      <c r="FH69" s="56"/>
      <c r="FI69" s="1">
        <f t="shared" ref="FI69" si="4353">FH64*$G$69</f>
        <v>0</v>
      </c>
      <c r="FJ69" s="56"/>
      <c r="FK69" s="1">
        <f t="shared" ref="FK69" si="4354">FJ64*$G$69</f>
        <v>0</v>
      </c>
      <c r="FL69" s="56"/>
      <c r="FM69" s="1">
        <f t="shared" ref="FM69" si="4355">FL64*$G$69</f>
        <v>0</v>
      </c>
      <c r="FN69" s="56"/>
      <c r="FO69" s="1">
        <f t="shared" ref="FO69" si="4356">FN64*$G$69</f>
        <v>0</v>
      </c>
      <c r="FP69" s="56"/>
      <c r="FQ69" s="1">
        <f t="shared" ref="FQ69" si="4357">FP64*$G$69</f>
        <v>0</v>
      </c>
    </row>
    <row r="70" spans="1:185" x14ac:dyDescent="0.35">
      <c r="A70" s="17"/>
      <c r="B70" s="17"/>
      <c r="C70" s="17"/>
      <c r="D70" s="17"/>
      <c r="E70" s="22"/>
      <c r="F70" s="17">
        <v>1</v>
      </c>
      <c r="G70" s="17"/>
      <c r="H70" s="51"/>
      <c r="I70" s="17">
        <f t="shared" ref="I70" si="4358">H70*G70</f>
        <v>0</v>
      </c>
      <c r="J70" s="56"/>
      <c r="K70" s="1">
        <f>J70*$G$70</f>
        <v>0</v>
      </c>
      <c r="L70" s="56"/>
      <c r="M70" s="1">
        <f t="shared" ref="M70" si="4359">L70*$G$70</f>
        <v>0</v>
      </c>
      <c r="N70" s="56"/>
      <c r="O70" s="1">
        <f t="shared" ref="O70" si="4360">N70*$G$70</f>
        <v>0</v>
      </c>
      <c r="P70" s="56"/>
      <c r="Q70" s="1">
        <f t="shared" ref="Q70" si="4361">P70*$G$70</f>
        <v>0</v>
      </c>
      <c r="R70" s="56"/>
      <c r="S70" s="1">
        <f t="shared" ref="S70" si="4362">R70*$G$70</f>
        <v>0</v>
      </c>
      <c r="T70" s="56"/>
      <c r="U70" s="1">
        <f t="shared" ref="U70" si="4363">T70*$G$70</f>
        <v>0</v>
      </c>
      <c r="V70" s="56"/>
      <c r="W70" s="1">
        <f t="shared" ref="W70" si="4364">V70*$G$70</f>
        <v>0</v>
      </c>
      <c r="X70" s="56"/>
      <c r="Y70" s="1">
        <f t="shared" ref="Y70" si="4365">X70*$G$70</f>
        <v>0</v>
      </c>
      <c r="Z70" s="56"/>
      <c r="AA70" s="1">
        <f t="shared" ref="AA70" si="4366">Z70*$G$70</f>
        <v>0</v>
      </c>
      <c r="AB70" s="56"/>
      <c r="AC70" s="1">
        <f t="shared" ref="AC70" si="4367">AB70*$G$70</f>
        <v>0</v>
      </c>
      <c r="AD70" s="56"/>
      <c r="AE70" s="1">
        <f t="shared" ref="AE70" si="4368">AD70*$G$70</f>
        <v>0</v>
      </c>
      <c r="AF70" s="56"/>
      <c r="AG70" s="1">
        <f t="shared" ref="AG70" si="4369">AF70*$G$70</f>
        <v>0</v>
      </c>
      <c r="AH70" s="56"/>
      <c r="AI70" s="1">
        <f t="shared" ref="AI70" si="4370">AH70*$G$70</f>
        <v>0</v>
      </c>
      <c r="AJ70" s="56"/>
      <c r="AK70" s="1">
        <f t="shared" ref="AK70" si="4371">AJ70*$G$70</f>
        <v>0</v>
      </c>
      <c r="AL70" s="56"/>
      <c r="AM70" s="1">
        <f t="shared" ref="AM70" si="4372">AL70*$G$70</f>
        <v>0</v>
      </c>
      <c r="AN70" s="56"/>
      <c r="AO70" s="1">
        <f t="shared" ref="AO70" si="4373">AN70*$G$70</f>
        <v>0</v>
      </c>
      <c r="AP70" s="56"/>
      <c r="AQ70" s="1">
        <f t="shared" ref="AQ70" si="4374">AP70*$G$70</f>
        <v>0</v>
      </c>
      <c r="AR70" s="56"/>
      <c r="AS70" s="1">
        <f t="shared" ref="AS70" si="4375">AR70*$G$70</f>
        <v>0</v>
      </c>
      <c r="AT70" s="56"/>
      <c r="AU70" s="1">
        <f t="shared" ref="AU70" si="4376">AT70*$G$70</f>
        <v>0</v>
      </c>
      <c r="AV70" s="56"/>
      <c r="AW70" s="1">
        <f t="shared" ref="AW70" si="4377">AV70*$G$70</f>
        <v>0</v>
      </c>
      <c r="AX70" s="56"/>
      <c r="AY70" s="1">
        <f t="shared" ref="AY70" si="4378">AX70*$G$70</f>
        <v>0</v>
      </c>
      <c r="AZ70" s="56"/>
      <c r="BA70" s="1">
        <f t="shared" ref="BA70" si="4379">AZ70*$G$70</f>
        <v>0</v>
      </c>
      <c r="BB70" s="56"/>
      <c r="BC70" s="1">
        <f t="shared" ref="BC70" si="4380">BB70*$G$70</f>
        <v>0</v>
      </c>
      <c r="BD70" s="56"/>
      <c r="BE70" s="1">
        <f t="shared" ref="BE70" si="4381">BD70*$G$70</f>
        <v>0</v>
      </c>
      <c r="BF70" s="56"/>
      <c r="BG70" s="1">
        <f t="shared" ref="BG70" si="4382">BF70*$G$70</f>
        <v>0</v>
      </c>
      <c r="BH70" s="56"/>
      <c r="BI70" s="1">
        <f t="shared" ref="BI70" si="4383">BH70*$G$70</f>
        <v>0</v>
      </c>
      <c r="BJ70" s="56"/>
      <c r="BK70" s="1">
        <f t="shared" ref="BK70" si="4384">BJ70*$G$70</f>
        <v>0</v>
      </c>
      <c r="BL70" s="56"/>
      <c r="BM70" s="1">
        <f t="shared" ref="BM70" si="4385">BL70*$G$70</f>
        <v>0</v>
      </c>
      <c r="BN70" s="56"/>
      <c r="BO70" s="1">
        <f t="shared" ref="BO70" si="4386">BN70*$G$70</f>
        <v>0</v>
      </c>
      <c r="BP70" s="56"/>
      <c r="BQ70" s="1">
        <f t="shared" ref="BQ70" si="4387">BP70*$G$70</f>
        <v>0</v>
      </c>
      <c r="BR70" s="56"/>
      <c r="BS70" s="1">
        <f t="shared" ref="BS70" si="4388">BR70*$G$70</f>
        <v>0</v>
      </c>
      <c r="BT70" s="56"/>
      <c r="BU70" s="1">
        <f t="shared" ref="BU70" si="4389">BT70*$G$70</f>
        <v>0</v>
      </c>
      <c r="BV70" s="56"/>
      <c r="BW70" s="1">
        <f t="shared" ref="BW70" si="4390">BV70*$G$70</f>
        <v>0</v>
      </c>
      <c r="BX70" s="56"/>
      <c r="BY70" s="1">
        <f t="shared" ref="BY70" si="4391">BX70*$G$70</f>
        <v>0</v>
      </c>
      <c r="BZ70" s="56"/>
      <c r="CA70" s="1">
        <f t="shared" ref="CA70" si="4392">BZ70*$G$70</f>
        <v>0</v>
      </c>
      <c r="CB70" s="56"/>
      <c r="CC70" s="1">
        <f t="shared" ref="CC70" si="4393">CB70*$G$70</f>
        <v>0</v>
      </c>
      <c r="CD70" s="56"/>
      <c r="CE70" s="1">
        <f t="shared" ref="CE70" si="4394">CD70*$G$70</f>
        <v>0</v>
      </c>
      <c r="CF70" s="56"/>
      <c r="CG70" s="1">
        <f t="shared" ref="CG70" si="4395">CF70*$G$70</f>
        <v>0</v>
      </c>
      <c r="CH70" s="56"/>
      <c r="CI70" s="1">
        <f t="shared" ref="CI70" si="4396">CH70*$G$70</f>
        <v>0</v>
      </c>
      <c r="CJ70" s="56"/>
      <c r="CK70" s="1">
        <f t="shared" ref="CK70" si="4397">CJ70*$G$70</f>
        <v>0</v>
      </c>
      <c r="CL70" s="56"/>
      <c r="CM70" s="1">
        <f t="shared" ref="CM70" si="4398">CL70*$G$70</f>
        <v>0</v>
      </c>
      <c r="CN70" s="56"/>
      <c r="CO70" s="1">
        <f t="shared" ref="CO70" si="4399">CN70*$G$70</f>
        <v>0</v>
      </c>
      <c r="CP70" s="56"/>
      <c r="CQ70" s="1">
        <f t="shared" ref="CQ70" si="4400">CP70*$G$70</f>
        <v>0</v>
      </c>
      <c r="CR70" s="56"/>
      <c r="CS70" s="1">
        <f t="shared" ref="CS70" si="4401">CR70*$G$70</f>
        <v>0</v>
      </c>
      <c r="CT70" s="56"/>
      <c r="CU70" s="1">
        <f t="shared" ref="CU70" si="4402">CT70*$G$70</f>
        <v>0</v>
      </c>
      <c r="CV70" s="56"/>
      <c r="CW70" s="1">
        <f t="shared" ref="CW70" si="4403">CV70*$G$70</f>
        <v>0</v>
      </c>
      <c r="CX70" s="56"/>
      <c r="CY70" s="1">
        <f t="shared" ref="CY70" si="4404">CX70*$G$70</f>
        <v>0</v>
      </c>
      <c r="CZ70" s="56"/>
      <c r="DA70" s="1">
        <f t="shared" ref="DA70" si="4405">CZ70*$G$70</f>
        <v>0</v>
      </c>
      <c r="DB70" s="56"/>
      <c r="DC70" s="1">
        <f t="shared" ref="DC70" si="4406">DB70*$G$70</f>
        <v>0</v>
      </c>
      <c r="DD70" s="56"/>
      <c r="DE70" s="1">
        <f t="shared" ref="DE70" si="4407">DD70*$G$70</f>
        <v>0</v>
      </c>
      <c r="DF70" s="56"/>
      <c r="DG70" s="1">
        <f t="shared" ref="DG70" si="4408">DF70*$G$70</f>
        <v>0</v>
      </c>
      <c r="DH70" s="56"/>
      <c r="DI70" s="1">
        <f t="shared" ref="DI70" si="4409">DH70*$G$70</f>
        <v>0</v>
      </c>
      <c r="DJ70" s="56"/>
      <c r="DK70" s="1">
        <f t="shared" ref="DK70" si="4410">DJ70*$G$70</f>
        <v>0</v>
      </c>
      <c r="DL70" s="56"/>
      <c r="DM70" s="1">
        <f t="shared" ref="DM70" si="4411">DL70*$G$70</f>
        <v>0</v>
      </c>
      <c r="DN70" s="56"/>
      <c r="DO70" s="1">
        <f t="shared" ref="DO70" si="4412">DN70*$G$70</f>
        <v>0</v>
      </c>
      <c r="DP70" s="56"/>
      <c r="DQ70" s="1">
        <f t="shared" ref="DQ70" si="4413">DP70*$G$70</f>
        <v>0</v>
      </c>
      <c r="DR70" s="56"/>
      <c r="DS70" s="1">
        <f t="shared" ref="DS70" si="4414">DR70*$G$70</f>
        <v>0</v>
      </c>
      <c r="DT70" s="56"/>
      <c r="DU70" s="1">
        <f t="shared" ref="DU70" si="4415">DT70*$G$70</f>
        <v>0</v>
      </c>
      <c r="DV70" s="56"/>
      <c r="DW70" s="1">
        <f t="shared" ref="DW70" si="4416">DV70*$G$70</f>
        <v>0</v>
      </c>
      <c r="DX70" s="56"/>
      <c r="DY70" s="1">
        <f t="shared" ref="DY70" si="4417">DX70*$G$70</f>
        <v>0</v>
      </c>
      <c r="DZ70" s="56"/>
      <c r="EA70" s="1">
        <f t="shared" ref="EA70" si="4418">DZ70*$G$70</f>
        <v>0</v>
      </c>
      <c r="EB70" s="56"/>
      <c r="EC70" s="1">
        <f t="shared" ref="EC70" si="4419">EB70*$G$70</f>
        <v>0</v>
      </c>
      <c r="ED70" s="56"/>
      <c r="EE70" s="1">
        <f t="shared" ref="EE70" si="4420">ED70*$G$70</f>
        <v>0</v>
      </c>
      <c r="EF70" s="56"/>
      <c r="EG70" s="1">
        <f t="shared" ref="EG70" si="4421">EF70*$G$70</f>
        <v>0</v>
      </c>
      <c r="EH70" s="56"/>
      <c r="EI70" s="1">
        <f t="shared" ref="EI70" si="4422">EH70*$G$70</f>
        <v>0</v>
      </c>
      <c r="EJ70" s="56"/>
      <c r="EK70" s="1">
        <f t="shared" ref="EK70" si="4423">EJ70*$G$70</f>
        <v>0</v>
      </c>
      <c r="EL70" s="56"/>
      <c r="EM70" s="1">
        <f t="shared" ref="EM70" si="4424">EL70*$G$70</f>
        <v>0</v>
      </c>
      <c r="EN70" s="56"/>
      <c r="EO70" s="1">
        <f t="shared" ref="EO70" si="4425">EN70*$G$70</f>
        <v>0</v>
      </c>
      <c r="EP70" s="56"/>
      <c r="EQ70" s="1">
        <f t="shared" ref="EQ70" si="4426">EP70*$G$70</f>
        <v>0</v>
      </c>
      <c r="ER70" s="56"/>
      <c r="ES70" s="1">
        <f t="shared" ref="ES70" si="4427">ER70*$G$70</f>
        <v>0</v>
      </c>
      <c r="ET70" s="56"/>
      <c r="EU70" s="1">
        <f t="shared" ref="EU70" si="4428">ET70*$G$70</f>
        <v>0</v>
      </c>
      <c r="EV70" s="56"/>
      <c r="EW70" s="1">
        <f t="shared" ref="EW70" si="4429">EV70*$G$70</f>
        <v>0</v>
      </c>
      <c r="EX70" s="56"/>
      <c r="EY70" s="1">
        <f t="shared" ref="EY70" si="4430">EX70*$G$70</f>
        <v>0</v>
      </c>
      <c r="EZ70" s="56"/>
      <c r="FA70" s="1">
        <f t="shared" ref="FA70" si="4431">EZ70*$G$70</f>
        <v>0</v>
      </c>
      <c r="FB70" s="56"/>
      <c r="FC70" s="1">
        <f t="shared" ref="FC70" si="4432">FB70*$G$70</f>
        <v>0</v>
      </c>
      <c r="FD70" s="56"/>
      <c r="FE70" s="1">
        <f t="shared" ref="FE70" si="4433">FD70*$G$70</f>
        <v>0</v>
      </c>
      <c r="FF70" s="56"/>
      <c r="FG70" s="1">
        <f t="shared" ref="FG70" si="4434">FF70*$G$70</f>
        <v>0</v>
      </c>
      <c r="FH70" s="56"/>
      <c r="FI70" s="1">
        <f t="shared" ref="FI70" si="4435">FH70*$G$70</f>
        <v>0</v>
      </c>
      <c r="FJ70" s="56"/>
      <c r="FK70" s="1">
        <f t="shared" ref="FK70" si="4436">FJ70*$G$70</f>
        <v>0</v>
      </c>
      <c r="FL70" s="56"/>
      <c r="FM70" s="1">
        <f t="shared" ref="FM70" si="4437">FL70*$G$70</f>
        <v>0</v>
      </c>
      <c r="FN70" s="56"/>
      <c r="FO70" s="1">
        <f t="shared" ref="FO70" si="4438">FN70*$G$70</f>
        <v>0</v>
      </c>
      <c r="FP70" s="56"/>
      <c r="FQ70" s="1">
        <f t="shared" ref="FQ70" si="4439">FP70*$G$70</f>
        <v>0</v>
      </c>
    </row>
    <row r="71" spans="1:185" x14ac:dyDescent="0.35">
      <c r="A71" s="17"/>
      <c r="B71" s="17"/>
      <c r="C71" s="17"/>
      <c r="D71" s="17"/>
      <c r="E71" s="22"/>
      <c r="F71" s="17">
        <v>2</v>
      </c>
      <c r="G71" s="17"/>
      <c r="H71" s="51"/>
      <c r="I71" s="17">
        <f t="shared" ref="I71" si="4440">H70*G71</f>
        <v>0</v>
      </c>
      <c r="J71" s="56"/>
      <c r="K71" s="1">
        <f>J70*$G$71</f>
        <v>0</v>
      </c>
      <c r="L71" s="56"/>
      <c r="M71" s="1">
        <f t="shared" ref="M71" si="4441">L70*$G$71</f>
        <v>0</v>
      </c>
      <c r="N71" s="56"/>
      <c r="O71" s="1">
        <f t="shared" ref="O71" si="4442">N70*$G$71</f>
        <v>0</v>
      </c>
      <c r="P71" s="56"/>
      <c r="Q71" s="1">
        <f t="shared" ref="Q71" si="4443">P70*$G$71</f>
        <v>0</v>
      </c>
      <c r="R71" s="56"/>
      <c r="S71" s="1">
        <f t="shared" ref="S71" si="4444">R70*$G$71</f>
        <v>0</v>
      </c>
      <c r="T71" s="56"/>
      <c r="U71" s="1">
        <f t="shared" ref="U71" si="4445">T70*$G$71</f>
        <v>0</v>
      </c>
      <c r="V71" s="56"/>
      <c r="W71" s="1">
        <f t="shared" ref="W71" si="4446">V70*$G$71</f>
        <v>0</v>
      </c>
      <c r="X71" s="56"/>
      <c r="Y71" s="1">
        <f t="shared" ref="Y71" si="4447">X70*$G$71</f>
        <v>0</v>
      </c>
      <c r="Z71" s="56"/>
      <c r="AA71" s="1">
        <f t="shared" ref="AA71" si="4448">Z70*$G$71</f>
        <v>0</v>
      </c>
      <c r="AB71" s="56"/>
      <c r="AC71" s="1">
        <f t="shared" ref="AC71" si="4449">AB70*$G$71</f>
        <v>0</v>
      </c>
      <c r="AD71" s="56"/>
      <c r="AE71" s="1">
        <f t="shared" ref="AE71" si="4450">AD70*$G$71</f>
        <v>0</v>
      </c>
      <c r="AF71" s="56"/>
      <c r="AG71" s="1">
        <f t="shared" ref="AG71" si="4451">AF70*$G$71</f>
        <v>0</v>
      </c>
      <c r="AH71" s="56"/>
      <c r="AI71" s="1">
        <f t="shared" ref="AI71" si="4452">AH70*$G$71</f>
        <v>0</v>
      </c>
      <c r="AJ71" s="56"/>
      <c r="AK71" s="1">
        <f t="shared" ref="AK71" si="4453">AJ70*$G$71</f>
        <v>0</v>
      </c>
      <c r="AL71" s="56"/>
      <c r="AM71" s="1">
        <f t="shared" ref="AM71" si="4454">AL70*$G$71</f>
        <v>0</v>
      </c>
      <c r="AN71" s="56"/>
      <c r="AO71" s="1">
        <f t="shared" ref="AO71" si="4455">AN70*$G$71</f>
        <v>0</v>
      </c>
      <c r="AP71" s="56"/>
      <c r="AQ71" s="1">
        <f t="shared" ref="AQ71" si="4456">AP70*$G$71</f>
        <v>0</v>
      </c>
      <c r="AR71" s="56"/>
      <c r="AS71" s="1">
        <f t="shared" ref="AS71" si="4457">AR70*$G$71</f>
        <v>0</v>
      </c>
      <c r="AT71" s="56"/>
      <c r="AU71" s="1">
        <f t="shared" ref="AU71" si="4458">AT70*$G$71</f>
        <v>0</v>
      </c>
      <c r="AV71" s="56"/>
      <c r="AW71" s="1">
        <f t="shared" ref="AW71" si="4459">AV70*$G$71</f>
        <v>0</v>
      </c>
      <c r="AX71" s="56"/>
      <c r="AY71" s="1">
        <f t="shared" ref="AY71" si="4460">AX70*$G$71</f>
        <v>0</v>
      </c>
      <c r="AZ71" s="56"/>
      <c r="BA71" s="1">
        <f t="shared" ref="BA71" si="4461">AZ70*$G$71</f>
        <v>0</v>
      </c>
      <c r="BB71" s="56"/>
      <c r="BC71" s="1">
        <f t="shared" ref="BC71" si="4462">BB70*$G$71</f>
        <v>0</v>
      </c>
      <c r="BD71" s="56"/>
      <c r="BE71" s="1">
        <f t="shared" ref="BE71" si="4463">BD70*$G$71</f>
        <v>0</v>
      </c>
      <c r="BF71" s="56"/>
      <c r="BG71" s="1">
        <f t="shared" ref="BG71" si="4464">BF70*$G$71</f>
        <v>0</v>
      </c>
      <c r="BH71" s="56"/>
      <c r="BI71" s="1">
        <f t="shared" ref="BI71" si="4465">BH70*$G$71</f>
        <v>0</v>
      </c>
      <c r="BJ71" s="56"/>
      <c r="BK71" s="1">
        <f t="shared" ref="BK71" si="4466">BJ70*$G$71</f>
        <v>0</v>
      </c>
      <c r="BL71" s="56"/>
      <c r="BM71" s="1">
        <f t="shared" ref="BM71" si="4467">BL70*$G$71</f>
        <v>0</v>
      </c>
      <c r="BN71" s="56"/>
      <c r="BO71" s="1">
        <f t="shared" ref="BO71" si="4468">BN70*$G$71</f>
        <v>0</v>
      </c>
      <c r="BP71" s="56"/>
      <c r="BQ71" s="1">
        <f t="shared" ref="BQ71" si="4469">BP70*$G$71</f>
        <v>0</v>
      </c>
      <c r="BR71" s="56"/>
      <c r="BS71" s="1">
        <f t="shared" ref="BS71" si="4470">BR70*$G$71</f>
        <v>0</v>
      </c>
      <c r="BT71" s="56"/>
      <c r="BU71" s="1">
        <f t="shared" ref="BU71" si="4471">BT70*$G$71</f>
        <v>0</v>
      </c>
      <c r="BV71" s="56"/>
      <c r="BW71" s="1">
        <f t="shared" ref="BW71" si="4472">BV70*$G$71</f>
        <v>0</v>
      </c>
      <c r="BX71" s="56"/>
      <c r="BY71" s="1">
        <f t="shared" ref="BY71" si="4473">BX70*$G$71</f>
        <v>0</v>
      </c>
      <c r="BZ71" s="56"/>
      <c r="CA71" s="1">
        <f t="shared" ref="CA71" si="4474">BZ70*$G$71</f>
        <v>0</v>
      </c>
      <c r="CB71" s="56"/>
      <c r="CC71" s="1">
        <f t="shared" ref="CC71" si="4475">CB70*$G$71</f>
        <v>0</v>
      </c>
      <c r="CD71" s="56"/>
      <c r="CE71" s="1">
        <f t="shared" ref="CE71" si="4476">CD70*$G$71</f>
        <v>0</v>
      </c>
      <c r="CF71" s="56"/>
      <c r="CG71" s="1">
        <f t="shared" ref="CG71" si="4477">CF70*$G$71</f>
        <v>0</v>
      </c>
      <c r="CH71" s="56"/>
      <c r="CI71" s="1">
        <f t="shared" ref="CI71" si="4478">CH70*$G$71</f>
        <v>0</v>
      </c>
      <c r="CJ71" s="56"/>
      <c r="CK71" s="1">
        <f t="shared" ref="CK71" si="4479">CJ70*$G$71</f>
        <v>0</v>
      </c>
      <c r="CL71" s="56"/>
      <c r="CM71" s="1">
        <f t="shared" ref="CM71" si="4480">CL70*$G$71</f>
        <v>0</v>
      </c>
      <c r="CN71" s="56"/>
      <c r="CO71" s="1">
        <f t="shared" ref="CO71" si="4481">CN70*$G$71</f>
        <v>0</v>
      </c>
      <c r="CP71" s="56"/>
      <c r="CQ71" s="1">
        <f t="shared" ref="CQ71" si="4482">CP70*$G$71</f>
        <v>0</v>
      </c>
      <c r="CR71" s="56"/>
      <c r="CS71" s="1">
        <f t="shared" ref="CS71" si="4483">CR70*$G$71</f>
        <v>0</v>
      </c>
      <c r="CT71" s="56"/>
      <c r="CU71" s="1">
        <f t="shared" ref="CU71" si="4484">CT70*$G$71</f>
        <v>0</v>
      </c>
      <c r="CV71" s="56"/>
      <c r="CW71" s="1">
        <f t="shared" ref="CW71" si="4485">CV70*$G$71</f>
        <v>0</v>
      </c>
      <c r="CX71" s="56"/>
      <c r="CY71" s="1">
        <f t="shared" ref="CY71" si="4486">CX70*$G$71</f>
        <v>0</v>
      </c>
      <c r="CZ71" s="56"/>
      <c r="DA71" s="1">
        <f t="shared" ref="DA71" si="4487">CZ70*$G$71</f>
        <v>0</v>
      </c>
      <c r="DB71" s="56"/>
      <c r="DC71" s="1">
        <f t="shared" ref="DC71" si="4488">DB70*$G$71</f>
        <v>0</v>
      </c>
      <c r="DD71" s="56"/>
      <c r="DE71" s="1">
        <f t="shared" ref="DE71" si="4489">DD70*$G$71</f>
        <v>0</v>
      </c>
      <c r="DF71" s="56"/>
      <c r="DG71" s="1">
        <f t="shared" ref="DG71" si="4490">DF70*$G$71</f>
        <v>0</v>
      </c>
      <c r="DH71" s="56"/>
      <c r="DI71" s="1">
        <f t="shared" ref="DI71" si="4491">DH70*$G$71</f>
        <v>0</v>
      </c>
      <c r="DJ71" s="56"/>
      <c r="DK71" s="1">
        <f t="shared" ref="DK71" si="4492">DJ70*$G$71</f>
        <v>0</v>
      </c>
      <c r="DL71" s="56"/>
      <c r="DM71" s="1">
        <f t="shared" ref="DM71" si="4493">DL70*$G$71</f>
        <v>0</v>
      </c>
      <c r="DN71" s="56"/>
      <c r="DO71" s="1">
        <f t="shared" ref="DO71" si="4494">DN70*$G$71</f>
        <v>0</v>
      </c>
      <c r="DP71" s="56"/>
      <c r="DQ71" s="1">
        <f t="shared" ref="DQ71" si="4495">DP70*$G$71</f>
        <v>0</v>
      </c>
      <c r="DR71" s="56"/>
      <c r="DS71" s="1">
        <f t="shared" ref="DS71" si="4496">DR70*$G$71</f>
        <v>0</v>
      </c>
      <c r="DT71" s="56"/>
      <c r="DU71" s="1">
        <f t="shared" ref="DU71" si="4497">DT70*$G$71</f>
        <v>0</v>
      </c>
      <c r="DV71" s="56"/>
      <c r="DW71" s="1">
        <f t="shared" ref="DW71" si="4498">DV70*$G$71</f>
        <v>0</v>
      </c>
      <c r="DX71" s="56"/>
      <c r="DY71" s="1">
        <f t="shared" ref="DY71" si="4499">DX70*$G$71</f>
        <v>0</v>
      </c>
      <c r="DZ71" s="56"/>
      <c r="EA71" s="1">
        <f t="shared" ref="EA71" si="4500">DZ70*$G$71</f>
        <v>0</v>
      </c>
      <c r="EB71" s="56"/>
      <c r="EC71" s="1">
        <f t="shared" ref="EC71" si="4501">EB70*$G$71</f>
        <v>0</v>
      </c>
      <c r="ED71" s="56"/>
      <c r="EE71" s="1">
        <f t="shared" ref="EE71" si="4502">ED70*$G$71</f>
        <v>0</v>
      </c>
      <c r="EF71" s="56"/>
      <c r="EG71" s="1">
        <f t="shared" ref="EG71" si="4503">EF70*$G$71</f>
        <v>0</v>
      </c>
      <c r="EH71" s="56"/>
      <c r="EI71" s="1">
        <f t="shared" ref="EI71" si="4504">EH70*$G$71</f>
        <v>0</v>
      </c>
      <c r="EJ71" s="56"/>
      <c r="EK71" s="1">
        <f t="shared" ref="EK71" si="4505">EJ70*$G$71</f>
        <v>0</v>
      </c>
      <c r="EL71" s="56"/>
      <c r="EM71" s="1">
        <f t="shared" ref="EM71" si="4506">EL70*$G$71</f>
        <v>0</v>
      </c>
      <c r="EN71" s="56"/>
      <c r="EO71" s="1">
        <f t="shared" ref="EO71" si="4507">EN70*$G$71</f>
        <v>0</v>
      </c>
      <c r="EP71" s="56"/>
      <c r="EQ71" s="1">
        <f t="shared" ref="EQ71" si="4508">EP70*$G$71</f>
        <v>0</v>
      </c>
      <c r="ER71" s="56"/>
      <c r="ES71" s="1">
        <f t="shared" ref="ES71" si="4509">ER70*$G$71</f>
        <v>0</v>
      </c>
      <c r="ET71" s="56"/>
      <c r="EU71" s="1">
        <f t="shared" ref="EU71" si="4510">ET70*$G$71</f>
        <v>0</v>
      </c>
      <c r="EV71" s="56"/>
      <c r="EW71" s="1">
        <f t="shared" ref="EW71" si="4511">EV70*$G$71</f>
        <v>0</v>
      </c>
      <c r="EX71" s="56"/>
      <c r="EY71" s="1">
        <f t="shared" ref="EY71" si="4512">EX70*$G$71</f>
        <v>0</v>
      </c>
      <c r="EZ71" s="56"/>
      <c r="FA71" s="1">
        <f t="shared" ref="FA71" si="4513">EZ70*$G$71</f>
        <v>0</v>
      </c>
      <c r="FB71" s="56"/>
      <c r="FC71" s="1">
        <f t="shared" ref="FC71" si="4514">FB70*$G$71</f>
        <v>0</v>
      </c>
      <c r="FD71" s="56"/>
      <c r="FE71" s="1">
        <f t="shared" ref="FE71" si="4515">FD70*$G$71</f>
        <v>0</v>
      </c>
      <c r="FF71" s="56"/>
      <c r="FG71" s="1">
        <f t="shared" ref="FG71" si="4516">FF70*$G$71</f>
        <v>0</v>
      </c>
      <c r="FH71" s="56"/>
      <c r="FI71" s="1">
        <f t="shared" ref="FI71" si="4517">FH70*$G$71</f>
        <v>0</v>
      </c>
      <c r="FJ71" s="56"/>
      <c r="FK71" s="1">
        <f t="shared" ref="FK71" si="4518">FJ70*$G$71</f>
        <v>0</v>
      </c>
      <c r="FL71" s="56"/>
      <c r="FM71" s="1">
        <f t="shared" ref="FM71" si="4519">FL70*$G$71</f>
        <v>0</v>
      </c>
      <c r="FN71" s="56"/>
      <c r="FO71" s="1">
        <f t="shared" ref="FO71" si="4520">FN70*$G$71</f>
        <v>0</v>
      </c>
      <c r="FP71" s="56"/>
      <c r="FQ71" s="1">
        <f t="shared" ref="FQ71" si="4521">FP70*$G$71</f>
        <v>0</v>
      </c>
    </row>
    <row r="72" spans="1:185" x14ac:dyDescent="0.35">
      <c r="A72" s="17"/>
      <c r="B72" s="17"/>
      <c r="C72" s="17"/>
      <c r="D72" s="17"/>
      <c r="E72" s="22"/>
      <c r="F72" s="17">
        <v>3</v>
      </c>
      <c r="G72" s="17"/>
      <c r="H72" s="51"/>
      <c r="I72" s="17">
        <f t="shared" ref="I72" si="4522">H70*G72</f>
        <v>0</v>
      </c>
      <c r="J72" s="56"/>
      <c r="K72" s="1">
        <f>J70*$G$72</f>
        <v>0</v>
      </c>
      <c r="L72" s="56"/>
      <c r="M72" s="1">
        <f t="shared" ref="M72" si="4523">L70*$G$72</f>
        <v>0</v>
      </c>
      <c r="N72" s="56"/>
      <c r="O72" s="1">
        <f t="shared" ref="O72" si="4524">N70*$G$72</f>
        <v>0</v>
      </c>
      <c r="P72" s="56"/>
      <c r="Q72" s="1">
        <f t="shared" ref="Q72" si="4525">P70*$G$72</f>
        <v>0</v>
      </c>
      <c r="R72" s="56"/>
      <c r="S72" s="1">
        <f t="shared" ref="S72" si="4526">R70*$G$72</f>
        <v>0</v>
      </c>
      <c r="T72" s="56"/>
      <c r="U72" s="1">
        <f t="shared" ref="U72" si="4527">T70*$G$72</f>
        <v>0</v>
      </c>
      <c r="V72" s="56"/>
      <c r="W72" s="1">
        <f t="shared" ref="W72" si="4528">V70*$G$72</f>
        <v>0</v>
      </c>
      <c r="X72" s="56"/>
      <c r="Y72" s="1">
        <f t="shared" ref="Y72" si="4529">X70*$G$72</f>
        <v>0</v>
      </c>
      <c r="Z72" s="56"/>
      <c r="AA72" s="1">
        <f t="shared" ref="AA72" si="4530">Z70*$G$72</f>
        <v>0</v>
      </c>
      <c r="AB72" s="56"/>
      <c r="AC72" s="1">
        <f t="shared" ref="AC72" si="4531">AB70*$G$72</f>
        <v>0</v>
      </c>
      <c r="AD72" s="56"/>
      <c r="AE72" s="1">
        <f t="shared" ref="AE72" si="4532">AD70*$G$72</f>
        <v>0</v>
      </c>
      <c r="AF72" s="56"/>
      <c r="AG72" s="1">
        <f t="shared" ref="AG72" si="4533">AF70*$G$72</f>
        <v>0</v>
      </c>
      <c r="AH72" s="56"/>
      <c r="AI72" s="1">
        <f t="shared" ref="AI72" si="4534">AH70*$G$72</f>
        <v>0</v>
      </c>
      <c r="AJ72" s="56"/>
      <c r="AK72" s="1">
        <f t="shared" ref="AK72" si="4535">AJ70*$G$72</f>
        <v>0</v>
      </c>
      <c r="AL72" s="56"/>
      <c r="AM72" s="1">
        <f t="shared" ref="AM72" si="4536">AL70*$G$72</f>
        <v>0</v>
      </c>
      <c r="AN72" s="56"/>
      <c r="AO72" s="1">
        <f t="shared" ref="AO72" si="4537">AN70*$G$72</f>
        <v>0</v>
      </c>
      <c r="AP72" s="56"/>
      <c r="AQ72" s="1">
        <f t="shared" ref="AQ72" si="4538">AP70*$G$72</f>
        <v>0</v>
      </c>
      <c r="AR72" s="56"/>
      <c r="AS72" s="1">
        <f t="shared" ref="AS72" si="4539">AR70*$G$72</f>
        <v>0</v>
      </c>
      <c r="AT72" s="56"/>
      <c r="AU72" s="1">
        <f t="shared" ref="AU72" si="4540">AT70*$G$72</f>
        <v>0</v>
      </c>
      <c r="AV72" s="56"/>
      <c r="AW72" s="1">
        <f t="shared" ref="AW72" si="4541">AV70*$G$72</f>
        <v>0</v>
      </c>
      <c r="AX72" s="56"/>
      <c r="AY72" s="1">
        <f t="shared" ref="AY72" si="4542">AX70*$G$72</f>
        <v>0</v>
      </c>
      <c r="AZ72" s="56"/>
      <c r="BA72" s="1">
        <f t="shared" ref="BA72" si="4543">AZ70*$G$72</f>
        <v>0</v>
      </c>
      <c r="BB72" s="56"/>
      <c r="BC72" s="1">
        <f t="shared" ref="BC72" si="4544">BB70*$G$72</f>
        <v>0</v>
      </c>
      <c r="BD72" s="56"/>
      <c r="BE72" s="1">
        <f t="shared" ref="BE72" si="4545">BD70*$G$72</f>
        <v>0</v>
      </c>
      <c r="BF72" s="56"/>
      <c r="BG72" s="1">
        <f t="shared" ref="BG72" si="4546">BF70*$G$72</f>
        <v>0</v>
      </c>
      <c r="BH72" s="56"/>
      <c r="BI72" s="1">
        <f t="shared" ref="BI72" si="4547">BH70*$G$72</f>
        <v>0</v>
      </c>
      <c r="BJ72" s="56"/>
      <c r="BK72" s="1">
        <f t="shared" ref="BK72" si="4548">BJ70*$G$72</f>
        <v>0</v>
      </c>
      <c r="BL72" s="56"/>
      <c r="BM72" s="1">
        <f t="shared" ref="BM72" si="4549">BL70*$G$72</f>
        <v>0</v>
      </c>
      <c r="BN72" s="56"/>
      <c r="BO72" s="1">
        <f t="shared" ref="BO72" si="4550">BN70*$G$72</f>
        <v>0</v>
      </c>
      <c r="BP72" s="56"/>
      <c r="BQ72" s="1">
        <f t="shared" ref="BQ72" si="4551">BP70*$G$72</f>
        <v>0</v>
      </c>
      <c r="BR72" s="56"/>
      <c r="BS72" s="1">
        <f t="shared" ref="BS72" si="4552">BR70*$G$72</f>
        <v>0</v>
      </c>
      <c r="BT72" s="56"/>
      <c r="BU72" s="1">
        <f t="shared" ref="BU72" si="4553">BT70*$G$72</f>
        <v>0</v>
      </c>
      <c r="BV72" s="56"/>
      <c r="BW72" s="1">
        <f t="shared" ref="BW72" si="4554">BV70*$G$72</f>
        <v>0</v>
      </c>
      <c r="BX72" s="56"/>
      <c r="BY72" s="1">
        <f t="shared" ref="BY72" si="4555">BX70*$G$72</f>
        <v>0</v>
      </c>
      <c r="BZ72" s="56"/>
      <c r="CA72" s="1">
        <f t="shared" ref="CA72" si="4556">BZ70*$G$72</f>
        <v>0</v>
      </c>
      <c r="CB72" s="56"/>
      <c r="CC72" s="1">
        <f t="shared" ref="CC72" si="4557">CB70*$G$72</f>
        <v>0</v>
      </c>
      <c r="CD72" s="56"/>
      <c r="CE72" s="1">
        <f t="shared" ref="CE72" si="4558">CD70*$G$72</f>
        <v>0</v>
      </c>
      <c r="CF72" s="56"/>
      <c r="CG72" s="1">
        <f t="shared" ref="CG72" si="4559">CF70*$G$72</f>
        <v>0</v>
      </c>
      <c r="CH72" s="56"/>
      <c r="CI72" s="1">
        <f t="shared" ref="CI72" si="4560">CH70*$G$72</f>
        <v>0</v>
      </c>
      <c r="CJ72" s="56"/>
      <c r="CK72" s="1">
        <f t="shared" ref="CK72" si="4561">CJ70*$G$72</f>
        <v>0</v>
      </c>
      <c r="CL72" s="56"/>
      <c r="CM72" s="1">
        <f t="shared" ref="CM72" si="4562">CL70*$G$72</f>
        <v>0</v>
      </c>
      <c r="CN72" s="56"/>
      <c r="CO72" s="1">
        <f t="shared" ref="CO72" si="4563">CN70*$G$72</f>
        <v>0</v>
      </c>
      <c r="CP72" s="56"/>
      <c r="CQ72" s="1">
        <f t="shared" ref="CQ72" si="4564">CP70*$G$72</f>
        <v>0</v>
      </c>
      <c r="CR72" s="56"/>
      <c r="CS72" s="1">
        <f t="shared" ref="CS72" si="4565">CR70*$G$72</f>
        <v>0</v>
      </c>
      <c r="CT72" s="56"/>
      <c r="CU72" s="1">
        <f t="shared" ref="CU72" si="4566">CT70*$G$72</f>
        <v>0</v>
      </c>
      <c r="CV72" s="56"/>
      <c r="CW72" s="1">
        <f t="shared" ref="CW72" si="4567">CV70*$G$72</f>
        <v>0</v>
      </c>
      <c r="CX72" s="56"/>
      <c r="CY72" s="1">
        <f t="shared" ref="CY72" si="4568">CX70*$G$72</f>
        <v>0</v>
      </c>
      <c r="CZ72" s="56"/>
      <c r="DA72" s="1">
        <f t="shared" ref="DA72" si="4569">CZ70*$G$72</f>
        <v>0</v>
      </c>
      <c r="DB72" s="56"/>
      <c r="DC72" s="1">
        <f t="shared" ref="DC72" si="4570">DB70*$G$72</f>
        <v>0</v>
      </c>
      <c r="DD72" s="56"/>
      <c r="DE72" s="1">
        <f t="shared" ref="DE72" si="4571">DD70*$G$72</f>
        <v>0</v>
      </c>
      <c r="DF72" s="56"/>
      <c r="DG72" s="1">
        <f t="shared" ref="DG72" si="4572">DF70*$G$72</f>
        <v>0</v>
      </c>
      <c r="DH72" s="56"/>
      <c r="DI72" s="1">
        <f t="shared" ref="DI72" si="4573">DH70*$G$72</f>
        <v>0</v>
      </c>
      <c r="DJ72" s="56"/>
      <c r="DK72" s="1">
        <f t="shared" ref="DK72" si="4574">DJ70*$G$72</f>
        <v>0</v>
      </c>
      <c r="DL72" s="56"/>
      <c r="DM72" s="1">
        <f t="shared" ref="DM72" si="4575">DL70*$G$72</f>
        <v>0</v>
      </c>
      <c r="DN72" s="56"/>
      <c r="DO72" s="1">
        <f t="shared" ref="DO72" si="4576">DN70*$G$72</f>
        <v>0</v>
      </c>
      <c r="DP72" s="56"/>
      <c r="DQ72" s="1">
        <f t="shared" ref="DQ72" si="4577">DP70*$G$72</f>
        <v>0</v>
      </c>
      <c r="DR72" s="56"/>
      <c r="DS72" s="1">
        <f t="shared" ref="DS72" si="4578">DR70*$G$72</f>
        <v>0</v>
      </c>
      <c r="DT72" s="56"/>
      <c r="DU72" s="1">
        <f t="shared" ref="DU72" si="4579">DT70*$G$72</f>
        <v>0</v>
      </c>
      <c r="DV72" s="56"/>
      <c r="DW72" s="1">
        <f t="shared" ref="DW72" si="4580">DV70*$G$72</f>
        <v>0</v>
      </c>
      <c r="DX72" s="56"/>
      <c r="DY72" s="1">
        <f t="shared" ref="DY72" si="4581">DX70*$G$72</f>
        <v>0</v>
      </c>
      <c r="DZ72" s="56"/>
      <c r="EA72" s="1">
        <f t="shared" ref="EA72" si="4582">DZ70*$G$72</f>
        <v>0</v>
      </c>
      <c r="EB72" s="56"/>
      <c r="EC72" s="1">
        <f t="shared" ref="EC72" si="4583">EB70*$G$72</f>
        <v>0</v>
      </c>
      <c r="ED72" s="56"/>
      <c r="EE72" s="1">
        <f t="shared" ref="EE72" si="4584">ED70*$G$72</f>
        <v>0</v>
      </c>
      <c r="EF72" s="56"/>
      <c r="EG72" s="1">
        <f t="shared" ref="EG72" si="4585">EF70*$G$72</f>
        <v>0</v>
      </c>
      <c r="EH72" s="56"/>
      <c r="EI72" s="1">
        <f t="shared" ref="EI72" si="4586">EH70*$G$72</f>
        <v>0</v>
      </c>
      <c r="EJ72" s="56"/>
      <c r="EK72" s="1">
        <f t="shared" ref="EK72" si="4587">EJ70*$G$72</f>
        <v>0</v>
      </c>
      <c r="EL72" s="56"/>
      <c r="EM72" s="1">
        <f t="shared" ref="EM72" si="4588">EL70*$G$72</f>
        <v>0</v>
      </c>
      <c r="EN72" s="56"/>
      <c r="EO72" s="1">
        <f t="shared" ref="EO72" si="4589">EN70*$G$72</f>
        <v>0</v>
      </c>
      <c r="EP72" s="56"/>
      <c r="EQ72" s="1">
        <f t="shared" ref="EQ72" si="4590">EP70*$G$72</f>
        <v>0</v>
      </c>
      <c r="ER72" s="56"/>
      <c r="ES72" s="1">
        <f t="shared" ref="ES72" si="4591">ER70*$G$72</f>
        <v>0</v>
      </c>
      <c r="ET72" s="56"/>
      <c r="EU72" s="1">
        <f t="shared" ref="EU72" si="4592">ET70*$G$72</f>
        <v>0</v>
      </c>
      <c r="EV72" s="56"/>
      <c r="EW72" s="1">
        <f t="shared" ref="EW72" si="4593">EV70*$G$72</f>
        <v>0</v>
      </c>
      <c r="EX72" s="56"/>
      <c r="EY72" s="1">
        <f t="shared" ref="EY72" si="4594">EX70*$G$72</f>
        <v>0</v>
      </c>
      <c r="EZ72" s="56"/>
      <c r="FA72" s="1">
        <f t="shared" ref="FA72" si="4595">EZ70*$G$72</f>
        <v>0</v>
      </c>
      <c r="FB72" s="56"/>
      <c r="FC72" s="1">
        <f t="shared" ref="FC72" si="4596">FB70*$G$72</f>
        <v>0</v>
      </c>
      <c r="FD72" s="56"/>
      <c r="FE72" s="1">
        <f t="shared" ref="FE72" si="4597">FD70*$G$72</f>
        <v>0</v>
      </c>
      <c r="FF72" s="56"/>
      <c r="FG72" s="1">
        <f t="shared" ref="FG72" si="4598">FF70*$G$72</f>
        <v>0</v>
      </c>
      <c r="FH72" s="56"/>
      <c r="FI72" s="1">
        <f t="shared" ref="FI72" si="4599">FH70*$G$72</f>
        <v>0</v>
      </c>
      <c r="FJ72" s="56"/>
      <c r="FK72" s="1">
        <f t="shared" ref="FK72" si="4600">FJ70*$G$72</f>
        <v>0</v>
      </c>
      <c r="FL72" s="56"/>
      <c r="FM72" s="1">
        <f t="shared" ref="FM72" si="4601">FL70*$G$72</f>
        <v>0</v>
      </c>
      <c r="FN72" s="56"/>
      <c r="FO72" s="1">
        <f t="shared" ref="FO72" si="4602">FN70*$G$72</f>
        <v>0</v>
      </c>
      <c r="FP72" s="56"/>
      <c r="FQ72" s="1">
        <f t="shared" ref="FQ72" si="4603">FP70*$G$72</f>
        <v>0</v>
      </c>
    </row>
    <row r="73" spans="1:185" x14ac:dyDescent="0.35">
      <c r="A73" s="17"/>
      <c r="B73" s="17"/>
      <c r="C73" s="17"/>
      <c r="D73" s="17"/>
      <c r="E73" s="22"/>
      <c r="F73" s="17">
        <v>4</v>
      </c>
      <c r="G73" s="17"/>
      <c r="H73" s="51"/>
      <c r="I73" s="17">
        <f t="shared" ref="I73" si="4604">H70*G73</f>
        <v>0</v>
      </c>
      <c r="J73" s="56"/>
      <c r="K73" s="1">
        <f>J70*$G$73</f>
        <v>0</v>
      </c>
      <c r="L73" s="56"/>
      <c r="M73" s="1">
        <f t="shared" ref="M73" si="4605">L70*$G$73</f>
        <v>0</v>
      </c>
      <c r="N73" s="56"/>
      <c r="O73" s="1">
        <f t="shared" ref="O73" si="4606">N70*$G$73</f>
        <v>0</v>
      </c>
      <c r="P73" s="56"/>
      <c r="Q73" s="1">
        <f t="shared" ref="Q73" si="4607">P70*$G$73</f>
        <v>0</v>
      </c>
      <c r="R73" s="56"/>
      <c r="S73" s="1">
        <f t="shared" ref="S73" si="4608">R70*$G$73</f>
        <v>0</v>
      </c>
      <c r="T73" s="56"/>
      <c r="U73" s="1">
        <f t="shared" ref="U73" si="4609">T70*$G$73</f>
        <v>0</v>
      </c>
      <c r="V73" s="56"/>
      <c r="W73" s="1">
        <f t="shared" ref="W73" si="4610">V70*$G$73</f>
        <v>0</v>
      </c>
      <c r="X73" s="56"/>
      <c r="Y73" s="1">
        <f t="shared" ref="Y73" si="4611">X70*$G$73</f>
        <v>0</v>
      </c>
      <c r="Z73" s="56"/>
      <c r="AA73" s="1">
        <f t="shared" ref="AA73" si="4612">Z70*$G$73</f>
        <v>0</v>
      </c>
      <c r="AB73" s="56"/>
      <c r="AC73" s="1">
        <f t="shared" ref="AC73" si="4613">AB70*$G$73</f>
        <v>0</v>
      </c>
      <c r="AD73" s="56"/>
      <c r="AE73" s="1">
        <f t="shared" ref="AE73" si="4614">AD70*$G$73</f>
        <v>0</v>
      </c>
      <c r="AF73" s="56"/>
      <c r="AG73" s="1">
        <f t="shared" ref="AG73" si="4615">AF70*$G$73</f>
        <v>0</v>
      </c>
      <c r="AH73" s="56"/>
      <c r="AI73" s="1">
        <f t="shared" ref="AI73" si="4616">AH70*$G$73</f>
        <v>0</v>
      </c>
      <c r="AJ73" s="56"/>
      <c r="AK73" s="1">
        <f t="shared" ref="AK73" si="4617">AJ70*$G$73</f>
        <v>0</v>
      </c>
      <c r="AL73" s="56"/>
      <c r="AM73" s="1">
        <f t="shared" ref="AM73" si="4618">AL70*$G$73</f>
        <v>0</v>
      </c>
      <c r="AN73" s="56"/>
      <c r="AO73" s="1">
        <f t="shared" ref="AO73" si="4619">AN70*$G$73</f>
        <v>0</v>
      </c>
      <c r="AP73" s="56"/>
      <c r="AQ73" s="1">
        <f t="shared" ref="AQ73" si="4620">AP70*$G$73</f>
        <v>0</v>
      </c>
      <c r="AR73" s="56"/>
      <c r="AS73" s="1">
        <f t="shared" ref="AS73" si="4621">AR70*$G$73</f>
        <v>0</v>
      </c>
      <c r="AT73" s="56"/>
      <c r="AU73" s="1">
        <f t="shared" ref="AU73" si="4622">AT70*$G$73</f>
        <v>0</v>
      </c>
      <c r="AV73" s="56"/>
      <c r="AW73" s="1">
        <f t="shared" ref="AW73" si="4623">AV70*$G$73</f>
        <v>0</v>
      </c>
      <c r="AX73" s="56"/>
      <c r="AY73" s="1">
        <f t="shared" ref="AY73" si="4624">AX70*$G$73</f>
        <v>0</v>
      </c>
      <c r="AZ73" s="56"/>
      <c r="BA73" s="1">
        <f t="shared" ref="BA73" si="4625">AZ70*$G$73</f>
        <v>0</v>
      </c>
      <c r="BB73" s="56"/>
      <c r="BC73" s="1">
        <f t="shared" ref="BC73" si="4626">BB70*$G$73</f>
        <v>0</v>
      </c>
      <c r="BD73" s="56"/>
      <c r="BE73" s="1">
        <f t="shared" ref="BE73" si="4627">BD70*$G$73</f>
        <v>0</v>
      </c>
      <c r="BF73" s="56"/>
      <c r="BG73" s="1">
        <f t="shared" ref="BG73" si="4628">BF70*$G$73</f>
        <v>0</v>
      </c>
      <c r="BH73" s="56"/>
      <c r="BI73" s="1">
        <f t="shared" ref="BI73" si="4629">BH70*$G$73</f>
        <v>0</v>
      </c>
      <c r="BJ73" s="56"/>
      <c r="BK73" s="1">
        <f t="shared" ref="BK73" si="4630">BJ70*$G$73</f>
        <v>0</v>
      </c>
      <c r="BL73" s="56"/>
      <c r="BM73" s="1">
        <f t="shared" ref="BM73" si="4631">BL70*$G$73</f>
        <v>0</v>
      </c>
      <c r="BN73" s="56"/>
      <c r="BO73" s="1">
        <f t="shared" ref="BO73" si="4632">BN70*$G$73</f>
        <v>0</v>
      </c>
      <c r="BP73" s="56"/>
      <c r="BQ73" s="1">
        <f t="shared" ref="BQ73" si="4633">BP70*$G$73</f>
        <v>0</v>
      </c>
      <c r="BR73" s="56"/>
      <c r="BS73" s="1">
        <f t="shared" ref="BS73" si="4634">BR70*$G$73</f>
        <v>0</v>
      </c>
      <c r="BT73" s="56"/>
      <c r="BU73" s="1">
        <f t="shared" ref="BU73" si="4635">BT70*$G$73</f>
        <v>0</v>
      </c>
      <c r="BV73" s="56"/>
      <c r="BW73" s="1">
        <f t="shared" ref="BW73" si="4636">BV70*$G$73</f>
        <v>0</v>
      </c>
      <c r="BX73" s="56"/>
      <c r="BY73" s="1">
        <f t="shared" ref="BY73" si="4637">BX70*$G$73</f>
        <v>0</v>
      </c>
      <c r="BZ73" s="56"/>
      <c r="CA73" s="1">
        <f t="shared" ref="CA73" si="4638">BZ70*$G$73</f>
        <v>0</v>
      </c>
      <c r="CB73" s="56"/>
      <c r="CC73" s="1">
        <f t="shared" ref="CC73" si="4639">CB70*$G$73</f>
        <v>0</v>
      </c>
      <c r="CD73" s="56"/>
      <c r="CE73" s="1">
        <f t="shared" ref="CE73" si="4640">CD70*$G$73</f>
        <v>0</v>
      </c>
      <c r="CF73" s="56"/>
      <c r="CG73" s="1">
        <f t="shared" ref="CG73" si="4641">CF70*$G$73</f>
        <v>0</v>
      </c>
      <c r="CH73" s="56"/>
      <c r="CI73" s="1">
        <f t="shared" ref="CI73" si="4642">CH70*$G$73</f>
        <v>0</v>
      </c>
      <c r="CJ73" s="56"/>
      <c r="CK73" s="1">
        <f t="shared" ref="CK73" si="4643">CJ70*$G$73</f>
        <v>0</v>
      </c>
      <c r="CL73" s="56"/>
      <c r="CM73" s="1">
        <f t="shared" ref="CM73" si="4644">CL70*$G$73</f>
        <v>0</v>
      </c>
      <c r="CN73" s="56"/>
      <c r="CO73" s="1">
        <f t="shared" ref="CO73" si="4645">CN70*$G$73</f>
        <v>0</v>
      </c>
      <c r="CP73" s="56"/>
      <c r="CQ73" s="1">
        <f t="shared" ref="CQ73" si="4646">CP70*$G$73</f>
        <v>0</v>
      </c>
      <c r="CR73" s="56"/>
      <c r="CS73" s="1">
        <f t="shared" ref="CS73" si="4647">CR70*$G$73</f>
        <v>0</v>
      </c>
      <c r="CT73" s="56"/>
      <c r="CU73" s="1">
        <f t="shared" ref="CU73" si="4648">CT70*$G$73</f>
        <v>0</v>
      </c>
      <c r="CV73" s="56"/>
      <c r="CW73" s="1">
        <f t="shared" ref="CW73" si="4649">CV70*$G$73</f>
        <v>0</v>
      </c>
      <c r="CX73" s="56"/>
      <c r="CY73" s="1">
        <f t="shared" ref="CY73" si="4650">CX70*$G$73</f>
        <v>0</v>
      </c>
      <c r="CZ73" s="56"/>
      <c r="DA73" s="1">
        <f t="shared" ref="DA73" si="4651">CZ70*$G$73</f>
        <v>0</v>
      </c>
      <c r="DB73" s="56"/>
      <c r="DC73" s="1">
        <f t="shared" ref="DC73" si="4652">DB70*$G$73</f>
        <v>0</v>
      </c>
      <c r="DD73" s="56"/>
      <c r="DE73" s="1">
        <f t="shared" ref="DE73" si="4653">DD70*$G$73</f>
        <v>0</v>
      </c>
      <c r="DF73" s="56"/>
      <c r="DG73" s="1">
        <f t="shared" ref="DG73" si="4654">DF70*$G$73</f>
        <v>0</v>
      </c>
      <c r="DH73" s="56"/>
      <c r="DI73" s="1">
        <f t="shared" ref="DI73" si="4655">DH70*$G$73</f>
        <v>0</v>
      </c>
      <c r="DJ73" s="56"/>
      <c r="DK73" s="1">
        <f t="shared" ref="DK73" si="4656">DJ70*$G$73</f>
        <v>0</v>
      </c>
      <c r="DL73" s="56"/>
      <c r="DM73" s="1">
        <f t="shared" ref="DM73" si="4657">DL70*$G$73</f>
        <v>0</v>
      </c>
      <c r="DN73" s="56"/>
      <c r="DO73" s="1">
        <f t="shared" ref="DO73" si="4658">DN70*$G$73</f>
        <v>0</v>
      </c>
      <c r="DP73" s="56"/>
      <c r="DQ73" s="1">
        <f t="shared" ref="DQ73" si="4659">DP70*$G$73</f>
        <v>0</v>
      </c>
      <c r="DR73" s="56"/>
      <c r="DS73" s="1">
        <f t="shared" ref="DS73" si="4660">DR70*$G$73</f>
        <v>0</v>
      </c>
      <c r="DT73" s="56"/>
      <c r="DU73" s="1">
        <f t="shared" ref="DU73" si="4661">DT70*$G$73</f>
        <v>0</v>
      </c>
      <c r="DV73" s="56"/>
      <c r="DW73" s="1">
        <f t="shared" ref="DW73" si="4662">DV70*$G$73</f>
        <v>0</v>
      </c>
      <c r="DX73" s="56"/>
      <c r="DY73" s="1">
        <f t="shared" ref="DY73" si="4663">DX70*$G$73</f>
        <v>0</v>
      </c>
      <c r="DZ73" s="56"/>
      <c r="EA73" s="1">
        <f t="shared" ref="EA73" si="4664">DZ70*$G$73</f>
        <v>0</v>
      </c>
      <c r="EB73" s="56"/>
      <c r="EC73" s="1">
        <f t="shared" ref="EC73" si="4665">EB70*$G$73</f>
        <v>0</v>
      </c>
      <c r="ED73" s="56"/>
      <c r="EE73" s="1">
        <f t="shared" ref="EE73" si="4666">ED70*$G$73</f>
        <v>0</v>
      </c>
      <c r="EF73" s="56"/>
      <c r="EG73" s="1">
        <f t="shared" ref="EG73" si="4667">EF70*$G$73</f>
        <v>0</v>
      </c>
      <c r="EH73" s="56"/>
      <c r="EI73" s="1">
        <f t="shared" ref="EI73" si="4668">EH70*$G$73</f>
        <v>0</v>
      </c>
      <c r="EJ73" s="56"/>
      <c r="EK73" s="1">
        <f t="shared" ref="EK73" si="4669">EJ70*$G$73</f>
        <v>0</v>
      </c>
      <c r="EL73" s="56"/>
      <c r="EM73" s="1">
        <f t="shared" ref="EM73" si="4670">EL70*$G$73</f>
        <v>0</v>
      </c>
      <c r="EN73" s="56"/>
      <c r="EO73" s="1">
        <f t="shared" ref="EO73" si="4671">EN70*$G$73</f>
        <v>0</v>
      </c>
      <c r="EP73" s="56"/>
      <c r="EQ73" s="1">
        <f t="shared" ref="EQ73" si="4672">EP70*$G$73</f>
        <v>0</v>
      </c>
      <c r="ER73" s="56"/>
      <c r="ES73" s="1">
        <f t="shared" ref="ES73" si="4673">ER70*$G$73</f>
        <v>0</v>
      </c>
      <c r="ET73" s="56"/>
      <c r="EU73" s="1">
        <f t="shared" ref="EU73" si="4674">ET70*$G$73</f>
        <v>0</v>
      </c>
      <c r="EV73" s="56"/>
      <c r="EW73" s="1">
        <f t="shared" ref="EW73" si="4675">EV70*$G$73</f>
        <v>0</v>
      </c>
      <c r="EX73" s="56"/>
      <c r="EY73" s="1">
        <f t="shared" ref="EY73" si="4676">EX70*$G$73</f>
        <v>0</v>
      </c>
      <c r="EZ73" s="56"/>
      <c r="FA73" s="1">
        <f t="shared" ref="FA73" si="4677">EZ70*$G$73</f>
        <v>0</v>
      </c>
      <c r="FB73" s="56"/>
      <c r="FC73" s="1">
        <f t="shared" ref="FC73" si="4678">FB70*$G$73</f>
        <v>0</v>
      </c>
      <c r="FD73" s="56"/>
      <c r="FE73" s="1">
        <f t="shared" ref="FE73" si="4679">FD70*$G$73</f>
        <v>0</v>
      </c>
      <c r="FF73" s="56"/>
      <c r="FG73" s="1">
        <f t="shared" ref="FG73" si="4680">FF70*$G$73</f>
        <v>0</v>
      </c>
      <c r="FH73" s="56"/>
      <c r="FI73" s="1">
        <f t="shared" ref="FI73" si="4681">FH70*$G$73</f>
        <v>0</v>
      </c>
      <c r="FJ73" s="56"/>
      <c r="FK73" s="1">
        <f t="shared" ref="FK73" si="4682">FJ70*$G$73</f>
        <v>0</v>
      </c>
      <c r="FL73" s="56"/>
      <c r="FM73" s="1">
        <f t="shared" ref="FM73" si="4683">FL70*$G$73</f>
        <v>0</v>
      </c>
      <c r="FN73" s="56"/>
      <c r="FO73" s="1">
        <f t="shared" ref="FO73" si="4684">FN70*$G$73</f>
        <v>0</v>
      </c>
      <c r="FP73" s="56"/>
      <c r="FQ73" s="1">
        <f t="shared" ref="FQ73" si="4685">FP70*$G$73</f>
        <v>0</v>
      </c>
    </row>
    <row r="74" spans="1:185" x14ac:dyDescent="0.35">
      <c r="A74" s="17"/>
      <c r="B74" s="17"/>
      <c r="C74" s="17"/>
      <c r="D74" s="17"/>
      <c r="E74" s="22"/>
      <c r="F74" s="17">
        <v>5</v>
      </c>
      <c r="G74" s="17"/>
      <c r="H74" s="51"/>
      <c r="I74" s="17">
        <f t="shared" ref="I74" si="4686">H70*G74</f>
        <v>0</v>
      </c>
      <c r="J74" s="56"/>
      <c r="K74" s="1">
        <f>J70*$G$74</f>
        <v>0</v>
      </c>
      <c r="L74" s="56"/>
      <c r="M74" s="1">
        <f t="shared" ref="M74" si="4687">L70*$G$74</f>
        <v>0</v>
      </c>
      <c r="N74" s="56"/>
      <c r="O74" s="1">
        <f t="shared" ref="O74" si="4688">N70*$G$74</f>
        <v>0</v>
      </c>
      <c r="P74" s="56"/>
      <c r="Q74" s="1">
        <f t="shared" ref="Q74" si="4689">P70*$G$74</f>
        <v>0</v>
      </c>
      <c r="R74" s="56"/>
      <c r="S74" s="1">
        <f t="shared" ref="S74" si="4690">R70*$G$74</f>
        <v>0</v>
      </c>
      <c r="T74" s="56"/>
      <c r="U74" s="1">
        <f t="shared" ref="U74" si="4691">T70*$G$74</f>
        <v>0</v>
      </c>
      <c r="V74" s="56"/>
      <c r="W74" s="1">
        <f t="shared" ref="W74" si="4692">V70*$G$74</f>
        <v>0</v>
      </c>
      <c r="X74" s="56"/>
      <c r="Y74" s="1">
        <f t="shared" ref="Y74" si="4693">X70*$G$74</f>
        <v>0</v>
      </c>
      <c r="Z74" s="56"/>
      <c r="AA74" s="1">
        <f t="shared" ref="AA74" si="4694">Z70*$G$74</f>
        <v>0</v>
      </c>
      <c r="AB74" s="56"/>
      <c r="AC74" s="1">
        <f t="shared" ref="AC74" si="4695">AB70*$G$74</f>
        <v>0</v>
      </c>
      <c r="AD74" s="56"/>
      <c r="AE74" s="1">
        <f t="shared" ref="AE74" si="4696">AD70*$G$74</f>
        <v>0</v>
      </c>
      <c r="AF74" s="56"/>
      <c r="AG74" s="1">
        <f t="shared" ref="AG74" si="4697">AF70*$G$74</f>
        <v>0</v>
      </c>
      <c r="AH74" s="56"/>
      <c r="AI74" s="1">
        <f t="shared" ref="AI74" si="4698">AH70*$G$74</f>
        <v>0</v>
      </c>
      <c r="AJ74" s="56"/>
      <c r="AK74" s="1">
        <f t="shared" ref="AK74" si="4699">AJ70*$G$74</f>
        <v>0</v>
      </c>
      <c r="AL74" s="56"/>
      <c r="AM74" s="1">
        <f t="shared" ref="AM74" si="4700">AL70*$G$74</f>
        <v>0</v>
      </c>
      <c r="AN74" s="56"/>
      <c r="AO74" s="1">
        <f t="shared" ref="AO74" si="4701">AN70*$G$74</f>
        <v>0</v>
      </c>
      <c r="AP74" s="56"/>
      <c r="AQ74" s="1">
        <f t="shared" ref="AQ74" si="4702">AP70*$G$74</f>
        <v>0</v>
      </c>
      <c r="AR74" s="56"/>
      <c r="AS74" s="1">
        <f t="shared" ref="AS74" si="4703">AR70*$G$74</f>
        <v>0</v>
      </c>
      <c r="AT74" s="56"/>
      <c r="AU74" s="1">
        <f t="shared" ref="AU74" si="4704">AT70*$G$74</f>
        <v>0</v>
      </c>
      <c r="AV74" s="56"/>
      <c r="AW74" s="1">
        <f t="shared" ref="AW74" si="4705">AV70*$G$74</f>
        <v>0</v>
      </c>
      <c r="AX74" s="56"/>
      <c r="AY74" s="1">
        <f t="shared" ref="AY74" si="4706">AX70*$G$74</f>
        <v>0</v>
      </c>
      <c r="AZ74" s="56"/>
      <c r="BA74" s="1">
        <f t="shared" ref="BA74" si="4707">AZ70*$G$74</f>
        <v>0</v>
      </c>
      <c r="BB74" s="56"/>
      <c r="BC74" s="1">
        <f t="shared" ref="BC74" si="4708">BB70*$G$74</f>
        <v>0</v>
      </c>
      <c r="BD74" s="56"/>
      <c r="BE74" s="1">
        <f t="shared" ref="BE74" si="4709">BD70*$G$74</f>
        <v>0</v>
      </c>
      <c r="BF74" s="56"/>
      <c r="BG74" s="1">
        <f t="shared" ref="BG74" si="4710">BF70*$G$74</f>
        <v>0</v>
      </c>
      <c r="BH74" s="56"/>
      <c r="BI74" s="1">
        <f t="shared" ref="BI74" si="4711">BH70*$G$74</f>
        <v>0</v>
      </c>
      <c r="BJ74" s="56"/>
      <c r="BK74" s="1">
        <f t="shared" ref="BK74" si="4712">BJ70*$G$74</f>
        <v>0</v>
      </c>
      <c r="BL74" s="56"/>
      <c r="BM74" s="1">
        <f t="shared" ref="BM74" si="4713">BL70*$G$74</f>
        <v>0</v>
      </c>
      <c r="BN74" s="56"/>
      <c r="BO74" s="1">
        <f t="shared" ref="BO74" si="4714">BN70*$G$74</f>
        <v>0</v>
      </c>
      <c r="BP74" s="56"/>
      <c r="BQ74" s="1">
        <f t="shared" ref="BQ74" si="4715">BP70*$G$74</f>
        <v>0</v>
      </c>
      <c r="BR74" s="56"/>
      <c r="BS74" s="1">
        <f t="shared" ref="BS74" si="4716">BR70*$G$74</f>
        <v>0</v>
      </c>
      <c r="BT74" s="56"/>
      <c r="BU74" s="1">
        <f t="shared" ref="BU74" si="4717">BT70*$G$74</f>
        <v>0</v>
      </c>
      <c r="BV74" s="56"/>
      <c r="BW74" s="1">
        <f t="shared" ref="BW74" si="4718">BV70*$G$74</f>
        <v>0</v>
      </c>
      <c r="BX74" s="56"/>
      <c r="BY74" s="1">
        <f t="shared" ref="BY74" si="4719">BX70*$G$74</f>
        <v>0</v>
      </c>
      <c r="BZ74" s="56"/>
      <c r="CA74" s="1">
        <f t="shared" ref="CA74" si="4720">BZ70*$G$74</f>
        <v>0</v>
      </c>
      <c r="CB74" s="56"/>
      <c r="CC74" s="1">
        <f t="shared" ref="CC74" si="4721">CB70*$G$74</f>
        <v>0</v>
      </c>
      <c r="CD74" s="56"/>
      <c r="CE74" s="1">
        <f t="shared" ref="CE74" si="4722">CD70*$G$74</f>
        <v>0</v>
      </c>
      <c r="CF74" s="56"/>
      <c r="CG74" s="1">
        <f t="shared" ref="CG74" si="4723">CF70*$G$74</f>
        <v>0</v>
      </c>
      <c r="CH74" s="56"/>
      <c r="CI74" s="1">
        <f t="shared" ref="CI74" si="4724">CH70*$G$74</f>
        <v>0</v>
      </c>
      <c r="CJ74" s="56"/>
      <c r="CK74" s="1">
        <f t="shared" ref="CK74" si="4725">CJ70*$G$74</f>
        <v>0</v>
      </c>
      <c r="CL74" s="56"/>
      <c r="CM74" s="1">
        <f t="shared" ref="CM74" si="4726">CL70*$G$74</f>
        <v>0</v>
      </c>
      <c r="CN74" s="56"/>
      <c r="CO74" s="1">
        <f t="shared" ref="CO74" si="4727">CN70*$G$74</f>
        <v>0</v>
      </c>
      <c r="CP74" s="56"/>
      <c r="CQ74" s="1">
        <f t="shared" ref="CQ74" si="4728">CP70*$G$74</f>
        <v>0</v>
      </c>
      <c r="CR74" s="56"/>
      <c r="CS74" s="1">
        <f t="shared" ref="CS74" si="4729">CR70*$G$74</f>
        <v>0</v>
      </c>
      <c r="CT74" s="56"/>
      <c r="CU74" s="1">
        <f t="shared" ref="CU74" si="4730">CT70*$G$74</f>
        <v>0</v>
      </c>
      <c r="CV74" s="56"/>
      <c r="CW74" s="1">
        <f t="shared" ref="CW74" si="4731">CV70*$G$74</f>
        <v>0</v>
      </c>
      <c r="CX74" s="56"/>
      <c r="CY74" s="1">
        <f t="shared" ref="CY74" si="4732">CX70*$G$74</f>
        <v>0</v>
      </c>
      <c r="CZ74" s="56"/>
      <c r="DA74" s="1">
        <f t="shared" ref="DA74" si="4733">CZ70*$G$74</f>
        <v>0</v>
      </c>
      <c r="DB74" s="56"/>
      <c r="DC74" s="1">
        <f t="shared" ref="DC74" si="4734">DB70*$G$74</f>
        <v>0</v>
      </c>
      <c r="DD74" s="56"/>
      <c r="DE74" s="1">
        <f t="shared" ref="DE74" si="4735">DD70*$G$74</f>
        <v>0</v>
      </c>
      <c r="DF74" s="56"/>
      <c r="DG74" s="1">
        <f t="shared" ref="DG74" si="4736">DF70*$G$74</f>
        <v>0</v>
      </c>
      <c r="DH74" s="56"/>
      <c r="DI74" s="1">
        <f t="shared" ref="DI74" si="4737">DH70*$G$74</f>
        <v>0</v>
      </c>
      <c r="DJ74" s="56"/>
      <c r="DK74" s="1">
        <f t="shared" ref="DK74" si="4738">DJ70*$G$74</f>
        <v>0</v>
      </c>
      <c r="DL74" s="56"/>
      <c r="DM74" s="1">
        <f t="shared" ref="DM74" si="4739">DL70*$G$74</f>
        <v>0</v>
      </c>
      <c r="DN74" s="56"/>
      <c r="DO74" s="1">
        <f t="shared" ref="DO74" si="4740">DN70*$G$74</f>
        <v>0</v>
      </c>
      <c r="DP74" s="56"/>
      <c r="DQ74" s="1">
        <f t="shared" ref="DQ74" si="4741">DP70*$G$74</f>
        <v>0</v>
      </c>
      <c r="DR74" s="56"/>
      <c r="DS74" s="1">
        <f t="shared" ref="DS74" si="4742">DR70*$G$74</f>
        <v>0</v>
      </c>
      <c r="DT74" s="56"/>
      <c r="DU74" s="1">
        <f t="shared" ref="DU74" si="4743">DT70*$G$74</f>
        <v>0</v>
      </c>
      <c r="DV74" s="56"/>
      <c r="DW74" s="1">
        <f t="shared" ref="DW74" si="4744">DV70*$G$74</f>
        <v>0</v>
      </c>
      <c r="DX74" s="56"/>
      <c r="DY74" s="1">
        <f t="shared" ref="DY74" si="4745">DX70*$G$74</f>
        <v>0</v>
      </c>
      <c r="DZ74" s="56"/>
      <c r="EA74" s="1">
        <f t="shared" ref="EA74" si="4746">DZ70*$G$74</f>
        <v>0</v>
      </c>
      <c r="EB74" s="56"/>
      <c r="EC74" s="1">
        <f t="shared" ref="EC74" si="4747">EB70*$G$74</f>
        <v>0</v>
      </c>
      <c r="ED74" s="56"/>
      <c r="EE74" s="1">
        <f t="shared" ref="EE74" si="4748">ED70*$G$74</f>
        <v>0</v>
      </c>
      <c r="EF74" s="56"/>
      <c r="EG74" s="1">
        <f t="shared" ref="EG74" si="4749">EF70*$G$74</f>
        <v>0</v>
      </c>
      <c r="EH74" s="56"/>
      <c r="EI74" s="1">
        <f t="shared" ref="EI74" si="4750">EH70*$G$74</f>
        <v>0</v>
      </c>
      <c r="EJ74" s="56"/>
      <c r="EK74" s="1">
        <f t="shared" ref="EK74" si="4751">EJ70*$G$74</f>
        <v>0</v>
      </c>
      <c r="EL74" s="56"/>
      <c r="EM74" s="1">
        <f t="shared" ref="EM74" si="4752">EL70*$G$74</f>
        <v>0</v>
      </c>
      <c r="EN74" s="56"/>
      <c r="EO74" s="1">
        <f t="shared" ref="EO74" si="4753">EN70*$G$74</f>
        <v>0</v>
      </c>
      <c r="EP74" s="56"/>
      <c r="EQ74" s="1">
        <f t="shared" ref="EQ74" si="4754">EP70*$G$74</f>
        <v>0</v>
      </c>
      <c r="ER74" s="56"/>
      <c r="ES74" s="1">
        <f t="shared" ref="ES74" si="4755">ER70*$G$74</f>
        <v>0</v>
      </c>
      <c r="ET74" s="56"/>
      <c r="EU74" s="1">
        <f t="shared" ref="EU74" si="4756">ET70*$G$74</f>
        <v>0</v>
      </c>
      <c r="EV74" s="56"/>
      <c r="EW74" s="1">
        <f t="shared" ref="EW74" si="4757">EV70*$G$74</f>
        <v>0</v>
      </c>
      <c r="EX74" s="56"/>
      <c r="EY74" s="1">
        <f t="shared" ref="EY74" si="4758">EX70*$G$74</f>
        <v>0</v>
      </c>
      <c r="EZ74" s="56"/>
      <c r="FA74" s="1">
        <f t="shared" ref="FA74" si="4759">EZ70*$G$74</f>
        <v>0</v>
      </c>
      <c r="FB74" s="56"/>
      <c r="FC74" s="1">
        <f t="shared" ref="FC74" si="4760">FB70*$G$74</f>
        <v>0</v>
      </c>
      <c r="FD74" s="56"/>
      <c r="FE74" s="1">
        <f t="shared" ref="FE74" si="4761">FD70*$G$74</f>
        <v>0</v>
      </c>
      <c r="FF74" s="56"/>
      <c r="FG74" s="1">
        <f t="shared" ref="FG74" si="4762">FF70*$G$74</f>
        <v>0</v>
      </c>
      <c r="FH74" s="56"/>
      <c r="FI74" s="1">
        <f t="shared" ref="FI74" si="4763">FH70*$G$74</f>
        <v>0</v>
      </c>
      <c r="FJ74" s="56"/>
      <c r="FK74" s="1">
        <f t="shared" ref="FK74" si="4764">FJ70*$G$74</f>
        <v>0</v>
      </c>
      <c r="FL74" s="56"/>
      <c r="FM74" s="1">
        <f t="shared" ref="FM74" si="4765">FL70*$G$74</f>
        <v>0</v>
      </c>
      <c r="FN74" s="56"/>
      <c r="FO74" s="1">
        <f t="shared" ref="FO74" si="4766">FN70*$G$74</f>
        <v>0</v>
      </c>
      <c r="FP74" s="56"/>
      <c r="FQ74" s="1">
        <f t="shared" ref="FQ74" si="4767">FP70*$G$74</f>
        <v>0</v>
      </c>
    </row>
    <row r="75" spans="1:185" x14ac:dyDescent="0.35">
      <c r="A75" s="17"/>
      <c r="B75" s="17"/>
      <c r="C75" s="17"/>
      <c r="D75" s="17"/>
      <c r="E75" s="22"/>
      <c r="F75" s="17">
        <v>6</v>
      </c>
      <c r="G75" s="17"/>
      <c r="H75" s="51"/>
      <c r="I75" s="17">
        <f t="shared" ref="I75" si="4768">H70*G75</f>
        <v>0</v>
      </c>
      <c r="J75" s="56"/>
      <c r="K75" s="1">
        <f>J70*$G$75</f>
        <v>0</v>
      </c>
      <c r="L75" s="56"/>
      <c r="M75" s="1">
        <f t="shared" ref="M75" si="4769">L70*$G$75</f>
        <v>0</v>
      </c>
      <c r="N75" s="56"/>
      <c r="O75" s="1">
        <f t="shared" ref="O75" si="4770">N70*$G$75</f>
        <v>0</v>
      </c>
      <c r="P75" s="56"/>
      <c r="Q75" s="1">
        <f t="shared" ref="Q75" si="4771">P70*$G$75</f>
        <v>0</v>
      </c>
      <c r="R75" s="56"/>
      <c r="S75" s="1">
        <f t="shared" ref="S75" si="4772">R70*$G$75</f>
        <v>0</v>
      </c>
      <c r="T75" s="56"/>
      <c r="U75" s="1">
        <f t="shared" ref="U75" si="4773">T70*$G$75</f>
        <v>0</v>
      </c>
      <c r="V75" s="56"/>
      <c r="W75" s="1">
        <f t="shared" ref="W75" si="4774">V70*$G$75</f>
        <v>0</v>
      </c>
      <c r="X75" s="56"/>
      <c r="Y75" s="1">
        <f t="shared" ref="Y75" si="4775">X70*$G$75</f>
        <v>0</v>
      </c>
      <c r="Z75" s="56"/>
      <c r="AA75" s="1">
        <f t="shared" ref="AA75" si="4776">Z70*$G$75</f>
        <v>0</v>
      </c>
      <c r="AB75" s="56"/>
      <c r="AC75" s="1">
        <f t="shared" ref="AC75" si="4777">AB70*$G$75</f>
        <v>0</v>
      </c>
      <c r="AD75" s="56"/>
      <c r="AE75" s="1">
        <f t="shared" ref="AE75" si="4778">AD70*$G$75</f>
        <v>0</v>
      </c>
      <c r="AF75" s="56"/>
      <c r="AG75" s="1">
        <f t="shared" ref="AG75" si="4779">AF70*$G$75</f>
        <v>0</v>
      </c>
      <c r="AH75" s="56"/>
      <c r="AI75" s="1">
        <f t="shared" ref="AI75" si="4780">AH70*$G$75</f>
        <v>0</v>
      </c>
      <c r="AJ75" s="56"/>
      <c r="AK75" s="1">
        <f t="shared" ref="AK75" si="4781">AJ70*$G$75</f>
        <v>0</v>
      </c>
      <c r="AL75" s="56"/>
      <c r="AM75" s="1">
        <f t="shared" ref="AM75" si="4782">AL70*$G$75</f>
        <v>0</v>
      </c>
      <c r="AN75" s="56"/>
      <c r="AO75" s="1">
        <f t="shared" ref="AO75" si="4783">AN70*$G$75</f>
        <v>0</v>
      </c>
      <c r="AP75" s="56"/>
      <c r="AQ75" s="1">
        <f t="shared" ref="AQ75" si="4784">AP70*$G$75</f>
        <v>0</v>
      </c>
      <c r="AR75" s="56"/>
      <c r="AS75" s="1">
        <f t="shared" ref="AS75" si="4785">AR70*$G$75</f>
        <v>0</v>
      </c>
      <c r="AT75" s="56"/>
      <c r="AU75" s="1">
        <f t="shared" ref="AU75" si="4786">AT70*$G$75</f>
        <v>0</v>
      </c>
      <c r="AV75" s="56"/>
      <c r="AW75" s="1">
        <f t="shared" ref="AW75" si="4787">AV70*$G$75</f>
        <v>0</v>
      </c>
      <c r="AX75" s="56"/>
      <c r="AY75" s="1">
        <f t="shared" ref="AY75" si="4788">AX70*$G$75</f>
        <v>0</v>
      </c>
      <c r="AZ75" s="56"/>
      <c r="BA75" s="1">
        <f t="shared" ref="BA75" si="4789">AZ70*$G$75</f>
        <v>0</v>
      </c>
      <c r="BB75" s="56"/>
      <c r="BC75" s="1">
        <f t="shared" ref="BC75" si="4790">BB70*$G$75</f>
        <v>0</v>
      </c>
      <c r="BD75" s="56"/>
      <c r="BE75" s="1">
        <f t="shared" ref="BE75" si="4791">BD70*$G$75</f>
        <v>0</v>
      </c>
      <c r="BF75" s="56"/>
      <c r="BG75" s="1">
        <f t="shared" ref="BG75" si="4792">BF70*$G$75</f>
        <v>0</v>
      </c>
      <c r="BH75" s="56"/>
      <c r="BI75" s="1">
        <f t="shared" ref="BI75" si="4793">BH70*$G$75</f>
        <v>0</v>
      </c>
      <c r="BJ75" s="56"/>
      <c r="BK75" s="1">
        <f t="shared" ref="BK75" si="4794">BJ70*$G$75</f>
        <v>0</v>
      </c>
      <c r="BL75" s="56"/>
      <c r="BM75" s="1">
        <f t="shared" ref="BM75" si="4795">BL70*$G$75</f>
        <v>0</v>
      </c>
      <c r="BN75" s="56"/>
      <c r="BO75" s="1">
        <f t="shared" ref="BO75" si="4796">BN70*$G$75</f>
        <v>0</v>
      </c>
      <c r="BP75" s="56"/>
      <c r="BQ75" s="1">
        <f t="shared" ref="BQ75" si="4797">BP70*$G$75</f>
        <v>0</v>
      </c>
      <c r="BR75" s="56"/>
      <c r="BS75" s="1">
        <f t="shared" ref="BS75" si="4798">BR70*$G$75</f>
        <v>0</v>
      </c>
      <c r="BT75" s="56"/>
      <c r="BU75" s="1">
        <f t="shared" ref="BU75" si="4799">BT70*$G$75</f>
        <v>0</v>
      </c>
      <c r="BV75" s="56"/>
      <c r="BW75" s="1">
        <f t="shared" ref="BW75" si="4800">BV70*$G$75</f>
        <v>0</v>
      </c>
      <c r="BX75" s="56"/>
      <c r="BY75" s="1">
        <f t="shared" ref="BY75" si="4801">BX70*$G$75</f>
        <v>0</v>
      </c>
      <c r="BZ75" s="56"/>
      <c r="CA75" s="1">
        <f t="shared" ref="CA75" si="4802">BZ70*$G$75</f>
        <v>0</v>
      </c>
      <c r="CB75" s="56"/>
      <c r="CC75" s="1">
        <f t="shared" ref="CC75" si="4803">CB70*$G$75</f>
        <v>0</v>
      </c>
      <c r="CD75" s="56"/>
      <c r="CE75" s="1">
        <f t="shared" ref="CE75" si="4804">CD70*$G$75</f>
        <v>0</v>
      </c>
      <c r="CF75" s="56"/>
      <c r="CG75" s="1">
        <f t="shared" ref="CG75" si="4805">CF70*$G$75</f>
        <v>0</v>
      </c>
      <c r="CH75" s="56"/>
      <c r="CI75" s="1">
        <f t="shared" ref="CI75" si="4806">CH70*$G$75</f>
        <v>0</v>
      </c>
      <c r="CJ75" s="56"/>
      <c r="CK75" s="1">
        <f t="shared" ref="CK75" si="4807">CJ70*$G$75</f>
        <v>0</v>
      </c>
      <c r="CL75" s="56"/>
      <c r="CM75" s="1">
        <f t="shared" ref="CM75" si="4808">CL70*$G$75</f>
        <v>0</v>
      </c>
      <c r="CN75" s="56"/>
      <c r="CO75" s="1">
        <f t="shared" ref="CO75" si="4809">CN70*$G$75</f>
        <v>0</v>
      </c>
      <c r="CP75" s="56"/>
      <c r="CQ75" s="1">
        <f t="shared" ref="CQ75" si="4810">CP70*$G$75</f>
        <v>0</v>
      </c>
      <c r="CR75" s="56"/>
      <c r="CS75" s="1">
        <f t="shared" ref="CS75" si="4811">CR70*$G$75</f>
        <v>0</v>
      </c>
      <c r="CT75" s="56"/>
      <c r="CU75" s="1">
        <f t="shared" ref="CU75" si="4812">CT70*$G$75</f>
        <v>0</v>
      </c>
      <c r="CV75" s="56"/>
      <c r="CW75" s="1">
        <f t="shared" ref="CW75" si="4813">CV70*$G$75</f>
        <v>0</v>
      </c>
      <c r="CX75" s="56"/>
      <c r="CY75" s="1">
        <f t="shared" ref="CY75" si="4814">CX70*$G$75</f>
        <v>0</v>
      </c>
      <c r="CZ75" s="56"/>
      <c r="DA75" s="1">
        <f t="shared" ref="DA75" si="4815">CZ70*$G$75</f>
        <v>0</v>
      </c>
      <c r="DB75" s="56"/>
      <c r="DC75" s="1">
        <f t="shared" ref="DC75" si="4816">DB70*$G$75</f>
        <v>0</v>
      </c>
      <c r="DD75" s="56"/>
      <c r="DE75" s="1">
        <f t="shared" ref="DE75" si="4817">DD70*$G$75</f>
        <v>0</v>
      </c>
      <c r="DF75" s="56"/>
      <c r="DG75" s="1">
        <f t="shared" ref="DG75" si="4818">DF70*$G$75</f>
        <v>0</v>
      </c>
      <c r="DH75" s="56"/>
      <c r="DI75" s="1">
        <f t="shared" ref="DI75" si="4819">DH70*$G$75</f>
        <v>0</v>
      </c>
      <c r="DJ75" s="56"/>
      <c r="DK75" s="1">
        <f t="shared" ref="DK75" si="4820">DJ70*$G$75</f>
        <v>0</v>
      </c>
      <c r="DL75" s="56"/>
      <c r="DM75" s="1">
        <f t="shared" ref="DM75" si="4821">DL70*$G$75</f>
        <v>0</v>
      </c>
      <c r="DN75" s="56"/>
      <c r="DO75" s="1">
        <f t="shared" ref="DO75" si="4822">DN70*$G$75</f>
        <v>0</v>
      </c>
      <c r="DP75" s="56"/>
      <c r="DQ75" s="1">
        <f t="shared" ref="DQ75" si="4823">DP70*$G$75</f>
        <v>0</v>
      </c>
      <c r="DR75" s="56"/>
      <c r="DS75" s="1">
        <f t="shared" ref="DS75" si="4824">DR70*$G$75</f>
        <v>0</v>
      </c>
      <c r="DT75" s="56"/>
      <c r="DU75" s="1">
        <f t="shared" ref="DU75" si="4825">DT70*$G$75</f>
        <v>0</v>
      </c>
      <c r="DV75" s="56"/>
      <c r="DW75" s="1">
        <f t="shared" ref="DW75" si="4826">DV70*$G$75</f>
        <v>0</v>
      </c>
      <c r="DX75" s="56"/>
      <c r="DY75" s="1">
        <f t="shared" ref="DY75" si="4827">DX70*$G$75</f>
        <v>0</v>
      </c>
      <c r="DZ75" s="56"/>
      <c r="EA75" s="1">
        <f t="shared" ref="EA75" si="4828">DZ70*$G$75</f>
        <v>0</v>
      </c>
      <c r="EB75" s="56"/>
      <c r="EC75" s="1">
        <f t="shared" ref="EC75" si="4829">EB70*$G$75</f>
        <v>0</v>
      </c>
      <c r="ED75" s="56"/>
      <c r="EE75" s="1">
        <f t="shared" ref="EE75" si="4830">ED70*$G$75</f>
        <v>0</v>
      </c>
      <c r="EF75" s="56"/>
      <c r="EG75" s="1">
        <f t="shared" ref="EG75" si="4831">EF70*$G$75</f>
        <v>0</v>
      </c>
      <c r="EH75" s="56"/>
      <c r="EI75" s="1">
        <f t="shared" ref="EI75" si="4832">EH70*$G$75</f>
        <v>0</v>
      </c>
      <c r="EJ75" s="56"/>
      <c r="EK75" s="1">
        <f t="shared" ref="EK75" si="4833">EJ70*$G$75</f>
        <v>0</v>
      </c>
      <c r="EL75" s="56"/>
      <c r="EM75" s="1">
        <f t="shared" ref="EM75" si="4834">EL70*$G$75</f>
        <v>0</v>
      </c>
      <c r="EN75" s="56"/>
      <c r="EO75" s="1">
        <f t="shared" ref="EO75" si="4835">EN70*$G$75</f>
        <v>0</v>
      </c>
      <c r="EP75" s="56"/>
      <c r="EQ75" s="1">
        <f t="shared" ref="EQ75" si="4836">EP70*$G$75</f>
        <v>0</v>
      </c>
      <c r="ER75" s="56"/>
      <c r="ES75" s="1">
        <f t="shared" ref="ES75" si="4837">ER70*$G$75</f>
        <v>0</v>
      </c>
      <c r="ET75" s="56"/>
      <c r="EU75" s="1">
        <f t="shared" ref="EU75" si="4838">ET70*$G$75</f>
        <v>0</v>
      </c>
      <c r="EV75" s="56"/>
      <c r="EW75" s="1">
        <f t="shared" ref="EW75" si="4839">EV70*$G$75</f>
        <v>0</v>
      </c>
      <c r="EX75" s="56"/>
      <c r="EY75" s="1">
        <f t="shared" ref="EY75" si="4840">EX70*$G$75</f>
        <v>0</v>
      </c>
      <c r="EZ75" s="56"/>
      <c r="FA75" s="1">
        <f t="shared" ref="FA75" si="4841">EZ70*$G$75</f>
        <v>0</v>
      </c>
      <c r="FB75" s="56"/>
      <c r="FC75" s="1">
        <f t="shared" ref="FC75" si="4842">FB70*$G$75</f>
        <v>0</v>
      </c>
      <c r="FD75" s="56"/>
      <c r="FE75" s="1">
        <f t="shared" ref="FE75" si="4843">FD70*$G$75</f>
        <v>0</v>
      </c>
      <c r="FF75" s="56"/>
      <c r="FG75" s="1">
        <f t="shared" ref="FG75" si="4844">FF70*$G$75</f>
        <v>0</v>
      </c>
      <c r="FH75" s="56"/>
      <c r="FI75" s="1">
        <f t="shared" ref="FI75" si="4845">FH70*$G$75</f>
        <v>0</v>
      </c>
      <c r="FJ75" s="56"/>
      <c r="FK75" s="1">
        <f t="shared" ref="FK75" si="4846">FJ70*$G$75</f>
        <v>0</v>
      </c>
      <c r="FL75" s="56"/>
      <c r="FM75" s="1">
        <f t="shared" ref="FM75" si="4847">FL70*$G$75</f>
        <v>0</v>
      </c>
      <c r="FN75" s="56"/>
      <c r="FO75" s="1">
        <f t="shared" ref="FO75" si="4848">FN70*$G$75</f>
        <v>0</v>
      </c>
      <c r="FP75" s="56"/>
      <c r="FQ75" s="1">
        <f t="shared" ref="FQ75" si="4849">FP70*$G$75</f>
        <v>0</v>
      </c>
    </row>
    <row r="76" spans="1:185" ht="21" x14ac:dyDescent="0.5">
      <c r="A76" s="27" t="s">
        <v>34</v>
      </c>
      <c r="G76" s="24" t="s">
        <v>28</v>
      </c>
      <c r="H76" s="24"/>
      <c r="I76" s="25"/>
      <c r="J76" s="25"/>
      <c r="K76" s="20">
        <f>SUM(K4:K75)</f>
        <v>380</v>
      </c>
      <c r="L76" s="20"/>
      <c r="M76" s="20">
        <f>SUM(M4:M75)</f>
        <v>380</v>
      </c>
      <c r="N76" s="20"/>
      <c r="O76" s="20">
        <f>SUM(O4:O75)</f>
        <v>380</v>
      </c>
      <c r="P76" s="20"/>
      <c r="Q76" s="20">
        <f>SUM(Q4:Q75)</f>
        <v>370</v>
      </c>
      <c r="R76" s="20"/>
      <c r="S76" s="20">
        <f>SUM(S4:S75)</f>
        <v>370</v>
      </c>
      <c r="T76" s="20"/>
      <c r="U76" s="20">
        <f>SUM(U4:U75)</f>
        <v>370</v>
      </c>
      <c r="V76" s="20"/>
      <c r="W76" s="20">
        <f>SUM(W4:W75)</f>
        <v>360</v>
      </c>
      <c r="X76" s="20"/>
      <c r="Y76" s="20">
        <f>SUM(Y4:Y75)</f>
        <v>360</v>
      </c>
      <c r="Z76" s="20"/>
      <c r="AA76" s="20">
        <f>SUM(AA4:AA75)</f>
        <v>360</v>
      </c>
      <c r="AB76" s="20"/>
      <c r="AC76" s="20">
        <f>SUM(AC4:AC75)</f>
        <v>350</v>
      </c>
      <c r="AD76" s="20"/>
      <c r="AE76" s="20">
        <f>SUM(AE4:AE75)</f>
        <v>350</v>
      </c>
      <c r="AF76" s="20"/>
      <c r="AG76" s="20">
        <f>SUM(AG4:AG75)</f>
        <v>350</v>
      </c>
      <c r="AH76" s="20"/>
      <c r="AI76" s="20">
        <f>SUM(AI4:AI75)</f>
        <v>340</v>
      </c>
      <c r="AJ76" s="20"/>
      <c r="AK76" s="20">
        <f>SUM(AK4:AK75)</f>
        <v>240</v>
      </c>
      <c r="AL76" s="20"/>
      <c r="AM76" s="20">
        <f>SUM(AM4:AM75)</f>
        <v>240</v>
      </c>
      <c r="AN76" s="20"/>
      <c r="AO76" s="20">
        <f>SUM(AO4:AO75)</f>
        <v>230</v>
      </c>
      <c r="AP76" s="20"/>
      <c r="AQ76" s="20">
        <f>SUM(AQ4:AQ75)</f>
        <v>220</v>
      </c>
      <c r="AR76" s="20"/>
      <c r="AS76" s="20">
        <f>SUM(AS4:AS75)</f>
        <v>220</v>
      </c>
      <c r="AT76" s="20"/>
      <c r="AU76" s="20">
        <f>SUM(AU4:AU75)</f>
        <v>220</v>
      </c>
      <c r="AV76" s="20"/>
      <c r="AW76" s="20">
        <f>SUM(AW4:AW75)</f>
        <v>210</v>
      </c>
      <c r="AX76" s="20"/>
      <c r="AY76" s="20">
        <f>SUM(AY4:AY75)</f>
        <v>210</v>
      </c>
      <c r="AZ76" s="20"/>
      <c r="BA76" s="20">
        <f>SUM(BA4:BA75)</f>
        <v>210</v>
      </c>
      <c r="BB76" s="20"/>
      <c r="BC76" s="20">
        <f>SUM(BC4:BC75)</f>
        <v>210</v>
      </c>
      <c r="BD76" s="20"/>
      <c r="BE76" s="20">
        <f>SUM(BE4:BE75)</f>
        <v>210</v>
      </c>
      <c r="BF76" s="20"/>
      <c r="BG76" s="20">
        <f>SUM(BG4:BG75)</f>
        <v>210</v>
      </c>
      <c r="BH76" s="20"/>
      <c r="BI76" s="20">
        <f>SUM(BI4:BI75)</f>
        <v>210</v>
      </c>
      <c r="BJ76" s="20"/>
      <c r="BK76" s="20">
        <f>SUM(BK4:BK75)</f>
        <v>210</v>
      </c>
      <c r="BL76" s="20"/>
      <c r="BM76" s="20">
        <f>SUM(BM4:BM75)</f>
        <v>210</v>
      </c>
      <c r="BN76" s="20"/>
      <c r="BO76" s="20">
        <f>SUM(BO4:BO75)</f>
        <v>210</v>
      </c>
      <c r="BP76" s="20"/>
      <c r="BQ76" s="20">
        <f>SUM(BQ4:BQ75)</f>
        <v>210</v>
      </c>
      <c r="BR76" s="20"/>
      <c r="BS76" s="20">
        <f>SUM(BS4:BS75)</f>
        <v>210</v>
      </c>
      <c r="BT76" s="20"/>
      <c r="BU76" s="20">
        <f>SUM(BU4:BU75)</f>
        <v>210</v>
      </c>
      <c r="BV76" s="20"/>
      <c r="BW76" s="20">
        <f>SUM(BW4:BW75)</f>
        <v>210</v>
      </c>
      <c r="BX76" s="20"/>
      <c r="BY76" s="20">
        <f>SUM(BY4:BY75)</f>
        <v>210</v>
      </c>
      <c r="BZ76" s="20"/>
      <c r="CA76" s="20">
        <f>SUM(CA4:CA75)</f>
        <v>210</v>
      </c>
      <c r="CB76" s="20"/>
      <c r="CC76" s="20">
        <f>SUM(CC4:CC75)</f>
        <v>210</v>
      </c>
      <c r="CD76" s="20"/>
      <c r="CE76" s="20">
        <f>SUM(CE4:CE75)</f>
        <v>210</v>
      </c>
      <c r="CF76" s="20"/>
      <c r="CG76" s="20">
        <f>SUM(CG4:CG75)</f>
        <v>210</v>
      </c>
      <c r="CH76" s="20"/>
      <c r="CI76" s="20">
        <f>SUM(CI4:CI75)</f>
        <v>210</v>
      </c>
      <c r="CJ76" s="20"/>
      <c r="CK76" s="20">
        <f>SUM(CK4:CK75)</f>
        <v>180</v>
      </c>
      <c r="CL76" s="20"/>
      <c r="CM76" s="20">
        <f>SUM(CM4:CM75)</f>
        <v>170</v>
      </c>
      <c r="CN76" s="20"/>
      <c r="CO76" s="20">
        <f>SUM(CO4:CO75)</f>
        <v>170</v>
      </c>
      <c r="CP76" s="20"/>
      <c r="CQ76" s="20">
        <f>SUM(CQ4:CQ75)</f>
        <v>170</v>
      </c>
      <c r="CR76" s="20"/>
      <c r="CS76" s="20">
        <f>SUM(CS4:CS75)</f>
        <v>170</v>
      </c>
      <c r="CT76" s="20"/>
      <c r="CU76" s="20">
        <f>SUM(CU4:CU75)</f>
        <v>170</v>
      </c>
      <c r="CV76" s="20"/>
      <c r="CW76" s="20">
        <f>SUM(CW4:CW75)</f>
        <v>170</v>
      </c>
      <c r="CX76" s="20"/>
      <c r="CY76" s="20">
        <f>SUM(CY4:CY75)</f>
        <v>170</v>
      </c>
      <c r="CZ76" s="20"/>
      <c r="DA76" s="20">
        <f>SUM(DA4:DA75)</f>
        <v>170</v>
      </c>
      <c r="DB76" s="20"/>
      <c r="DC76" s="20">
        <f>SUM(DC4:DC75)</f>
        <v>170</v>
      </c>
      <c r="DD76" s="20"/>
      <c r="DE76" s="20">
        <f>SUM(DE4:DE75)</f>
        <v>170</v>
      </c>
      <c r="DF76" s="20"/>
      <c r="DG76" s="20">
        <f>SUM(DG4:DG75)</f>
        <v>170</v>
      </c>
      <c r="DH76" s="20"/>
      <c r="DI76" s="20">
        <f>SUM(DI4:DI75)</f>
        <v>170</v>
      </c>
      <c r="DJ76" s="20"/>
      <c r="DK76" s="20">
        <f>SUM(DK4:DK75)</f>
        <v>170</v>
      </c>
      <c r="DL76" s="20"/>
      <c r="DM76" s="20">
        <f>SUM(DM4:DM75)</f>
        <v>170</v>
      </c>
      <c r="DN76" s="20"/>
      <c r="DO76" s="20">
        <f>SUM(DO4:DO75)</f>
        <v>170</v>
      </c>
      <c r="DP76" s="20"/>
      <c r="DQ76" s="20">
        <f>SUM(DQ4:DQ75)</f>
        <v>170</v>
      </c>
      <c r="DR76" s="20"/>
      <c r="DS76" s="20">
        <f>SUM(DS4:DS75)</f>
        <v>170</v>
      </c>
      <c r="DT76" s="20"/>
      <c r="DU76" s="20">
        <f>SUM(DU4:DU75)</f>
        <v>170</v>
      </c>
      <c r="DV76" s="20"/>
      <c r="DW76" s="20">
        <f>SUM(DW4:DW75)</f>
        <v>170</v>
      </c>
      <c r="DX76" s="20"/>
      <c r="DY76" s="20">
        <f>SUM(DY4:DY75)</f>
        <v>170</v>
      </c>
      <c r="DZ76" s="20"/>
      <c r="EA76" s="20">
        <f>SUM(EA4:EA75)</f>
        <v>170</v>
      </c>
      <c r="EB76" s="20"/>
      <c r="EC76" s="20">
        <f>SUM(EC4:EC75)</f>
        <v>170</v>
      </c>
      <c r="ED76" s="20"/>
      <c r="EE76" s="20">
        <f>SUM(EE4:EE75)</f>
        <v>170</v>
      </c>
      <c r="EF76" s="20"/>
      <c r="EG76" s="20">
        <f>SUM(EG4:EG75)</f>
        <v>170</v>
      </c>
      <c r="EH76" s="20"/>
      <c r="EI76" s="20">
        <f>SUM(EI4:EI75)</f>
        <v>170</v>
      </c>
      <c r="EJ76" s="20"/>
      <c r="EK76" s="20">
        <f>SUM(EK4:EK75)</f>
        <v>170</v>
      </c>
      <c r="EL76" s="20"/>
      <c r="EM76" s="20">
        <f>SUM(EM4:EM75)</f>
        <v>170</v>
      </c>
      <c r="EN76" s="20"/>
      <c r="EO76" s="20">
        <f>SUM(EO4:EO75)</f>
        <v>170</v>
      </c>
      <c r="EP76" s="20"/>
      <c r="EQ76" s="20">
        <f>SUM(EQ4:EQ75)</f>
        <v>170</v>
      </c>
      <c r="ER76" s="20"/>
      <c r="ES76" s="20">
        <f>SUM(ES4:ES75)</f>
        <v>170</v>
      </c>
      <c r="ET76" s="20"/>
      <c r="EU76" s="20">
        <f>SUM(EU4:EU75)</f>
        <v>170</v>
      </c>
      <c r="EV76" s="20"/>
      <c r="EW76" s="20">
        <f>SUM(EW4:EW75)</f>
        <v>170</v>
      </c>
      <c r="EX76" s="20"/>
      <c r="EY76" s="20">
        <f>SUM(EY4:EY75)</f>
        <v>170</v>
      </c>
      <c r="EZ76" s="20"/>
      <c r="FA76" s="20">
        <f>SUM(FA4:FA75)</f>
        <v>170</v>
      </c>
      <c r="FB76" s="20"/>
      <c r="FC76" s="20">
        <f>SUM(FC4:FC75)</f>
        <v>170</v>
      </c>
      <c r="FD76" s="20"/>
      <c r="FE76" s="20">
        <f>SUM(FE4:FE75)</f>
        <v>170</v>
      </c>
      <c r="FF76" s="20"/>
      <c r="FG76" s="20">
        <f>SUM(FG4:FG75)</f>
        <v>170</v>
      </c>
      <c r="FH76" s="20"/>
      <c r="FI76" s="20">
        <f>SUM(FI4:FI75)</f>
        <v>170</v>
      </c>
      <c r="FJ76" s="20"/>
      <c r="FK76" s="20">
        <f>SUM(FK4:FK75)</f>
        <v>170</v>
      </c>
      <c r="FL76" s="20"/>
      <c r="FM76" s="20">
        <f>SUM(FM4:FM75)</f>
        <v>170</v>
      </c>
      <c r="FN76" s="20"/>
      <c r="FO76" s="20">
        <f>SUM(FO4:FO75)</f>
        <v>170</v>
      </c>
      <c r="FP76" s="20"/>
      <c r="FQ76" s="20">
        <f>SUM(FQ4:FQ75)</f>
        <v>170</v>
      </c>
    </row>
    <row r="77" spans="1:185" ht="21" x14ac:dyDescent="0.5">
      <c r="A77" s="27" t="s">
        <v>34</v>
      </c>
    </row>
    <row r="78" spans="1:185" ht="21" x14ac:dyDescent="0.5">
      <c r="A78" s="27" t="s">
        <v>34</v>
      </c>
      <c r="G78" s="23" t="s">
        <v>29</v>
      </c>
      <c r="H78" s="23"/>
      <c r="K78" s="20">
        <f>K76/80</f>
        <v>4.75</v>
      </c>
      <c r="L78" s="20"/>
      <c r="M78" s="20">
        <f>M76/80</f>
        <v>4.75</v>
      </c>
      <c r="N78" s="20"/>
      <c r="O78" s="20">
        <f>O76/80</f>
        <v>4.75</v>
      </c>
      <c r="P78" s="20"/>
      <c r="Q78" s="20">
        <f>Q76/80</f>
        <v>4.625</v>
      </c>
      <c r="R78" s="20"/>
      <c r="S78" s="20">
        <f>S76/80</f>
        <v>4.625</v>
      </c>
      <c r="T78" s="20"/>
      <c r="U78" s="20">
        <f>U76/80</f>
        <v>4.625</v>
      </c>
      <c r="V78" s="20"/>
      <c r="W78" s="20">
        <f>W76/80</f>
        <v>4.5</v>
      </c>
      <c r="X78" s="20"/>
      <c r="Y78" s="20">
        <f>Y76/80</f>
        <v>4.5</v>
      </c>
      <c r="Z78" s="20"/>
      <c r="AA78" s="20">
        <f>AA76/80</f>
        <v>4.5</v>
      </c>
      <c r="AB78" s="20"/>
      <c r="AC78" s="20">
        <f>AC76/80</f>
        <v>4.375</v>
      </c>
      <c r="AD78" s="20"/>
      <c r="AE78" s="20">
        <f>AE76/80</f>
        <v>4.375</v>
      </c>
      <c r="AF78" s="20"/>
      <c r="AG78" s="20">
        <f>AG76/80</f>
        <v>4.375</v>
      </c>
      <c r="AH78" s="20"/>
      <c r="AI78" s="20">
        <f>AI76/80</f>
        <v>4.25</v>
      </c>
      <c r="AJ78" s="20"/>
      <c r="AK78" s="20">
        <f>AK76/80</f>
        <v>3</v>
      </c>
      <c r="AL78" s="20"/>
      <c r="AM78" s="20">
        <f>AM76/80</f>
        <v>3</v>
      </c>
      <c r="AN78" s="20"/>
      <c r="AO78" s="20">
        <f>AO76/80</f>
        <v>2.875</v>
      </c>
      <c r="AP78" s="20"/>
      <c r="AQ78" s="20">
        <f>AQ76/80</f>
        <v>2.75</v>
      </c>
      <c r="AR78" s="20"/>
      <c r="AS78" s="20">
        <f>AS76/80</f>
        <v>2.75</v>
      </c>
      <c r="AT78" s="20"/>
      <c r="AU78" s="20">
        <f>AU76/80</f>
        <v>2.75</v>
      </c>
      <c r="AV78" s="20"/>
      <c r="AW78" s="20">
        <f>AW76/80</f>
        <v>2.625</v>
      </c>
      <c r="AX78" s="20"/>
      <c r="AY78" s="20">
        <f>AY76/80</f>
        <v>2.625</v>
      </c>
      <c r="AZ78" s="20"/>
      <c r="BA78" s="20">
        <f>BA76/80</f>
        <v>2.625</v>
      </c>
      <c r="BB78" s="20"/>
      <c r="BC78" s="20">
        <f>BC76/80</f>
        <v>2.625</v>
      </c>
      <c r="BD78" s="20"/>
      <c r="BE78" s="20">
        <f>BE76/80</f>
        <v>2.625</v>
      </c>
      <c r="BF78" s="20"/>
      <c r="BG78" s="20">
        <f>BG76/80</f>
        <v>2.625</v>
      </c>
      <c r="BH78" s="20"/>
      <c r="BI78" s="20">
        <f>BI76/80</f>
        <v>2.625</v>
      </c>
      <c r="BJ78" s="20"/>
      <c r="BK78" s="20">
        <f>BK76/80</f>
        <v>2.625</v>
      </c>
      <c r="BL78" s="20"/>
      <c r="BM78" s="20">
        <f>BM76/80</f>
        <v>2.625</v>
      </c>
      <c r="BN78" s="20"/>
      <c r="BO78" s="20">
        <f>BO76/80</f>
        <v>2.625</v>
      </c>
      <c r="BP78" s="20"/>
      <c r="BQ78" s="20">
        <f>BQ76/80</f>
        <v>2.625</v>
      </c>
      <c r="BR78" s="20"/>
      <c r="BS78" s="20">
        <f>BS76/80</f>
        <v>2.625</v>
      </c>
      <c r="BT78" s="20"/>
      <c r="BU78" s="20">
        <f>BU76/80</f>
        <v>2.625</v>
      </c>
      <c r="BV78" s="20"/>
      <c r="BW78" s="20">
        <f>BW76/80</f>
        <v>2.625</v>
      </c>
      <c r="BX78" s="20"/>
      <c r="BY78" s="20">
        <f>BY76/80</f>
        <v>2.625</v>
      </c>
      <c r="BZ78" s="20"/>
      <c r="CA78" s="20">
        <f>CA76/80</f>
        <v>2.625</v>
      </c>
      <c r="CB78" s="20"/>
      <c r="CC78" s="20">
        <f>CC76/80</f>
        <v>2.625</v>
      </c>
      <c r="CD78" s="20"/>
      <c r="CE78" s="20">
        <f>CE76/80</f>
        <v>2.625</v>
      </c>
      <c r="CF78" s="20"/>
      <c r="CG78" s="20">
        <f>CG76/80</f>
        <v>2.625</v>
      </c>
      <c r="CH78" s="20"/>
      <c r="CI78" s="20">
        <f>CI76/80</f>
        <v>2.625</v>
      </c>
      <c r="CJ78" s="20"/>
      <c r="CK78" s="20">
        <f>CK76/80</f>
        <v>2.25</v>
      </c>
      <c r="CL78" s="20"/>
      <c r="CM78" s="20">
        <f>CM76/80</f>
        <v>2.125</v>
      </c>
      <c r="CN78" s="20"/>
      <c r="CO78" s="20">
        <f>CO76/80</f>
        <v>2.125</v>
      </c>
      <c r="CP78" s="20"/>
      <c r="CQ78" s="20">
        <f>CQ76/80</f>
        <v>2.125</v>
      </c>
      <c r="CR78" s="20"/>
      <c r="CS78" s="20">
        <f>CS76/80</f>
        <v>2.125</v>
      </c>
      <c r="CT78" s="20"/>
      <c r="CU78" s="20">
        <f>CU76/80</f>
        <v>2.125</v>
      </c>
      <c r="CV78" s="20"/>
      <c r="CW78" s="20">
        <f>CW76/80</f>
        <v>2.125</v>
      </c>
      <c r="CX78" s="20"/>
      <c r="CY78" s="20">
        <f>CY76/80</f>
        <v>2.125</v>
      </c>
      <c r="CZ78" s="20"/>
      <c r="DA78" s="20">
        <f>DA76/80</f>
        <v>2.125</v>
      </c>
      <c r="DB78" s="20"/>
      <c r="DC78" s="20">
        <f>DC76/80</f>
        <v>2.125</v>
      </c>
      <c r="DD78" s="20"/>
      <c r="DE78" s="20">
        <f>DE76/80</f>
        <v>2.125</v>
      </c>
      <c r="DF78" s="20"/>
      <c r="DG78" s="20">
        <f>DG76/80</f>
        <v>2.125</v>
      </c>
      <c r="DH78" s="20"/>
      <c r="DI78" s="20">
        <f>DI76/80</f>
        <v>2.125</v>
      </c>
      <c r="DJ78" s="20"/>
      <c r="DK78" s="20">
        <f>DK76/80</f>
        <v>2.125</v>
      </c>
      <c r="DL78" s="20"/>
      <c r="DM78" s="20">
        <f>DM76/80</f>
        <v>2.125</v>
      </c>
      <c r="DN78" s="20"/>
      <c r="DO78" s="20">
        <f>DO76/80</f>
        <v>2.125</v>
      </c>
      <c r="DP78" s="20"/>
      <c r="DQ78" s="20">
        <f>DQ76/80</f>
        <v>2.125</v>
      </c>
      <c r="DR78" s="20"/>
      <c r="DS78" s="20">
        <f>DS76/80</f>
        <v>2.125</v>
      </c>
      <c r="DT78" s="20"/>
      <c r="DU78" s="20">
        <f>DU76/80</f>
        <v>2.125</v>
      </c>
      <c r="DV78" s="20"/>
      <c r="DW78" s="20">
        <f>DW76/80</f>
        <v>2.125</v>
      </c>
      <c r="DX78" s="20"/>
      <c r="DY78" s="20">
        <f>DY76/80</f>
        <v>2.125</v>
      </c>
      <c r="DZ78" s="20"/>
      <c r="EA78" s="20">
        <f>EA76/80</f>
        <v>2.125</v>
      </c>
      <c r="EB78" s="20"/>
      <c r="EC78" s="20">
        <f>EC76/80</f>
        <v>2.125</v>
      </c>
      <c r="ED78" s="20"/>
      <c r="EE78" s="20">
        <f>EE76/80</f>
        <v>2.125</v>
      </c>
      <c r="EF78" s="20"/>
      <c r="EG78" s="20">
        <f>EG76/80</f>
        <v>2.125</v>
      </c>
      <c r="EH78" s="20"/>
      <c r="EI78" s="20">
        <f>EI76/80</f>
        <v>2.125</v>
      </c>
      <c r="EJ78" s="20"/>
      <c r="EK78" s="20">
        <f>EK76/80</f>
        <v>2.125</v>
      </c>
      <c r="EL78" s="20"/>
      <c r="EM78" s="20">
        <f>EM76/80</f>
        <v>2.125</v>
      </c>
      <c r="EN78" s="20"/>
      <c r="EO78" s="20">
        <f>EO76/80</f>
        <v>2.125</v>
      </c>
      <c r="EP78" s="20"/>
      <c r="EQ78" s="20">
        <f>EQ76/80</f>
        <v>2.125</v>
      </c>
      <c r="ER78" s="20"/>
      <c r="ES78" s="20">
        <f>ES76/80</f>
        <v>2.125</v>
      </c>
      <c r="ET78" s="20"/>
      <c r="EU78" s="20">
        <f>EU76/80</f>
        <v>2.125</v>
      </c>
      <c r="EV78" s="20"/>
      <c r="EW78" s="20">
        <f>EW76/80</f>
        <v>2.125</v>
      </c>
      <c r="EX78" s="20"/>
      <c r="EY78" s="20">
        <f>EY76/80</f>
        <v>2.125</v>
      </c>
      <c r="EZ78" s="20"/>
      <c r="FA78" s="20">
        <f>FA76/80</f>
        <v>2.125</v>
      </c>
      <c r="FB78" s="20"/>
      <c r="FC78" s="20">
        <f>FC76/80</f>
        <v>2.125</v>
      </c>
      <c r="FD78" s="20"/>
      <c r="FE78" s="20">
        <f>FE76/80</f>
        <v>2.125</v>
      </c>
      <c r="FF78" s="20"/>
      <c r="FG78" s="20">
        <f>FG76/80</f>
        <v>2.125</v>
      </c>
      <c r="FH78" s="20"/>
      <c r="FI78" s="20">
        <f>FI76/80</f>
        <v>2.125</v>
      </c>
      <c r="FJ78" s="20"/>
      <c r="FK78" s="20">
        <f>FK76/80</f>
        <v>2.125</v>
      </c>
      <c r="FL78" s="20"/>
      <c r="FM78" s="20">
        <f>FM76/80</f>
        <v>2.125</v>
      </c>
      <c r="FN78" s="20"/>
      <c r="FO78" s="20">
        <f>FO76/80</f>
        <v>2.125</v>
      </c>
      <c r="FP78" s="20"/>
      <c r="FQ78" s="20">
        <f>FQ76/80</f>
        <v>2.125</v>
      </c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</row>
    <row r="79" spans="1:185" ht="21" x14ac:dyDescent="0.5">
      <c r="A79" s="27" t="s">
        <v>34</v>
      </c>
      <c r="G79" s="24" t="s">
        <v>158</v>
      </c>
      <c r="H79" s="24"/>
      <c r="I79" s="25"/>
      <c r="K79" s="20">
        <f>ROUNDUP(K78,0)</f>
        <v>5</v>
      </c>
      <c r="L79" s="20"/>
      <c r="M79" s="20">
        <f>ROUNDUP(M78,0)</f>
        <v>5</v>
      </c>
      <c r="N79" s="20"/>
      <c r="O79" s="20">
        <f>ROUNDUP(O78,0)</f>
        <v>5</v>
      </c>
      <c r="P79" s="20"/>
      <c r="Q79" s="20">
        <f>ROUNDUP(Q78,0)</f>
        <v>5</v>
      </c>
      <c r="R79" s="20"/>
      <c r="S79" s="20">
        <f>ROUNDUP(S78,0)</f>
        <v>5</v>
      </c>
      <c r="T79" s="20"/>
      <c r="U79" s="20">
        <f>ROUNDUP(U78,0)</f>
        <v>5</v>
      </c>
      <c r="V79" s="20"/>
      <c r="W79" s="20">
        <f>ROUNDUP(W78,0)</f>
        <v>5</v>
      </c>
      <c r="X79" s="20"/>
      <c r="Y79" s="20">
        <f>ROUNDUP(Y78,0)</f>
        <v>5</v>
      </c>
      <c r="Z79" s="20"/>
      <c r="AA79" s="20">
        <f>ROUNDUP(AA78,0)</f>
        <v>5</v>
      </c>
      <c r="AB79" s="20"/>
      <c r="AC79" s="20">
        <f>ROUNDUP(AC78,0)</f>
        <v>5</v>
      </c>
      <c r="AD79" s="20"/>
      <c r="AE79" s="20">
        <f>ROUNDUP(AE78,0)</f>
        <v>5</v>
      </c>
      <c r="AF79" s="20"/>
      <c r="AG79" s="20">
        <f>ROUNDUP(AG78,0)</f>
        <v>5</v>
      </c>
      <c r="AH79" s="20"/>
      <c r="AI79" s="20">
        <f>ROUNDUP(AI78,0)</f>
        <v>5</v>
      </c>
      <c r="AJ79" s="20"/>
      <c r="AK79" s="20">
        <f>ROUNDUP(AK78,0)</f>
        <v>3</v>
      </c>
      <c r="AL79" s="20"/>
      <c r="AM79" s="20">
        <f>ROUNDUP(AM78,0)</f>
        <v>3</v>
      </c>
      <c r="AN79" s="20"/>
      <c r="AO79" s="20">
        <f>ROUNDUP(AO78,0)</f>
        <v>3</v>
      </c>
      <c r="AP79" s="20"/>
      <c r="AQ79" s="20">
        <f>ROUNDUP(AQ78,0)</f>
        <v>3</v>
      </c>
      <c r="AR79" s="20"/>
      <c r="AS79" s="20">
        <f>ROUNDUP(AS78,0)</f>
        <v>3</v>
      </c>
      <c r="AT79" s="20"/>
      <c r="AU79" s="20">
        <f>ROUNDUP(AU78,0)</f>
        <v>3</v>
      </c>
      <c r="AV79" s="20"/>
      <c r="AW79" s="20">
        <f>ROUNDUP(AW78,0)</f>
        <v>3</v>
      </c>
      <c r="AX79" s="20"/>
      <c r="AY79" s="20">
        <f>ROUNDUP(AY78,0)</f>
        <v>3</v>
      </c>
      <c r="AZ79" s="20"/>
      <c r="BA79" s="20">
        <f>ROUNDUP(BA78,0)</f>
        <v>3</v>
      </c>
      <c r="BB79" s="20"/>
      <c r="BC79" s="20">
        <f>ROUNDUP(BC78,0)</f>
        <v>3</v>
      </c>
      <c r="BD79" s="20"/>
      <c r="BE79" s="20">
        <f>ROUNDUP(BE78,0)</f>
        <v>3</v>
      </c>
      <c r="BF79" s="20"/>
      <c r="BG79" s="20">
        <f>ROUNDUP(BG78,0)</f>
        <v>3</v>
      </c>
      <c r="BH79" s="20"/>
      <c r="BI79" s="20">
        <f>ROUNDUP(BI78,0)</f>
        <v>3</v>
      </c>
      <c r="BJ79" s="20"/>
      <c r="BK79" s="20">
        <f>ROUNDUP(BK78,0)</f>
        <v>3</v>
      </c>
      <c r="BL79" s="20"/>
      <c r="BM79" s="20">
        <f>ROUNDUP(BM78,0)</f>
        <v>3</v>
      </c>
      <c r="BN79" s="20"/>
      <c r="BO79" s="20">
        <f>ROUNDUP(BO78,0)</f>
        <v>3</v>
      </c>
      <c r="BP79" s="20"/>
      <c r="BQ79" s="20">
        <f>ROUNDUP(BQ78,0)</f>
        <v>3</v>
      </c>
      <c r="BR79" s="20"/>
      <c r="BS79" s="20">
        <f>ROUNDUP(BS78,0)</f>
        <v>3</v>
      </c>
      <c r="BT79" s="20"/>
      <c r="BU79" s="20">
        <f>ROUNDUP(BU78,0)</f>
        <v>3</v>
      </c>
      <c r="BV79" s="20"/>
      <c r="BW79" s="20">
        <f>ROUNDUP(BW78,0)</f>
        <v>3</v>
      </c>
      <c r="BX79" s="20"/>
      <c r="BY79" s="20">
        <f>ROUNDUP(BY78,0)</f>
        <v>3</v>
      </c>
      <c r="BZ79" s="20"/>
      <c r="CA79" s="20">
        <f>ROUNDUP(CA78,0)</f>
        <v>3</v>
      </c>
      <c r="CB79" s="20"/>
      <c r="CC79" s="20">
        <f>ROUNDUP(CC78,0)</f>
        <v>3</v>
      </c>
      <c r="CD79" s="20"/>
      <c r="CE79" s="20">
        <f>ROUNDUP(CE78,0)</f>
        <v>3</v>
      </c>
      <c r="CF79" s="20"/>
      <c r="CG79" s="20">
        <f>ROUNDUP(CG78,0)</f>
        <v>3</v>
      </c>
      <c r="CH79" s="20"/>
      <c r="CI79" s="20">
        <f>ROUNDUP(CI78,0)</f>
        <v>3</v>
      </c>
      <c r="CJ79" s="20"/>
      <c r="CK79" s="20">
        <f>ROUNDUP(CK78,0)</f>
        <v>3</v>
      </c>
      <c r="CL79" s="20"/>
      <c r="CM79" s="20">
        <f>ROUNDUP(CM78,0)</f>
        <v>3</v>
      </c>
      <c r="CN79" s="20"/>
      <c r="CO79" s="20">
        <f>ROUNDUP(CO78,0)</f>
        <v>3</v>
      </c>
      <c r="CP79" s="20"/>
      <c r="CQ79" s="20">
        <f>ROUNDUP(CQ78,0)</f>
        <v>3</v>
      </c>
      <c r="CR79" s="20"/>
      <c r="CS79" s="20">
        <f>ROUNDUP(CS78,0)</f>
        <v>3</v>
      </c>
      <c r="CT79" s="20"/>
      <c r="CU79" s="20">
        <f>ROUNDUP(CU78,0)</f>
        <v>3</v>
      </c>
      <c r="CV79" s="20"/>
      <c r="CW79" s="20">
        <f>ROUNDUP(CW78,0)</f>
        <v>3</v>
      </c>
      <c r="CX79" s="20"/>
      <c r="CY79" s="20">
        <f>ROUNDUP(CY78,0)</f>
        <v>3</v>
      </c>
      <c r="CZ79" s="20"/>
      <c r="DA79" s="20">
        <f>ROUNDUP(DA78,0)</f>
        <v>3</v>
      </c>
      <c r="DB79" s="20"/>
      <c r="DC79" s="20">
        <f>ROUNDUP(DC78,0)</f>
        <v>3</v>
      </c>
      <c r="DD79" s="20"/>
      <c r="DE79" s="20">
        <f>ROUNDUP(DE78,0)</f>
        <v>3</v>
      </c>
      <c r="DF79" s="20"/>
      <c r="DG79" s="20">
        <f>ROUNDUP(DG78,0)</f>
        <v>3</v>
      </c>
      <c r="DH79" s="20"/>
      <c r="DI79" s="20">
        <f>ROUNDUP(DI78,0)</f>
        <v>3</v>
      </c>
      <c r="DJ79" s="20"/>
      <c r="DK79" s="20">
        <f>ROUNDUP(DK78,0)</f>
        <v>3</v>
      </c>
      <c r="DL79" s="20"/>
      <c r="DM79" s="20">
        <f>ROUNDUP(DM78,0)</f>
        <v>3</v>
      </c>
      <c r="DN79" s="20"/>
      <c r="DO79" s="20">
        <f>ROUNDUP(DO78,0)</f>
        <v>3</v>
      </c>
      <c r="DP79" s="20"/>
      <c r="DQ79" s="20">
        <f>ROUNDUP(DQ78,0)</f>
        <v>3</v>
      </c>
      <c r="DR79" s="20"/>
      <c r="DS79" s="20">
        <f>ROUNDUP(DS78,0)</f>
        <v>3</v>
      </c>
      <c r="DT79" s="20"/>
      <c r="DU79" s="20">
        <f>ROUNDUP(DU78,0)</f>
        <v>3</v>
      </c>
      <c r="DV79" s="20"/>
      <c r="DW79" s="20">
        <f>ROUNDUP(DW78,0)</f>
        <v>3</v>
      </c>
      <c r="DX79" s="20"/>
      <c r="DY79" s="20">
        <f>ROUNDUP(DY78,0)</f>
        <v>3</v>
      </c>
      <c r="DZ79" s="20"/>
      <c r="EA79" s="20">
        <f>ROUNDUP(EA78,0)</f>
        <v>3</v>
      </c>
      <c r="EB79" s="20"/>
      <c r="EC79" s="20">
        <f>ROUNDUP(EC78,0)</f>
        <v>3</v>
      </c>
      <c r="ED79" s="20"/>
      <c r="EE79" s="20">
        <f>ROUNDUP(EE78,0)</f>
        <v>3</v>
      </c>
      <c r="EF79" s="20"/>
      <c r="EG79" s="20">
        <f>ROUNDUP(EG78,0)</f>
        <v>3</v>
      </c>
      <c r="EH79" s="20"/>
      <c r="EI79" s="20">
        <f>ROUNDUP(EI78,0)</f>
        <v>3</v>
      </c>
      <c r="EJ79" s="20"/>
      <c r="EK79" s="20">
        <f>ROUNDUP(EK78,0)</f>
        <v>3</v>
      </c>
      <c r="EL79" s="20"/>
      <c r="EM79" s="20">
        <f>ROUNDUP(EM78,0)</f>
        <v>3</v>
      </c>
      <c r="EN79" s="20"/>
      <c r="EO79" s="20">
        <f>ROUNDUP(EO78,0)</f>
        <v>3</v>
      </c>
      <c r="EP79" s="20"/>
      <c r="EQ79" s="20">
        <f>ROUNDUP(EQ78,0)</f>
        <v>3</v>
      </c>
      <c r="ER79" s="20"/>
      <c r="ES79" s="20">
        <f>ROUNDUP(ES78,0)</f>
        <v>3</v>
      </c>
      <c r="ET79" s="20"/>
      <c r="EU79" s="20">
        <f>ROUNDUP(EU78,0)</f>
        <v>3</v>
      </c>
      <c r="EV79" s="20"/>
      <c r="EW79" s="20">
        <f>ROUNDUP(EW78,0)</f>
        <v>3</v>
      </c>
      <c r="EX79" s="20"/>
      <c r="EY79" s="20">
        <f>ROUNDUP(EY78,0)</f>
        <v>3</v>
      </c>
      <c r="EZ79" s="20"/>
      <c r="FA79" s="20">
        <f>ROUNDUP(FA78,0)</f>
        <v>3</v>
      </c>
      <c r="FB79" s="20"/>
      <c r="FC79" s="20">
        <f>ROUNDUP(FC78,0)</f>
        <v>3</v>
      </c>
      <c r="FD79" s="20"/>
      <c r="FE79" s="20">
        <f>ROUNDUP(FE78,0)</f>
        <v>3</v>
      </c>
      <c r="FF79" s="20"/>
      <c r="FG79" s="20">
        <f>ROUNDUP(FG78,0)</f>
        <v>3</v>
      </c>
      <c r="FH79" s="20"/>
      <c r="FI79" s="20">
        <f>ROUNDUP(FI78,0)</f>
        <v>3</v>
      </c>
      <c r="FJ79" s="20"/>
      <c r="FK79" s="20">
        <f>ROUNDUP(FK78,0)</f>
        <v>3</v>
      </c>
      <c r="FL79" s="20"/>
      <c r="FM79" s="20">
        <f>ROUNDUP(FM78,0)</f>
        <v>3</v>
      </c>
      <c r="FN79" s="20"/>
      <c r="FO79" s="20">
        <f>ROUNDUP(FO78,0)</f>
        <v>3</v>
      </c>
      <c r="FP79" s="20"/>
      <c r="FQ79" s="20">
        <f>ROUNDUP(FQ78,0)</f>
        <v>3</v>
      </c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</row>
  </sheetData>
  <autoFilter ref="A3:I79"/>
  <mergeCells count="1079">
    <mergeCell ref="FN16:FN21"/>
    <mergeCell ref="FP16:FP21"/>
    <mergeCell ref="FR28:FR33"/>
    <mergeCell ref="FD16:FD21"/>
    <mergeCell ref="FF16:FF21"/>
    <mergeCell ref="FH16:FH21"/>
    <mergeCell ref="FJ16:FJ21"/>
    <mergeCell ref="FL16:FL21"/>
    <mergeCell ref="ET16:ET21"/>
    <mergeCell ref="EV16:EV21"/>
    <mergeCell ref="EX16:EX21"/>
    <mergeCell ref="EZ16:EZ21"/>
    <mergeCell ref="FB16:FB21"/>
    <mergeCell ref="EJ16:EJ21"/>
    <mergeCell ref="EL16:EL21"/>
    <mergeCell ref="EN16:EN21"/>
    <mergeCell ref="EP16:EP21"/>
    <mergeCell ref="ER16:ER21"/>
    <mergeCell ref="ET28:ET33"/>
    <mergeCell ref="EV28:EV33"/>
    <mergeCell ref="EX28:EX33"/>
    <mergeCell ref="EZ28:EZ33"/>
    <mergeCell ref="FH22:FH27"/>
    <mergeCell ref="FJ22:FJ27"/>
    <mergeCell ref="FL22:FL27"/>
    <mergeCell ref="FN22:FN27"/>
    <mergeCell ref="FP22:FP27"/>
    <mergeCell ref="EX22:EX27"/>
    <mergeCell ref="EZ22:EZ27"/>
    <mergeCell ref="FB22:FB27"/>
    <mergeCell ref="FD22:FD27"/>
    <mergeCell ref="FF22:FF27"/>
    <mergeCell ref="DZ16:DZ21"/>
    <mergeCell ref="EB16:EB21"/>
    <mergeCell ref="ED16:ED21"/>
    <mergeCell ref="EF16:EF21"/>
    <mergeCell ref="EH16:EH21"/>
    <mergeCell ref="DP16:DP21"/>
    <mergeCell ref="DR16:DR21"/>
    <mergeCell ref="DT16:DT21"/>
    <mergeCell ref="DV16:DV21"/>
    <mergeCell ref="DX16:DX21"/>
    <mergeCell ref="DF16:DF21"/>
    <mergeCell ref="DH16:DH21"/>
    <mergeCell ref="DJ16:DJ21"/>
    <mergeCell ref="DL16:DL21"/>
    <mergeCell ref="DN16:DN21"/>
    <mergeCell ref="CV16:CV21"/>
    <mergeCell ref="CX16:CX21"/>
    <mergeCell ref="CZ16:CZ21"/>
    <mergeCell ref="DB16:DB21"/>
    <mergeCell ref="DD16:DD21"/>
    <mergeCell ref="CL16:CL21"/>
    <mergeCell ref="CN16:CN21"/>
    <mergeCell ref="CP16:CP21"/>
    <mergeCell ref="CR16:CR21"/>
    <mergeCell ref="CT16:CT21"/>
    <mergeCell ref="CB16:CB21"/>
    <mergeCell ref="CD16:CD21"/>
    <mergeCell ref="CF16:CF21"/>
    <mergeCell ref="CH16:CH21"/>
    <mergeCell ref="CJ16:CJ21"/>
    <mergeCell ref="BR16:BR21"/>
    <mergeCell ref="BT16:BT21"/>
    <mergeCell ref="BV16:BV21"/>
    <mergeCell ref="BX16:BX21"/>
    <mergeCell ref="BZ16:BZ21"/>
    <mergeCell ref="BH16:BH21"/>
    <mergeCell ref="BJ16:BJ21"/>
    <mergeCell ref="BL16:BL21"/>
    <mergeCell ref="BN16:BN21"/>
    <mergeCell ref="BP16:BP21"/>
    <mergeCell ref="FL70:FL75"/>
    <mergeCell ref="FN70:FN75"/>
    <mergeCell ref="FP70:FP75"/>
    <mergeCell ref="AH16:AH21"/>
    <mergeCell ref="AJ16:AJ21"/>
    <mergeCell ref="AL16:AL21"/>
    <mergeCell ref="AN16:AN21"/>
    <mergeCell ref="AP16:AP21"/>
    <mergeCell ref="AR16:AR21"/>
    <mergeCell ref="AT16:AT21"/>
    <mergeCell ref="AV16:AV21"/>
    <mergeCell ref="AX16:AX21"/>
    <mergeCell ref="AZ16:AZ21"/>
    <mergeCell ref="BB16:BB21"/>
    <mergeCell ref="BD16:BD21"/>
    <mergeCell ref="BF16:BF21"/>
    <mergeCell ref="FB70:FB75"/>
    <mergeCell ref="FD70:FD75"/>
    <mergeCell ref="FF70:FF75"/>
    <mergeCell ref="FH70:FH75"/>
    <mergeCell ref="FJ70:FJ75"/>
    <mergeCell ref="ER70:ER75"/>
    <mergeCell ref="ET70:ET75"/>
    <mergeCell ref="EV70:EV75"/>
    <mergeCell ref="EX70:EX75"/>
    <mergeCell ref="EZ70:EZ75"/>
    <mergeCell ref="EH70:EH75"/>
    <mergeCell ref="EJ70:EJ75"/>
    <mergeCell ref="EL70:EL75"/>
    <mergeCell ref="EN70:EN75"/>
    <mergeCell ref="EP70:EP75"/>
    <mergeCell ref="DX70:DX75"/>
    <mergeCell ref="DZ70:DZ75"/>
    <mergeCell ref="EB70:EB75"/>
    <mergeCell ref="ED70:ED75"/>
    <mergeCell ref="EF70:EF75"/>
    <mergeCell ref="DN70:DN75"/>
    <mergeCell ref="DP70:DP75"/>
    <mergeCell ref="DR70:DR75"/>
    <mergeCell ref="DT70:DT75"/>
    <mergeCell ref="DV70:DV75"/>
    <mergeCell ref="DD70:DD75"/>
    <mergeCell ref="DF70:DF75"/>
    <mergeCell ref="DH70:DH75"/>
    <mergeCell ref="DJ70:DJ75"/>
    <mergeCell ref="DL70:DL75"/>
    <mergeCell ref="CT70:CT75"/>
    <mergeCell ref="CV70:CV75"/>
    <mergeCell ref="CX70:CX75"/>
    <mergeCell ref="CZ70:CZ75"/>
    <mergeCell ref="DB70:DB75"/>
    <mergeCell ref="CJ70:CJ75"/>
    <mergeCell ref="CL70:CL75"/>
    <mergeCell ref="CN70:CN75"/>
    <mergeCell ref="CP70:CP75"/>
    <mergeCell ref="CR70:CR75"/>
    <mergeCell ref="BZ70:BZ75"/>
    <mergeCell ref="CB70:CB75"/>
    <mergeCell ref="CD70:CD75"/>
    <mergeCell ref="CF70:CF75"/>
    <mergeCell ref="CH70:CH75"/>
    <mergeCell ref="BP70:BP75"/>
    <mergeCell ref="BR70:BR75"/>
    <mergeCell ref="BT70:BT75"/>
    <mergeCell ref="BV70:BV75"/>
    <mergeCell ref="BX70:BX75"/>
    <mergeCell ref="BF70:BF75"/>
    <mergeCell ref="BH70:BH75"/>
    <mergeCell ref="BJ70:BJ75"/>
    <mergeCell ref="BL70:BL75"/>
    <mergeCell ref="BN70:BN75"/>
    <mergeCell ref="AV70:AV75"/>
    <mergeCell ref="AX70:AX75"/>
    <mergeCell ref="AZ70:AZ75"/>
    <mergeCell ref="BB70:BB75"/>
    <mergeCell ref="BD70:BD75"/>
    <mergeCell ref="AL70:AL75"/>
    <mergeCell ref="AN70:AN75"/>
    <mergeCell ref="AP70:AP75"/>
    <mergeCell ref="AR70:AR75"/>
    <mergeCell ref="AT70:AT75"/>
    <mergeCell ref="FL64:FL69"/>
    <mergeCell ref="FN64:FN69"/>
    <mergeCell ref="FP64:FP69"/>
    <mergeCell ref="L70:L75"/>
    <mergeCell ref="N70:N75"/>
    <mergeCell ref="P70:P75"/>
    <mergeCell ref="R70:R75"/>
    <mergeCell ref="T70:T75"/>
    <mergeCell ref="V70:V75"/>
    <mergeCell ref="X70:X75"/>
    <mergeCell ref="Z70:Z75"/>
    <mergeCell ref="AB70:AB75"/>
    <mergeCell ref="AD70:AD75"/>
    <mergeCell ref="AF70:AF75"/>
    <mergeCell ref="AH70:AH75"/>
    <mergeCell ref="AJ70:AJ75"/>
    <mergeCell ref="FB64:FB69"/>
    <mergeCell ref="FD64:FD69"/>
    <mergeCell ref="FF64:FF69"/>
    <mergeCell ref="FH64:FH69"/>
    <mergeCell ref="FJ64:FJ69"/>
    <mergeCell ref="ER64:ER69"/>
    <mergeCell ref="ET64:ET69"/>
    <mergeCell ref="EV64:EV69"/>
    <mergeCell ref="EX64:EX69"/>
    <mergeCell ref="EZ64:EZ69"/>
    <mergeCell ref="EH64:EH69"/>
    <mergeCell ref="EJ64:EJ69"/>
    <mergeCell ref="EL64:EL69"/>
    <mergeCell ref="EN64:EN69"/>
    <mergeCell ref="EP64:EP69"/>
    <mergeCell ref="DX64:DX69"/>
    <mergeCell ref="DZ64:DZ69"/>
    <mergeCell ref="EB64:EB69"/>
    <mergeCell ref="ED64:ED69"/>
    <mergeCell ref="EF64:EF69"/>
    <mergeCell ref="DN64:DN69"/>
    <mergeCell ref="DP64:DP69"/>
    <mergeCell ref="DR64:DR69"/>
    <mergeCell ref="DT64:DT69"/>
    <mergeCell ref="DV64:DV69"/>
    <mergeCell ref="DD64:DD69"/>
    <mergeCell ref="DF64:DF69"/>
    <mergeCell ref="DH64:DH69"/>
    <mergeCell ref="DJ64:DJ69"/>
    <mergeCell ref="DL64:DL69"/>
    <mergeCell ref="CT64:CT69"/>
    <mergeCell ref="CV64:CV69"/>
    <mergeCell ref="CX64:CX69"/>
    <mergeCell ref="CZ64:CZ69"/>
    <mergeCell ref="DB64:DB69"/>
    <mergeCell ref="CJ64:CJ69"/>
    <mergeCell ref="CL64:CL69"/>
    <mergeCell ref="CN64:CN69"/>
    <mergeCell ref="CP64:CP69"/>
    <mergeCell ref="CR64:CR69"/>
    <mergeCell ref="BZ64:BZ69"/>
    <mergeCell ref="CB64:CB69"/>
    <mergeCell ref="CD64:CD69"/>
    <mergeCell ref="CF64:CF69"/>
    <mergeCell ref="CH64:CH69"/>
    <mergeCell ref="BP64:BP69"/>
    <mergeCell ref="BR64:BR69"/>
    <mergeCell ref="BT64:BT69"/>
    <mergeCell ref="BV64:BV69"/>
    <mergeCell ref="BX64:BX69"/>
    <mergeCell ref="BF64:BF69"/>
    <mergeCell ref="BH64:BH69"/>
    <mergeCell ref="BJ64:BJ69"/>
    <mergeCell ref="BL64:BL69"/>
    <mergeCell ref="BN64:BN69"/>
    <mergeCell ref="AV64:AV69"/>
    <mergeCell ref="AX64:AX69"/>
    <mergeCell ref="AZ64:AZ69"/>
    <mergeCell ref="BB64:BB69"/>
    <mergeCell ref="BD64:BD69"/>
    <mergeCell ref="AL64:AL69"/>
    <mergeCell ref="AN64:AN69"/>
    <mergeCell ref="AP64:AP69"/>
    <mergeCell ref="AR64:AR69"/>
    <mergeCell ref="AT64:AT69"/>
    <mergeCell ref="FL58:FL63"/>
    <mergeCell ref="FN58:FN63"/>
    <mergeCell ref="FP58:FP63"/>
    <mergeCell ref="L64:L69"/>
    <mergeCell ref="N64:N69"/>
    <mergeCell ref="P64:P69"/>
    <mergeCell ref="R64:R69"/>
    <mergeCell ref="T64:T69"/>
    <mergeCell ref="V64:V69"/>
    <mergeCell ref="X64:X69"/>
    <mergeCell ref="Z64:Z69"/>
    <mergeCell ref="AB64:AB69"/>
    <mergeCell ref="AD64:AD69"/>
    <mergeCell ref="AF64:AF69"/>
    <mergeCell ref="AH64:AH69"/>
    <mergeCell ref="AJ64:AJ69"/>
    <mergeCell ref="FB58:FB63"/>
    <mergeCell ref="FD58:FD63"/>
    <mergeCell ref="FF58:FF63"/>
    <mergeCell ref="FH58:FH63"/>
    <mergeCell ref="FJ58:FJ63"/>
    <mergeCell ref="ER58:ER63"/>
    <mergeCell ref="ET58:ET63"/>
    <mergeCell ref="EV58:EV63"/>
    <mergeCell ref="EX58:EX63"/>
    <mergeCell ref="EZ58:EZ63"/>
    <mergeCell ref="EH58:EH63"/>
    <mergeCell ref="EJ58:EJ63"/>
    <mergeCell ref="EL58:EL63"/>
    <mergeCell ref="EN58:EN63"/>
    <mergeCell ref="EP58:EP63"/>
    <mergeCell ref="DX58:DX63"/>
    <mergeCell ref="DZ58:DZ63"/>
    <mergeCell ref="EB58:EB63"/>
    <mergeCell ref="ED58:ED63"/>
    <mergeCell ref="EF58:EF63"/>
    <mergeCell ref="DN58:DN63"/>
    <mergeCell ref="DP58:DP63"/>
    <mergeCell ref="DR58:DR63"/>
    <mergeCell ref="DT58:DT63"/>
    <mergeCell ref="DV58:DV63"/>
    <mergeCell ref="DD58:DD63"/>
    <mergeCell ref="DF58:DF63"/>
    <mergeCell ref="DH58:DH63"/>
    <mergeCell ref="DJ58:DJ63"/>
    <mergeCell ref="DL58:DL63"/>
    <mergeCell ref="CT58:CT63"/>
    <mergeCell ref="CV58:CV63"/>
    <mergeCell ref="CX58:CX63"/>
    <mergeCell ref="CZ58:CZ63"/>
    <mergeCell ref="DB58:DB63"/>
    <mergeCell ref="CJ58:CJ63"/>
    <mergeCell ref="CL58:CL63"/>
    <mergeCell ref="CN58:CN63"/>
    <mergeCell ref="CP58:CP63"/>
    <mergeCell ref="CR58:CR63"/>
    <mergeCell ref="BZ58:BZ63"/>
    <mergeCell ref="CB58:CB63"/>
    <mergeCell ref="CD58:CD63"/>
    <mergeCell ref="CF58:CF63"/>
    <mergeCell ref="CH58:CH63"/>
    <mergeCell ref="BP58:BP63"/>
    <mergeCell ref="BR58:BR63"/>
    <mergeCell ref="BT58:BT63"/>
    <mergeCell ref="BV58:BV63"/>
    <mergeCell ref="BX58:BX63"/>
    <mergeCell ref="BF58:BF63"/>
    <mergeCell ref="BH58:BH63"/>
    <mergeCell ref="BJ58:BJ63"/>
    <mergeCell ref="BL58:BL63"/>
    <mergeCell ref="BN58:BN63"/>
    <mergeCell ref="AV58:AV63"/>
    <mergeCell ref="AX58:AX63"/>
    <mergeCell ref="AZ58:AZ63"/>
    <mergeCell ref="BB58:BB63"/>
    <mergeCell ref="BD58:BD63"/>
    <mergeCell ref="AL58:AL63"/>
    <mergeCell ref="AN58:AN63"/>
    <mergeCell ref="AP58:AP63"/>
    <mergeCell ref="AR58:AR63"/>
    <mergeCell ref="AT58:AT63"/>
    <mergeCell ref="FL52:FL57"/>
    <mergeCell ref="FN52:FN57"/>
    <mergeCell ref="FP52:FP57"/>
    <mergeCell ref="L58:L63"/>
    <mergeCell ref="N58:N63"/>
    <mergeCell ref="P58:P63"/>
    <mergeCell ref="R58:R63"/>
    <mergeCell ref="T58:T63"/>
    <mergeCell ref="V58:V63"/>
    <mergeCell ref="X58:X63"/>
    <mergeCell ref="Z58:Z63"/>
    <mergeCell ref="AB58:AB63"/>
    <mergeCell ref="AD58:AD63"/>
    <mergeCell ref="AF58:AF63"/>
    <mergeCell ref="AH58:AH63"/>
    <mergeCell ref="AJ58:AJ63"/>
    <mergeCell ref="FB52:FB57"/>
    <mergeCell ref="FD52:FD57"/>
    <mergeCell ref="FF52:FF57"/>
    <mergeCell ref="FH52:FH57"/>
    <mergeCell ref="FJ52:FJ57"/>
    <mergeCell ref="ER52:ER57"/>
    <mergeCell ref="ET52:ET57"/>
    <mergeCell ref="EV52:EV57"/>
    <mergeCell ref="EX52:EX57"/>
    <mergeCell ref="EZ52:EZ57"/>
    <mergeCell ref="EH52:EH57"/>
    <mergeCell ref="EJ52:EJ57"/>
    <mergeCell ref="EL52:EL57"/>
    <mergeCell ref="EN52:EN57"/>
    <mergeCell ref="EP52:EP57"/>
    <mergeCell ref="DX52:DX57"/>
    <mergeCell ref="DZ52:DZ57"/>
    <mergeCell ref="EB52:EB57"/>
    <mergeCell ref="ED52:ED57"/>
    <mergeCell ref="EF52:EF57"/>
    <mergeCell ref="DN52:DN57"/>
    <mergeCell ref="DP52:DP57"/>
    <mergeCell ref="DR52:DR57"/>
    <mergeCell ref="DT52:DT57"/>
    <mergeCell ref="DV52:DV57"/>
    <mergeCell ref="DD52:DD57"/>
    <mergeCell ref="DF52:DF57"/>
    <mergeCell ref="DH52:DH57"/>
    <mergeCell ref="DJ52:DJ57"/>
    <mergeCell ref="DL52:DL57"/>
    <mergeCell ref="CT52:CT57"/>
    <mergeCell ref="CV52:CV57"/>
    <mergeCell ref="CX52:CX57"/>
    <mergeCell ref="CZ52:CZ57"/>
    <mergeCell ref="DB52:DB57"/>
    <mergeCell ref="CJ52:CJ57"/>
    <mergeCell ref="CL52:CL57"/>
    <mergeCell ref="CN52:CN57"/>
    <mergeCell ref="CP52:CP57"/>
    <mergeCell ref="CR52:CR57"/>
    <mergeCell ref="BZ52:BZ57"/>
    <mergeCell ref="CB52:CB57"/>
    <mergeCell ref="CD52:CD57"/>
    <mergeCell ref="CF52:CF57"/>
    <mergeCell ref="CH52:CH57"/>
    <mergeCell ref="BP52:BP57"/>
    <mergeCell ref="BR52:BR57"/>
    <mergeCell ref="BT52:BT57"/>
    <mergeCell ref="BV52:BV57"/>
    <mergeCell ref="BX52:BX57"/>
    <mergeCell ref="BF52:BF57"/>
    <mergeCell ref="BH52:BH57"/>
    <mergeCell ref="BJ52:BJ57"/>
    <mergeCell ref="BL52:BL57"/>
    <mergeCell ref="BN52:BN57"/>
    <mergeCell ref="AV52:AV57"/>
    <mergeCell ref="AX52:AX57"/>
    <mergeCell ref="AZ52:AZ57"/>
    <mergeCell ref="BB52:BB57"/>
    <mergeCell ref="BD52:BD57"/>
    <mergeCell ref="AL52:AL57"/>
    <mergeCell ref="AN52:AN57"/>
    <mergeCell ref="AP52:AP57"/>
    <mergeCell ref="AR52:AR57"/>
    <mergeCell ref="AT52:AT57"/>
    <mergeCell ref="FL46:FL51"/>
    <mergeCell ref="FN46:FN51"/>
    <mergeCell ref="FP46:FP51"/>
    <mergeCell ref="L52:L57"/>
    <mergeCell ref="N52:N57"/>
    <mergeCell ref="P52:P57"/>
    <mergeCell ref="R52:R57"/>
    <mergeCell ref="T52:T57"/>
    <mergeCell ref="V52:V57"/>
    <mergeCell ref="X52:X57"/>
    <mergeCell ref="Z52:Z57"/>
    <mergeCell ref="AB52:AB57"/>
    <mergeCell ref="AD52:AD57"/>
    <mergeCell ref="AF52:AF57"/>
    <mergeCell ref="AH52:AH57"/>
    <mergeCell ref="AJ52:AJ57"/>
    <mergeCell ref="FB46:FB51"/>
    <mergeCell ref="FD46:FD51"/>
    <mergeCell ref="FF46:FF51"/>
    <mergeCell ref="FH46:FH51"/>
    <mergeCell ref="FJ46:FJ51"/>
    <mergeCell ref="ER46:ER51"/>
    <mergeCell ref="ET46:ET51"/>
    <mergeCell ref="EV46:EV51"/>
    <mergeCell ref="EX46:EX51"/>
    <mergeCell ref="EZ46:EZ51"/>
    <mergeCell ref="EH46:EH51"/>
    <mergeCell ref="EJ46:EJ51"/>
    <mergeCell ref="EL46:EL51"/>
    <mergeCell ref="EN46:EN51"/>
    <mergeCell ref="EP46:EP51"/>
    <mergeCell ref="DX46:DX51"/>
    <mergeCell ref="DZ46:DZ51"/>
    <mergeCell ref="EB46:EB51"/>
    <mergeCell ref="ED46:ED51"/>
    <mergeCell ref="EF46:EF51"/>
    <mergeCell ref="DN46:DN51"/>
    <mergeCell ref="DP46:DP51"/>
    <mergeCell ref="DR46:DR51"/>
    <mergeCell ref="DT46:DT51"/>
    <mergeCell ref="DV46:DV51"/>
    <mergeCell ref="DD46:DD51"/>
    <mergeCell ref="DF46:DF51"/>
    <mergeCell ref="DH46:DH51"/>
    <mergeCell ref="DJ46:DJ51"/>
    <mergeCell ref="DL46:DL51"/>
    <mergeCell ref="CT46:CT51"/>
    <mergeCell ref="CV46:CV51"/>
    <mergeCell ref="CX46:CX51"/>
    <mergeCell ref="CZ46:CZ51"/>
    <mergeCell ref="DB46:DB51"/>
    <mergeCell ref="CJ46:CJ51"/>
    <mergeCell ref="CL46:CL51"/>
    <mergeCell ref="CN46:CN51"/>
    <mergeCell ref="CP46:CP51"/>
    <mergeCell ref="CR46:CR51"/>
    <mergeCell ref="BZ46:BZ51"/>
    <mergeCell ref="CB46:CB51"/>
    <mergeCell ref="CD46:CD51"/>
    <mergeCell ref="CF46:CF51"/>
    <mergeCell ref="CH46:CH51"/>
    <mergeCell ref="BP46:BP51"/>
    <mergeCell ref="BR46:BR51"/>
    <mergeCell ref="BT46:BT51"/>
    <mergeCell ref="BV46:BV51"/>
    <mergeCell ref="BX46:BX51"/>
    <mergeCell ref="BF46:BF51"/>
    <mergeCell ref="BH46:BH51"/>
    <mergeCell ref="BJ46:BJ51"/>
    <mergeCell ref="BL46:BL51"/>
    <mergeCell ref="BN46:BN51"/>
    <mergeCell ref="AV46:AV51"/>
    <mergeCell ref="AX46:AX51"/>
    <mergeCell ref="AZ46:AZ51"/>
    <mergeCell ref="BB46:BB51"/>
    <mergeCell ref="BD46:BD51"/>
    <mergeCell ref="AL46:AL51"/>
    <mergeCell ref="AN46:AN51"/>
    <mergeCell ref="AP46:AP51"/>
    <mergeCell ref="AR46:AR51"/>
    <mergeCell ref="AT46:AT51"/>
    <mergeCell ref="FL40:FL45"/>
    <mergeCell ref="FN40:FN45"/>
    <mergeCell ref="FP40:FP45"/>
    <mergeCell ref="L46:L51"/>
    <mergeCell ref="N46:N51"/>
    <mergeCell ref="P46:P51"/>
    <mergeCell ref="R46:R51"/>
    <mergeCell ref="T46:T51"/>
    <mergeCell ref="V46:V51"/>
    <mergeCell ref="X46:X51"/>
    <mergeCell ref="Z46:Z51"/>
    <mergeCell ref="AB46:AB51"/>
    <mergeCell ref="AD46:AD51"/>
    <mergeCell ref="AF46:AF51"/>
    <mergeCell ref="AH46:AH51"/>
    <mergeCell ref="AJ46:AJ51"/>
    <mergeCell ref="FB40:FB45"/>
    <mergeCell ref="FD40:FD45"/>
    <mergeCell ref="FF40:FF45"/>
    <mergeCell ref="FH40:FH45"/>
    <mergeCell ref="FJ40:FJ45"/>
    <mergeCell ref="ER40:ER45"/>
    <mergeCell ref="ET40:ET45"/>
    <mergeCell ref="EV40:EV45"/>
    <mergeCell ref="EX40:EX45"/>
    <mergeCell ref="EZ40:EZ45"/>
    <mergeCell ref="EH40:EH45"/>
    <mergeCell ref="EJ40:EJ45"/>
    <mergeCell ref="EL40:EL45"/>
    <mergeCell ref="EN40:EN45"/>
    <mergeCell ref="EP40:EP45"/>
    <mergeCell ref="DX40:DX45"/>
    <mergeCell ref="DZ40:DZ45"/>
    <mergeCell ref="EB40:EB45"/>
    <mergeCell ref="ED40:ED45"/>
    <mergeCell ref="EF40:EF45"/>
    <mergeCell ref="DN40:DN45"/>
    <mergeCell ref="DP40:DP45"/>
    <mergeCell ref="DR40:DR45"/>
    <mergeCell ref="DT40:DT45"/>
    <mergeCell ref="DV40:DV45"/>
    <mergeCell ref="DD40:DD45"/>
    <mergeCell ref="DF40:DF45"/>
    <mergeCell ref="DH40:DH45"/>
    <mergeCell ref="DJ40:DJ45"/>
    <mergeCell ref="DL40:DL45"/>
    <mergeCell ref="CT40:CT45"/>
    <mergeCell ref="CV40:CV45"/>
    <mergeCell ref="CX40:CX45"/>
    <mergeCell ref="CZ40:CZ45"/>
    <mergeCell ref="DB40:DB45"/>
    <mergeCell ref="CJ40:CJ45"/>
    <mergeCell ref="CL40:CL45"/>
    <mergeCell ref="CN40:CN45"/>
    <mergeCell ref="CP40:CP45"/>
    <mergeCell ref="CR40:CR45"/>
    <mergeCell ref="BZ40:BZ45"/>
    <mergeCell ref="CB40:CB45"/>
    <mergeCell ref="CD40:CD45"/>
    <mergeCell ref="CF40:CF45"/>
    <mergeCell ref="CH40:CH45"/>
    <mergeCell ref="BP40:BP45"/>
    <mergeCell ref="BR40:BR45"/>
    <mergeCell ref="BT40:BT45"/>
    <mergeCell ref="BV40:BV45"/>
    <mergeCell ref="BX40:BX45"/>
    <mergeCell ref="BF40:BF45"/>
    <mergeCell ref="BH40:BH45"/>
    <mergeCell ref="BJ40:BJ45"/>
    <mergeCell ref="BL40:BL45"/>
    <mergeCell ref="BN40:BN45"/>
    <mergeCell ref="AV40:AV45"/>
    <mergeCell ref="AX40:AX45"/>
    <mergeCell ref="AZ40:AZ45"/>
    <mergeCell ref="BB40:BB45"/>
    <mergeCell ref="BD40:BD45"/>
    <mergeCell ref="AL40:AL45"/>
    <mergeCell ref="AN40:AN45"/>
    <mergeCell ref="AP40:AP45"/>
    <mergeCell ref="AR40:AR45"/>
    <mergeCell ref="AT40:AT45"/>
    <mergeCell ref="FL34:FL39"/>
    <mergeCell ref="FN34:FN39"/>
    <mergeCell ref="FP34:FP39"/>
    <mergeCell ref="L40:L45"/>
    <mergeCell ref="N40:N45"/>
    <mergeCell ref="P40:P45"/>
    <mergeCell ref="R40:R45"/>
    <mergeCell ref="T40:T45"/>
    <mergeCell ref="V40:V45"/>
    <mergeCell ref="X40:X45"/>
    <mergeCell ref="Z40:Z45"/>
    <mergeCell ref="AB40:AB45"/>
    <mergeCell ref="AD40:AD45"/>
    <mergeCell ref="AF40:AF45"/>
    <mergeCell ref="AH40:AH45"/>
    <mergeCell ref="AJ40:AJ45"/>
    <mergeCell ref="FB34:FB39"/>
    <mergeCell ref="FD34:FD39"/>
    <mergeCell ref="FF34:FF39"/>
    <mergeCell ref="FH34:FH39"/>
    <mergeCell ref="FJ34:FJ39"/>
    <mergeCell ref="ER34:ER39"/>
    <mergeCell ref="ET34:ET39"/>
    <mergeCell ref="EV34:EV39"/>
    <mergeCell ref="EX34:EX39"/>
    <mergeCell ref="EZ34:EZ39"/>
    <mergeCell ref="EH34:EH39"/>
    <mergeCell ref="EJ34:EJ39"/>
    <mergeCell ref="EL34:EL39"/>
    <mergeCell ref="EN34:EN39"/>
    <mergeCell ref="EP34:EP39"/>
    <mergeCell ref="DX34:DX39"/>
    <mergeCell ref="DZ34:DZ39"/>
    <mergeCell ref="EB34:EB39"/>
    <mergeCell ref="ED34:ED39"/>
    <mergeCell ref="EF34:EF39"/>
    <mergeCell ref="DN34:DN39"/>
    <mergeCell ref="DP34:DP39"/>
    <mergeCell ref="DR34:DR39"/>
    <mergeCell ref="DT34:DT39"/>
    <mergeCell ref="DV34:DV39"/>
    <mergeCell ref="DD34:DD39"/>
    <mergeCell ref="DF34:DF39"/>
    <mergeCell ref="DH34:DH39"/>
    <mergeCell ref="DJ34:DJ39"/>
    <mergeCell ref="DL34:DL39"/>
    <mergeCell ref="CT34:CT39"/>
    <mergeCell ref="CV34:CV39"/>
    <mergeCell ref="CX34:CX39"/>
    <mergeCell ref="CZ34:CZ39"/>
    <mergeCell ref="DB34:DB39"/>
    <mergeCell ref="CJ34:CJ39"/>
    <mergeCell ref="CL34:CL39"/>
    <mergeCell ref="CN34:CN39"/>
    <mergeCell ref="CP34:CP39"/>
    <mergeCell ref="CR34:CR39"/>
    <mergeCell ref="BZ34:BZ39"/>
    <mergeCell ref="CB34:CB39"/>
    <mergeCell ref="CD34:CD39"/>
    <mergeCell ref="CF34:CF39"/>
    <mergeCell ref="CH34:CH39"/>
    <mergeCell ref="BP34:BP39"/>
    <mergeCell ref="BR34:BR39"/>
    <mergeCell ref="BT34:BT39"/>
    <mergeCell ref="BV34:BV39"/>
    <mergeCell ref="BX34:BX39"/>
    <mergeCell ref="BF34:BF39"/>
    <mergeCell ref="BH34:BH39"/>
    <mergeCell ref="BJ34:BJ39"/>
    <mergeCell ref="BL34:BL39"/>
    <mergeCell ref="BN34:BN39"/>
    <mergeCell ref="AV34:AV39"/>
    <mergeCell ref="AX34:AX39"/>
    <mergeCell ref="AZ34:AZ39"/>
    <mergeCell ref="BB34:BB39"/>
    <mergeCell ref="BD34:BD39"/>
    <mergeCell ref="AL34:AL39"/>
    <mergeCell ref="AN34:AN39"/>
    <mergeCell ref="AP34:AP39"/>
    <mergeCell ref="AR34:AR39"/>
    <mergeCell ref="AT34:AT39"/>
    <mergeCell ref="FL28:FL33"/>
    <mergeCell ref="FN28:FN33"/>
    <mergeCell ref="FP28:FP33"/>
    <mergeCell ref="L34:L39"/>
    <mergeCell ref="N34:N39"/>
    <mergeCell ref="P34:P39"/>
    <mergeCell ref="R34:R39"/>
    <mergeCell ref="T34:T39"/>
    <mergeCell ref="V34:V39"/>
    <mergeCell ref="X34:X39"/>
    <mergeCell ref="Z34:Z39"/>
    <mergeCell ref="AB34:AB39"/>
    <mergeCell ref="AD34:AD39"/>
    <mergeCell ref="AF34:AF39"/>
    <mergeCell ref="AH34:AH39"/>
    <mergeCell ref="AJ34:AJ39"/>
    <mergeCell ref="FB28:FB33"/>
    <mergeCell ref="FD28:FD33"/>
    <mergeCell ref="FF28:FF33"/>
    <mergeCell ref="FH28:FH33"/>
    <mergeCell ref="FJ28:FJ33"/>
    <mergeCell ref="ER28:ER33"/>
    <mergeCell ref="EH28:EH33"/>
    <mergeCell ref="EJ28:EJ33"/>
    <mergeCell ref="EL28:EL33"/>
    <mergeCell ref="EN28:EN33"/>
    <mergeCell ref="EP28:EP33"/>
    <mergeCell ref="DX28:DX33"/>
    <mergeCell ref="DZ28:DZ33"/>
    <mergeCell ref="EB28:EB33"/>
    <mergeCell ref="ED28:ED33"/>
    <mergeCell ref="EF28:EF33"/>
    <mergeCell ref="DN28:DN33"/>
    <mergeCell ref="DP28:DP33"/>
    <mergeCell ref="DR28:DR33"/>
    <mergeCell ref="DT28:DT33"/>
    <mergeCell ref="DV28:DV33"/>
    <mergeCell ref="DD28:DD33"/>
    <mergeCell ref="DF28:DF33"/>
    <mergeCell ref="DH28:DH33"/>
    <mergeCell ref="DJ28:DJ33"/>
    <mergeCell ref="DL28:DL33"/>
    <mergeCell ref="CT28:CT33"/>
    <mergeCell ref="CV28:CV33"/>
    <mergeCell ref="CX28:CX33"/>
    <mergeCell ref="CZ28:CZ33"/>
    <mergeCell ref="DB28:DB33"/>
    <mergeCell ref="CJ28:CJ33"/>
    <mergeCell ref="CL28:CL33"/>
    <mergeCell ref="CN28:CN33"/>
    <mergeCell ref="CP28:CP33"/>
    <mergeCell ref="CR28:CR33"/>
    <mergeCell ref="BZ28:BZ33"/>
    <mergeCell ref="CB28:CB33"/>
    <mergeCell ref="CD28:CD33"/>
    <mergeCell ref="CF28:CF33"/>
    <mergeCell ref="CH28:CH33"/>
    <mergeCell ref="BP28:BP33"/>
    <mergeCell ref="BR28:BR33"/>
    <mergeCell ref="BT28:BT33"/>
    <mergeCell ref="BV28:BV33"/>
    <mergeCell ref="BX28:BX33"/>
    <mergeCell ref="BF28:BF33"/>
    <mergeCell ref="BH28:BH33"/>
    <mergeCell ref="BJ28:BJ33"/>
    <mergeCell ref="BL28:BL33"/>
    <mergeCell ref="BN28:BN33"/>
    <mergeCell ref="AV28:AV33"/>
    <mergeCell ref="AX28:AX33"/>
    <mergeCell ref="AZ28:AZ33"/>
    <mergeCell ref="BB28:BB33"/>
    <mergeCell ref="BD28:BD33"/>
    <mergeCell ref="AL28:AL33"/>
    <mergeCell ref="AN28:AN33"/>
    <mergeCell ref="AP28:AP33"/>
    <mergeCell ref="AR28:AR33"/>
    <mergeCell ref="AT28:AT33"/>
    <mergeCell ref="AB28:AB33"/>
    <mergeCell ref="AD28:AD33"/>
    <mergeCell ref="AF28:AF33"/>
    <mergeCell ref="AH28:AH33"/>
    <mergeCell ref="AJ28:AJ33"/>
    <mergeCell ref="EN22:EN27"/>
    <mergeCell ref="EP22:EP27"/>
    <mergeCell ref="ER22:ER27"/>
    <mergeCell ref="ET22:ET27"/>
    <mergeCell ref="EV22:EV27"/>
    <mergeCell ref="ED22:ED27"/>
    <mergeCell ref="EF22:EF27"/>
    <mergeCell ref="EH22:EH27"/>
    <mergeCell ref="EJ22:EJ27"/>
    <mergeCell ref="EL22:EL27"/>
    <mergeCell ref="DT22:DT27"/>
    <mergeCell ref="DV22:DV27"/>
    <mergeCell ref="DX22:DX27"/>
    <mergeCell ref="DZ22:DZ27"/>
    <mergeCell ref="EB22:EB27"/>
    <mergeCell ref="DJ22:DJ27"/>
    <mergeCell ref="DL22:DL27"/>
    <mergeCell ref="DN22:DN27"/>
    <mergeCell ref="DP22:DP27"/>
    <mergeCell ref="DR22:DR27"/>
    <mergeCell ref="CZ22:CZ27"/>
    <mergeCell ref="DB22:DB27"/>
    <mergeCell ref="DD22:DD27"/>
    <mergeCell ref="DF22:DF27"/>
    <mergeCell ref="DH22:DH27"/>
    <mergeCell ref="CP22:CP27"/>
    <mergeCell ref="CR22:CR27"/>
    <mergeCell ref="CT22:CT27"/>
    <mergeCell ref="CV22:CV27"/>
    <mergeCell ref="CX22:CX27"/>
    <mergeCell ref="CF22:CF27"/>
    <mergeCell ref="CH22:CH27"/>
    <mergeCell ref="CJ22:CJ27"/>
    <mergeCell ref="CL22:CL27"/>
    <mergeCell ref="CN22:CN27"/>
    <mergeCell ref="BV22:BV27"/>
    <mergeCell ref="BX22:BX27"/>
    <mergeCell ref="BZ22:BZ27"/>
    <mergeCell ref="CB22:CB27"/>
    <mergeCell ref="CD22:CD27"/>
    <mergeCell ref="BL22:BL27"/>
    <mergeCell ref="BN22:BN27"/>
    <mergeCell ref="BP22:BP27"/>
    <mergeCell ref="BR22:BR27"/>
    <mergeCell ref="BT22:BT27"/>
    <mergeCell ref="BB22:BB27"/>
    <mergeCell ref="BD22:BD27"/>
    <mergeCell ref="BF22:BF27"/>
    <mergeCell ref="BH22:BH27"/>
    <mergeCell ref="BJ22:BJ27"/>
    <mergeCell ref="AR22:AR27"/>
    <mergeCell ref="AT22:AT27"/>
    <mergeCell ref="AV22:AV27"/>
    <mergeCell ref="AX22:AX27"/>
    <mergeCell ref="AZ22:AZ27"/>
    <mergeCell ref="AH22:AH27"/>
    <mergeCell ref="AJ22:AJ27"/>
    <mergeCell ref="AL22:AL27"/>
    <mergeCell ref="AN22:AN27"/>
    <mergeCell ref="AP22:AP27"/>
    <mergeCell ref="AD16:AD21"/>
    <mergeCell ref="AF16:AF21"/>
    <mergeCell ref="J22:J27"/>
    <mergeCell ref="J28:J33"/>
    <mergeCell ref="J34:J39"/>
    <mergeCell ref="T22:T27"/>
    <mergeCell ref="V22:V27"/>
    <mergeCell ref="X22:X27"/>
    <mergeCell ref="Z22:Z27"/>
    <mergeCell ref="AB22:AB27"/>
    <mergeCell ref="AD22:AD27"/>
    <mergeCell ref="AF22:AF27"/>
    <mergeCell ref="T28:T33"/>
    <mergeCell ref="V28:V33"/>
    <mergeCell ref="X28:X33"/>
    <mergeCell ref="Z28:Z33"/>
    <mergeCell ref="T16:T21"/>
    <mergeCell ref="V16:V21"/>
    <mergeCell ref="X16:X21"/>
    <mergeCell ref="Z16:Z21"/>
    <mergeCell ref="AB16:AB21"/>
    <mergeCell ref="J16:J21"/>
    <mergeCell ref="L16:L21"/>
    <mergeCell ref="N16:N21"/>
    <mergeCell ref="P16:P21"/>
    <mergeCell ref="R16:R21"/>
    <mergeCell ref="H46:H51"/>
    <mergeCell ref="H52:H57"/>
    <mergeCell ref="H58:H63"/>
    <mergeCell ref="H64:H69"/>
    <mergeCell ref="H70:H75"/>
    <mergeCell ref="H16:H21"/>
    <mergeCell ref="H22:H27"/>
    <mergeCell ref="H28:H33"/>
    <mergeCell ref="H34:H39"/>
    <mergeCell ref="H40:H45"/>
    <mergeCell ref="J70:J75"/>
    <mergeCell ref="L22:L27"/>
    <mergeCell ref="N22:N27"/>
    <mergeCell ref="P22:P27"/>
    <mergeCell ref="R22:R27"/>
    <mergeCell ref="L28:L33"/>
    <mergeCell ref="N28:N33"/>
    <mergeCell ref="P28:P33"/>
    <mergeCell ref="R28:R33"/>
    <mergeCell ref="J40:J45"/>
    <mergeCell ref="J46:J51"/>
    <mergeCell ref="J52:J57"/>
    <mergeCell ref="J58:J63"/>
    <mergeCell ref="J64:J69"/>
    <mergeCell ref="FH10:FH15"/>
    <mergeCell ref="FJ10:FJ15"/>
    <mergeCell ref="FL10:FL15"/>
    <mergeCell ref="FN10:FN15"/>
    <mergeCell ref="FP10:FP15"/>
    <mergeCell ref="EX10:EX15"/>
    <mergeCell ref="EZ10:EZ15"/>
    <mergeCell ref="FB10:FB15"/>
    <mergeCell ref="FD10:FD15"/>
    <mergeCell ref="FF10:FF15"/>
    <mergeCell ref="EN10:EN15"/>
    <mergeCell ref="EP10:EP15"/>
    <mergeCell ref="ER10:ER15"/>
    <mergeCell ref="ET10:ET15"/>
    <mergeCell ref="EV10:EV15"/>
    <mergeCell ref="ED10:ED15"/>
    <mergeCell ref="EF10:EF15"/>
    <mergeCell ref="EH10:EH15"/>
    <mergeCell ref="EJ10:EJ15"/>
    <mergeCell ref="EL10:EL15"/>
    <mergeCell ref="DT10:DT15"/>
    <mergeCell ref="DV10:DV15"/>
    <mergeCell ref="DX10:DX15"/>
    <mergeCell ref="DZ10:DZ15"/>
    <mergeCell ref="EB10:EB15"/>
    <mergeCell ref="DJ10:DJ15"/>
    <mergeCell ref="DL10:DL15"/>
    <mergeCell ref="DN10:DN15"/>
    <mergeCell ref="DP10:DP15"/>
    <mergeCell ref="DR10:DR15"/>
    <mergeCell ref="CZ10:CZ15"/>
    <mergeCell ref="DB10:DB15"/>
    <mergeCell ref="DD10:DD15"/>
    <mergeCell ref="DF10:DF15"/>
    <mergeCell ref="DH10:DH15"/>
    <mergeCell ref="CP10:CP15"/>
    <mergeCell ref="CR10:CR15"/>
    <mergeCell ref="CT10:CT15"/>
    <mergeCell ref="CV10:CV15"/>
    <mergeCell ref="CX10:CX15"/>
    <mergeCell ref="CF10:CF15"/>
    <mergeCell ref="CH10:CH15"/>
    <mergeCell ref="CJ10:CJ15"/>
    <mergeCell ref="CL10:CL15"/>
    <mergeCell ref="CN10:CN15"/>
    <mergeCell ref="BV10:BV15"/>
    <mergeCell ref="BX10:BX15"/>
    <mergeCell ref="BZ10:BZ15"/>
    <mergeCell ref="CB10:CB15"/>
    <mergeCell ref="CD10:CD15"/>
    <mergeCell ref="BL10:BL15"/>
    <mergeCell ref="BN10:BN15"/>
    <mergeCell ref="BP10:BP15"/>
    <mergeCell ref="BR10:BR15"/>
    <mergeCell ref="BT10:BT15"/>
    <mergeCell ref="BB10:BB15"/>
    <mergeCell ref="BD10:BD15"/>
    <mergeCell ref="BF10:BF15"/>
    <mergeCell ref="BH10:BH15"/>
    <mergeCell ref="BJ10:BJ15"/>
    <mergeCell ref="AR10:AR15"/>
    <mergeCell ref="AT10:AT15"/>
    <mergeCell ref="AV10:AV15"/>
    <mergeCell ref="AX10:AX15"/>
    <mergeCell ref="AZ10:AZ15"/>
    <mergeCell ref="AH10:AH15"/>
    <mergeCell ref="AJ10:AJ15"/>
    <mergeCell ref="AL10:AL15"/>
    <mergeCell ref="AN10:AN15"/>
    <mergeCell ref="AP10:AP15"/>
    <mergeCell ref="FN4:FN9"/>
    <mergeCell ref="FP4:FP9"/>
    <mergeCell ref="H10:H15"/>
    <mergeCell ref="J10:J15"/>
    <mergeCell ref="L10:L15"/>
    <mergeCell ref="N10:N15"/>
    <mergeCell ref="P10:P15"/>
    <mergeCell ref="R10:R15"/>
    <mergeCell ref="T10:T15"/>
    <mergeCell ref="V10:V15"/>
    <mergeCell ref="X10:X15"/>
    <mergeCell ref="Z10:Z15"/>
    <mergeCell ref="AB10:AB15"/>
    <mergeCell ref="AD10:AD15"/>
    <mergeCell ref="AF10:AF15"/>
    <mergeCell ref="FD4:FD9"/>
    <mergeCell ref="FF4:FF9"/>
    <mergeCell ref="FH4:FH9"/>
    <mergeCell ref="FJ4:FJ9"/>
    <mergeCell ref="FL4:FL9"/>
    <mergeCell ref="ET4:ET9"/>
    <mergeCell ref="EV4:EV9"/>
    <mergeCell ref="EX4:EX9"/>
    <mergeCell ref="EZ4:EZ9"/>
    <mergeCell ref="FB4:FB9"/>
    <mergeCell ref="EJ4:EJ9"/>
    <mergeCell ref="EL4:EL9"/>
    <mergeCell ref="EN4:EN9"/>
    <mergeCell ref="EP4:EP9"/>
    <mergeCell ref="ER4:ER9"/>
    <mergeCell ref="DJ4:DJ9"/>
    <mergeCell ref="DL4:DL9"/>
    <mergeCell ref="DN4:DN9"/>
    <mergeCell ref="DP4:DP9"/>
    <mergeCell ref="DR4:DR9"/>
    <mergeCell ref="DT4:DT9"/>
    <mergeCell ref="DV4:DV9"/>
    <mergeCell ref="DX4:DX9"/>
    <mergeCell ref="DZ4:DZ9"/>
    <mergeCell ref="EB4:EB9"/>
    <mergeCell ref="ED4:ED9"/>
    <mergeCell ref="EF4:EF9"/>
    <mergeCell ref="EH4:EH9"/>
    <mergeCell ref="FJ3:FK3"/>
    <mergeCell ref="FL3:FM3"/>
    <mergeCell ref="FN3:FO3"/>
    <mergeCell ref="FP3:FQ3"/>
    <mergeCell ref="EZ3:FA3"/>
    <mergeCell ref="FB3:FC3"/>
    <mergeCell ref="FD3:FE3"/>
    <mergeCell ref="FF3:FG3"/>
    <mergeCell ref="FH3:FI3"/>
    <mergeCell ref="EP3:EQ3"/>
    <mergeCell ref="ER3:ES3"/>
    <mergeCell ref="ET3:EU3"/>
    <mergeCell ref="EV3:EW3"/>
    <mergeCell ref="EX3:EY3"/>
    <mergeCell ref="EF3:EG3"/>
    <mergeCell ref="EH3:EI3"/>
    <mergeCell ref="EJ3:EK3"/>
    <mergeCell ref="EL3:EM3"/>
    <mergeCell ref="EN3:EO3"/>
    <mergeCell ref="DV3:DW3"/>
    <mergeCell ref="DX3:DY3"/>
    <mergeCell ref="DZ3:EA3"/>
    <mergeCell ref="EB3:EC3"/>
    <mergeCell ref="ED3:EE3"/>
    <mergeCell ref="DL3:DM3"/>
    <mergeCell ref="DN3:DO3"/>
    <mergeCell ref="DP3:DQ3"/>
    <mergeCell ref="DR3:DS3"/>
    <mergeCell ref="DT3:DU3"/>
    <mergeCell ref="AT4:AT9"/>
    <mergeCell ref="AV4:AV9"/>
    <mergeCell ref="AX4:AX9"/>
    <mergeCell ref="AZ4:AZ9"/>
    <mergeCell ref="DJ3:DK3"/>
    <mergeCell ref="AJ4:AJ9"/>
    <mergeCell ref="AL4:AL9"/>
    <mergeCell ref="AN4:AN9"/>
    <mergeCell ref="AP4:AP9"/>
    <mergeCell ref="AR4:AR9"/>
    <mergeCell ref="BV4:BV9"/>
    <mergeCell ref="BX4:BX9"/>
    <mergeCell ref="BZ4:BZ9"/>
    <mergeCell ref="BH4:BH9"/>
    <mergeCell ref="BJ4:BJ9"/>
    <mergeCell ref="BL4:BL9"/>
    <mergeCell ref="BN4:BN9"/>
    <mergeCell ref="BP4:BP9"/>
    <mergeCell ref="BB4:BB9"/>
    <mergeCell ref="BD4:BD9"/>
    <mergeCell ref="BF4:BF9"/>
    <mergeCell ref="AX3:AY3"/>
    <mergeCell ref="Z4:Z9"/>
    <mergeCell ref="AB4:AB9"/>
    <mergeCell ref="AD4:AD9"/>
    <mergeCell ref="AF4:AF9"/>
    <mergeCell ref="AH4:AH9"/>
    <mergeCell ref="P4:P9"/>
    <mergeCell ref="R4:R9"/>
    <mergeCell ref="T4:T9"/>
    <mergeCell ref="V4:V9"/>
    <mergeCell ref="X4:X9"/>
    <mergeCell ref="DF4:DF9"/>
    <mergeCell ref="DH4:DH9"/>
    <mergeCell ref="J4:J9"/>
    <mergeCell ref="L4:L9"/>
    <mergeCell ref="N4:N9"/>
    <mergeCell ref="CV4:CV9"/>
    <mergeCell ref="CX4:CX9"/>
    <mergeCell ref="CZ4:CZ9"/>
    <mergeCell ref="DB4:DB9"/>
    <mergeCell ref="DD4:DD9"/>
    <mergeCell ref="CL4:CL9"/>
    <mergeCell ref="CN4:CN9"/>
    <mergeCell ref="CP4:CP9"/>
    <mergeCell ref="CR4:CR9"/>
    <mergeCell ref="CT4:CT9"/>
    <mergeCell ref="CB4:CB9"/>
    <mergeCell ref="CD4:CD9"/>
    <mergeCell ref="CF4:CF9"/>
    <mergeCell ref="CH4:CH9"/>
    <mergeCell ref="CJ4:CJ9"/>
    <mergeCell ref="BR4:BR9"/>
    <mergeCell ref="BT4:BT9"/>
    <mergeCell ref="AN3:AO3"/>
    <mergeCell ref="AP3:AQ3"/>
    <mergeCell ref="AR3:AS3"/>
    <mergeCell ref="AT3:AU3"/>
    <mergeCell ref="AV3:AW3"/>
    <mergeCell ref="AD3:AE3"/>
    <mergeCell ref="AF3:AG3"/>
    <mergeCell ref="AH3:AI3"/>
    <mergeCell ref="AJ3:AK3"/>
    <mergeCell ref="AL3:AM3"/>
    <mergeCell ref="T3:U3"/>
    <mergeCell ref="V3:W3"/>
    <mergeCell ref="X3:Y3"/>
    <mergeCell ref="Z3:AA3"/>
    <mergeCell ref="AB3:AC3"/>
    <mergeCell ref="J3:K3"/>
    <mergeCell ref="L3:M3"/>
    <mergeCell ref="N3:O3"/>
    <mergeCell ref="P3:Q3"/>
    <mergeCell ref="R3:S3"/>
    <mergeCell ref="BL3:BM3"/>
    <mergeCell ref="BN3:BO3"/>
    <mergeCell ref="BP3:BQ3"/>
    <mergeCell ref="BR3:BS3"/>
    <mergeCell ref="BT3:BU3"/>
    <mergeCell ref="BB3:BC3"/>
    <mergeCell ref="BD3:BE3"/>
    <mergeCell ref="BF3:BG3"/>
    <mergeCell ref="BH3:BI3"/>
    <mergeCell ref="BJ3:BK3"/>
    <mergeCell ref="H4:H9"/>
    <mergeCell ref="CZ3:DA3"/>
    <mergeCell ref="DB3:DC3"/>
    <mergeCell ref="DD3:DE3"/>
    <mergeCell ref="DF3:DG3"/>
    <mergeCell ref="DH3:DI3"/>
    <mergeCell ref="CP3:CQ3"/>
    <mergeCell ref="CR3:CS3"/>
    <mergeCell ref="CT3:CU3"/>
    <mergeCell ref="CV3:CW3"/>
    <mergeCell ref="CX3:CY3"/>
    <mergeCell ref="CF3:CG3"/>
    <mergeCell ref="CH3:CI3"/>
    <mergeCell ref="CJ3:CK3"/>
    <mergeCell ref="CL3:CM3"/>
    <mergeCell ref="CN3:CO3"/>
    <mergeCell ref="BV3:BW3"/>
    <mergeCell ref="BX3:BY3"/>
    <mergeCell ref="BZ3:CA3"/>
    <mergeCell ref="CB3:CC3"/>
    <mergeCell ref="CD3:CE3"/>
    <mergeCell ref="AZ3:BA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"/>
  <sheetViews>
    <sheetView topLeftCell="A41" workbookViewId="0">
      <selection activeCell="A2" sqref="A2:A83"/>
    </sheetView>
  </sheetViews>
  <sheetFormatPr defaultRowHeight="14.5" x14ac:dyDescent="0.35"/>
  <sheetData>
    <row r="1" spans="1:2" x14ac:dyDescent="0.35">
      <c r="A1" t="s">
        <v>159</v>
      </c>
    </row>
    <row r="2" spans="1:2" x14ac:dyDescent="0.35">
      <c r="A2">
        <v>43</v>
      </c>
      <c r="B2">
        <v>55</v>
      </c>
    </row>
    <row r="3" spans="1:2" x14ac:dyDescent="0.35">
      <c r="A3">
        <v>44</v>
      </c>
      <c r="B3">
        <f>B2+54</f>
        <v>109</v>
      </c>
    </row>
    <row r="4" spans="1:2" x14ac:dyDescent="0.35">
      <c r="A4">
        <v>24</v>
      </c>
    </row>
    <row r="5" spans="1:2" x14ac:dyDescent="0.35">
      <c r="A5" t="s">
        <v>36</v>
      </c>
    </row>
    <row r="6" spans="1:2" x14ac:dyDescent="0.35">
      <c r="A6">
        <v>35</v>
      </c>
    </row>
    <row r="7" spans="1:2" x14ac:dyDescent="0.35">
      <c r="A7">
        <v>25</v>
      </c>
    </row>
    <row r="8" spans="1:2" x14ac:dyDescent="0.35">
      <c r="A8">
        <v>48</v>
      </c>
    </row>
    <row r="9" spans="1:2" x14ac:dyDescent="0.35">
      <c r="A9" t="s">
        <v>37</v>
      </c>
    </row>
    <row r="10" spans="1:2" x14ac:dyDescent="0.35">
      <c r="A10" t="s">
        <v>38</v>
      </c>
    </row>
    <row r="11" spans="1:2" x14ac:dyDescent="0.35">
      <c r="A11">
        <v>88</v>
      </c>
    </row>
    <row r="12" spans="1:2" x14ac:dyDescent="0.35">
      <c r="A12">
        <v>58</v>
      </c>
    </row>
    <row r="13" spans="1:2" x14ac:dyDescent="0.35">
      <c r="A13" t="s">
        <v>39</v>
      </c>
    </row>
    <row r="14" spans="1:2" x14ac:dyDescent="0.35">
      <c r="A14">
        <v>23</v>
      </c>
    </row>
    <row r="15" spans="1:2" x14ac:dyDescent="0.35">
      <c r="A15">
        <v>56</v>
      </c>
    </row>
    <row r="16" spans="1:2" x14ac:dyDescent="0.35">
      <c r="A16" t="s">
        <v>40</v>
      </c>
    </row>
    <row r="17" spans="1:1" x14ac:dyDescent="0.35">
      <c r="A17">
        <v>28</v>
      </c>
    </row>
    <row r="18" spans="1:1" x14ac:dyDescent="0.35">
      <c r="A18" t="s">
        <v>41</v>
      </c>
    </row>
    <row r="19" spans="1:1" x14ac:dyDescent="0.35">
      <c r="A19" t="s">
        <v>42</v>
      </c>
    </row>
    <row r="20" spans="1:1" x14ac:dyDescent="0.35">
      <c r="A20">
        <v>46</v>
      </c>
    </row>
    <row r="21" spans="1:1" x14ac:dyDescent="0.35">
      <c r="A21">
        <v>19</v>
      </c>
    </row>
    <row r="22" spans="1:1" x14ac:dyDescent="0.35">
      <c r="A22" t="s">
        <v>43</v>
      </c>
    </row>
    <row r="23" spans="1:1" x14ac:dyDescent="0.35">
      <c r="A23">
        <v>82</v>
      </c>
    </row>
    <row r="24" spans="1:1" x14ac:dyDescent="0.35">
      <c r="A24">
        <v>63</v>
      </c>
    </row>
    <row r="25" spans="1:1" x14ac:dyDescent="0.35">
      <c r="A25">
        <v>33</v>
      </c>
    </row>
    <row r="26" spans="1:1" x14ac:dyDescent="0.35">
      <c r="A26" t="s">
        <v>44</v>
      </c>
    </row>
    <row r="27" spans="1:1" x14ac:dyDescent="0.35">
      <c r="A27" t="s">
        <v>45</v>
      </c>
    </row>
    <row r="28" spans="1:1" x14ac:dyDescent="0.35">
      <c r="A28">
        <v>89</v>
      </c>
    </row>
    <row r="29" spans="1:1" x14ac:dyDescent="0.35">
      <c r="A29" t="s">
        <v>46</v>
      </c>
    </row>
    <row r="30" spans="1:1" x14ac:dyDescent="0.35">
      <c r="A30">
        <v>61</v>
      </c>
    </row>
    <row r="31" spans="1:1" x14ac:dyDescent="0.35">
      <c r="A31" t="s">
        <v>47</v>
      </c>
    </row>
    <row r="32" spans="1:1" x14ac:dyDescent="0.35">
      <c r="A32" t="s">
        <v>48</v>
      </c>
    </row>
    <row r="33" spans="1:1" x14ac:dyDescent="0.35">
      <c r="A33" t="s">
        <v>49</v>
      </c>
    </row>
    <row r="34" spans="1:1" x14ac:dyDescent="0.35">
      <c r="A34" t="s">
        <v>50</v>
      </c>
    </row>
    <row r="35" spans="1:1" x14ac:dyDescent="0.35">
      <c r="A35" t="s">
        <v>51</v>
      </c>
    </row>
    <row r="36" spans="1:1" x14ac:dyDescent="0.35">
      <c r="A36" t="s">
        <v>52</v>
      </c>
    </row>
    <row r="37" spans="1:1" x14ac:dyDescent="0.35">
      <c r="A37">
        <v>37</v>
      </c>
    </row>
    <row r="38" spans="1:1" x14ac:dyDescent="0.35">
      <c r="A38" t="s">
        <v>53</v>
      </c>
    </row>
    <row r="39" spans="1:1" x14ac:dyDescent="0.35">
      <c r="A39" t="s">
        <v>54</v>
      </c>
    </row>
    <row r="40" spans="1:1" x14ac:dyDescent="0.35">
      <c r="A40">
        <v>65</v>
      </c>
    </row>
    <row r="41" spans="1:1" x14ac:dyDescent="0.35">
      <c r="A41">
        <v>66</v>
      </c>
    </row>
    <row r="42" spans="1:1" x14ac:dyDescent="0.35">
      <c r="A42" t="s">
        <v>55</v>
      </c>
    </row>
    <row r="43" spans="1:1" x14ac:dyDescent="0.35">
      <c r="A43" t="s">
        <v>56</v>
      </c>
    </row>
    <row r="44" spans="1:1" x14ac:dyDescent="0.35">
      <c r="A44">
        <v>10</v>
      </c>
    </row>
    <row r="45" spans="1:1" x14ac:dyDescent="0.35">
      <c r="A45">
        <v>50</v>
      </c>
    </row>
    <row r="46" spans="1:1" x14ac:dyDescent="0.35">
      <c r="A46" t="s">
        <v>57</v>
      </c>
    </row>
    <row r="47" spans="1:1" x14ac:dyDescent="0.35">
      <c r="A47" t="s">
        <v>58</v>
      </c>
    </row>
    <row r="48" spans="1:1" x14ac:dyDescent="0.35">
      <c r="A48" t="s">
        <v>59</v>
      </c>
    </row>
    <row r="49" spans="1:1" x14ac:dyDescent="0.35">
      <c r="A49" t="s">
        <v>60</v>
      </c>
    </row>
    <row r="50" spans="1:1" x14ac:dyDescent="0.35">
      <c r="A50">
        <v>12</v>
      </c>
    </row>
    <row r="51" spans="1:1" x14ac:dyDescent="0.35">
      <c r="A51">
        <v>85</v>
      </c>
    </row>
    <row r="52" spans="1:1" x14ac:dyDescent="0.35">
      <c r="A52">
        <v>13</v>
      </c>
    </row>
    <row r="53" spans="1:1" x14ac:dyDescent="0.35">
      <c r="A53" t="s">
        <v>61</v>
      </c>
    </row>
    <row r="54" spans="1:1" x14ac:dyDescent="0.35">
      <c r="A54" t="s">
        <v>62</v>
      </c>
    </row>
    <row r="55" spans="1:1" x14ac:dyDescent="0.35">
      <c r="A55" t="s">
        <v>63</v>
      </c>
    </row>
    <row r="56" spans="1:1" x14ac:dyDescent="0.35">
      <c r="A56" t="s">
        <v>64</v>
      </c>
    </row>
    <row r="57" spans="1:1" x14ac:dyDescent="0.35">
      <c r="A57" t="s">
        <v>65</v>
      </c>
    </row>
    <row r="58" spans="1:1" x14ac:dyDescent="0.35">
      <c r="A58" t="s">
        <v>66</v>
      </c>
    </row>
    <row r="59" spans="1:1" x14ac:dyDescent="0.35">
      <c r="A59" t="s">
        <v>67</v>
      </c>
    </row>
    <row r="60" spans="1:1" x14ac:dyDescent="0.35">
      <c r="A60" t="s">
        <v>68</v>
      </c>
    </row>
    <row r="61" spans="1:1" x14ac:dyDescent="0.35">
      <c r="A61" t="s">
        <v>69</v>
      </c>
    </row>
    <row r="62" spans="1:1" x14ac:dyDescent="0.35">
      <c r="A62" t="s">
        <v>70</v>
      </c>
    </row>
    <row r="63" spans="1:1" x14ac:dyDescent="0.35">
      <c r="A63">
        <v>62</v>
      </c>
    </row>
    <row r="64" spans="1:1" x14ac:dyDescent="0.35">
      <c r="A64" t="s">
        <v>71</v>
      </c>
    </row>
    <row r="65" spans="1:1" x14ac:dyDescent="0.35">
      <c r="A65" t="s">
        <v>72</v>
      </c>
    </row>
    <row r="66" spans="1:1" x14ac:dyDescent="0.35">
      <c r="A66" t="s">
        <v>73</v>
      </c>
    </row>
    <row r="67" spans="1:1" x14ac:dyDescent="0.35">
      <c r="A67" t="s">
        <v>74</v>
      </c>
    </row>
    <row r="68" spans="1:1" x14ac:dyDescent="0.35">
      <c r="A68" t="s">
        <v>75</v>
      </c>
    </row>
    <row r="69" spans="1:1" x14ac:dyDescent="0.35">
      <c r="A69" t="s">
        <v>76</v>
      </c>
    </row>
    <row r="70" spans="1:1" x14ac:dyDescent="0.35">
      <c r="A70" t="s">
        <v>77</v>
      </c>
    </row>
    <row r="71" spans="1:1" x14ac:dyDescent="0.35">
      <c r="A71" t="s">
        <v>78</v>
      </c>
    </row>
    <row r="72" spans="1:1" x14ac:dyDescent="0.35">
      <c r="A72" t="s">
        <v>79</v>
      </c>
    </row>
    <row r="73" spans="1:1" x14ac:dyDescent="0.35">
      <c r="A73">
        <v>93</v>
      </c>
    </row>
    <row r="74" spans="1:1" x14ac:dyDescent="0.35">
      <c r="A74" t="s">
        <v>80</v>
      </c>
    </row>
    <row r="75" spans="1:1" x14ac:dyDescent="0.35">
      <c r="A75" t="s">
        <v>81</v>
      </c>
    </row>
    <row r="76" spans="1:1" x14ac:dyDescent="0.35">
      <c r="A76" t="s">
        <v>82</v>
      </c>
    </row>
    <row r="77" spans="1:1" x14ac:dyDescent="0.35">
      <c r="A77" t="s">
        <v>83</v>
      </c>
    </row>
    <row r="78" spans="1:1" x14ac:dyDescent="0.35">
      <c r="A78" t="s">
        <v>84</v>
      </c>
    </row>
    <row r="79" spans="1:1" x14ac:dyDescent="0.35">
      <c r="A79" t="s">
        <v>85</v>
      </c>
    </row>
    <row r="80" spans="1:1" x14ac:dyDescent="0.35">
      <c r="A80" t="s">
        <v>86</v>
      </c>
    </row>
    <row r="81" spans="1:1" x14ac:dyDescent="0.35">
      <c r="A81" t="s">
        <v>87</v>
      </c>
    </row>
    <row r="82" spans="1:1" x14ac:dyDescent="0.35">
      <c r="A82" t="s">
        <v>88</v>
      </c>
    </row>
    <row r="83" spans="1:1" x14ac:dyDescent="0.35">
      <c r="A83" t="s">
        <v>89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19"/>
  <sheetViews>
    <sheetView workbookViewId="0">
      <pane ySplit="1" topLeftCell="A1485" activePane="bottomLeft" state="frozen"/>
      <selection pane="bottomLeft" activeCell="A5" sqref="A5"/>
    </sheetView>
  </sheetViews>
  <sheetFormatPr defaultRowHeight="14.5" x14ac:dyDescent="0.35"/>
  <cols>
    <col min="1" max="1" width="11.7265625" bestFit="1" customWidth="1"/>
    <col min="3" max="3" width="14.1796875" customWidth="1"/>
    <col min="5" max="5" width="11.453125" customWidth="1"/>
    <col min="7" max="7" width="11.7265625" bestFit="1" customWidth="1"/>
  </cols>
  <sheetData>
    <row r="1" spans="1:6" x14ac:dyDescent="0.35">
      <c r="A1" t="s">
        <v>159</v>
      </c>
      <c r="B1" s="18" t="s">
        <v>30</v>
      </c>
      <c r="C1" s="26" t="s">
        <v>31</v>
      </c>
      <c r="D1" s="18" t="s">
        <v>35</v>
      </c>
      <c r="E1" s="18" t="s">
        <v>32</v>
      </c>
      <c r="F1" s="18" t="s">
        <v>33</v>
      </c>
    </row>
    <row r="2" spans="1:6" x14ac:dyDescent="0.35">
      <c r="A2">
        <f t="shared" ref="A2:A65" si="0">IF(ISERROR(VLOOKUP(C2,I:I,1,0)),0,1)</f>
        <v>0</v>
      </c>
      <c r="B2">
        <v>43</v>
      </c>
      <c r="C2" s="7" t="s">
        <v>98</v>
      </c>
      <c r="D2" s="18">
        <f>VLOOKUP(C2,'DISTRIBUIÇÃO NF4267'!$E$3:$FQ$75,MATCH(B2,'DISTRIBUIÇÃO NF4267'!$E$3:$FQ$3,0)+1,0)</f>
        <v>0</v>
      </c>
      <c r="E2" s="28"/>
      <c r="F2" s="28">
        <f t="shared" ref="F2:F33" si="1">ROUNDUP(SUMIFS(D:D,B:B,B2)/80,0)</f>
        <v>5</v>
      </c>
    </row>
    <row r="3" spans="1:6" x14ac:dyDescent="0.35">
      <c r="A3">
        <f t="shared" si="0"/>
        <v>0</v>
      </c>
      <c r="B3">
        <v>43</v>
      </c>
      <c r="C3" s="7" t="s">
        <v>99</v>
      </c>
      <c r="D3" s="18">
        <f>VLOOKUP(C3,'DISTRIBUIÇÃO NF4267'!$E$3:$FQ$75,MATCH(B3,'DISTRIBUIÇÃO NF4267'!$E$3:$FQ$3,0)+1,0)</f>
        <v>4</v>
      </c>
      <c r="E3" s="28"/>
      <c r="F3" s="28">
        <f t="shared" si="1"/>
        <v>5</v>
      </c>
    </row>
    <row r="4" spans="1:6" x14ac:dyDescent="0.35">
      <c r="A4">
        <f t="shared" si="0"/>
        <v>0</v>
      </c>
      <c r="B4">
        <v>43</v>
      </c>
      <c r="C4" s="7" t="s">
        <v>100</v>
      </c>
      <c r="D4" s="18">
        <f>VLOOKUP(C4,'DISTRIBUIÇÃO NF4267'!$E$3:$FQ$75,MATCH(B4,'DISTRIBUIÇÃO NF4267'!$E$3:$FQ$3,0)+1,0)</f>
        <v>8</v>
      </c>
      <c r="E4" s="28"/>
      <c r="F4" s="28">
        <f t="shared" si="1"/>
        <v>5</v>
      </c>
    </row>
    <row r="5" spans="1:6" x14ac:dyDescent="0.35">
      <c r="A5">
        <f t="shared" si="0"/>
        <v>0</v>
      </c>
      <c r="B5">
        <v>43</v>
      </c>
      <c r="C5" s="7" t="s">
        <v>101</v>
      </c>
      <c r="D5" s="18">
        <f>VLOOKUP(C5,'DISTRIBUIÇÃO NF4267'!$E$3:$FQ$75,MATCH(B5,'DISTRIBUIÇÃO NF4267'!$E$3:$FQ$3,0)+1,0)</f>
        <v>4</v>
      </c>
      <c r="E5" s="28"/>
      <c r="F5" s="28">
        <f t="shared" si="1"/>
        <v>5</v>
      </c>
    </row>
    <row r="6" spans="1:6" x14ac:dyDescent="0.35">
      <c r="A6">
        <f t="shared" si="0"/>
        <v>0</v>
      </c>
      <c r="B6">
        <v>43</v>
      </c>
      <c r="C6" s="7" t="s">
        <v>102</v>
      </c>
      <c r="D6" s="18">
        <f>VLOOKUP(C6,'DISTRIBUIÇÃO NF4267'!$E$3:$FQ$75,MATCH(B6,'DISTRIBUIÇÃO NF4267'!$E$3:$FQ$3,0)+1,0)</f>
        <v>4</v>
      </c>
      <c r="E6" s="28"/>
      <c r="F6" s="28">
        <f t="shared" si="1"/>
        <v>5</v>
      </c>
    </row>
    <row r="7" spans="1:6" x14ac:dyDescent="0.35">
      <c r="A7">
        <f t="shared" si="0"/>
        <v>0</v>
      </c>
      <c r="B7">
        <v>43</v>
      </c>
      <c r="C7" s="7" t="s">
        <v>103</v>
      </c>
      <c r="D7" s="18">
        <f>VLOOKUP(C7,'DISTRIBUIÇÃO NF4267'!$E$3:$FQ$75,MATCH(B7,'DISTRIBUIÇÃO NF4267'!$E$3:$FQ$3,0)+1,0)</f>
        <v>0</v>
      </c>
      <c r="E7" s="28"/>
      <c r="F7" s="28">
        <f t="shared" si="1"/>
        <v>5</v>
      </c>
    </row>
    <row r="8" spans="1:6" x14ac:dyDescent="0.35">
      <c r="A8">
        <f t="shared" si="0"/>
        <v>0</v>
      </c>
      <c r="B8">
        <v>43</v>
      </c>
      <c r="C8" s="8" t="s">
        <v>107</v>
      </c>
      <c r="D8" s="18">
        <f>VLOOKUP(C8,'DISTRIBUIÇÃO NF4267'!$E$3:$FQ$75,MATCH(B8,'DISTRIBUIÇÃO NF4267'!$E$3:$FQ$3,0)+1,0)</f>
        <v>0</v>
      </c>
      <c r="E8" s="28"/>
      <c r="F8" s="28">
        <f t="shared" si="1"/>
        <v>5</v>
      </c>
    </row>
    <row r="9" spans="1:6" x14ac:dyDescent="0.35">
      <c r="A9">
        <f t="shared" si="0"/>
        <v>0</v>
      </c>
      <c r="B9">
        <v>43</v>
      </c>
      <c r="C9" s="8" t="s">
        <v>108</v>
      </c>
      <c r="D9" s="18">
        <f>VLOOKUP(C9,'DISTRIBUIÇÃO NF4267'!$E$3:$FQ$75,MATCH(B9,'DISTRIBUIÇÃO NF4267'!$E$3:$FQ$3,0)+1,0)</f>
        <v>6</v>
      </c>
      <c r="E9" s="28"/>
      <c r="F9" s="28">
        <f t="shared" si="1"/>
        <v>5</v>
      </c>
    </row>
    <row r="10" spans="1:6" x14ac:dyDescent="0.35">
      <c r="A10">
        <f t="shared" si="0"/>
        <v>0</v>
      </c>
      <c r="B10">
        <v>43</v>
      </c>
      <c r="C10" s="8" t="s">
        <v>109</v>
      </c>
      <c r="D10" s="18">
        <f>VLOOKUP(C10,'DISTRIBUIÇÃO NF4267'!$E$3:$FQ$75,MATCH(B10,'DISTRIBUIÇÃO NF4267'!$E$3:$FQ$3,0)+1,0)</f>
        <v>12</v>
      </c>
      <c r="E10" s="28"/>
      <c r="F10" s="28">
        <f t="shared" si="1"/>
        <v>5</v>
      </c>
    </row>
    <row r="11" spans="1:6" x14ac:dyDescent="0.35">
      <c r="A11">
        <f t="shared" si="0"/>
        <v>0</v>
      </c>
      <c r="B11">
        <v>43</v>
      </c>
      <c r="C11" s="8" t="s">
        <v>110</v>
      </c>
      <c r="D11" s="18">
        <f>VLOOKUP(C11,'DISTRIBUIÇÃO NF4267'!$E$3:$FQ$75,MATCH(B11,'DISTRIBUIÇÃO NF4267'!$E$3:$FQ$3,0)+1,0)</f>
        <v>6</v>
      </c>
      <c r="E11" s="28"/>
      <c r="F11" s="28">
        <f t="shared" si="1"/>
        <v>5</v>
      </c>
    </row>
    <row r="12" spans="1:6" x14ac:dyDescent="0.35">
      <c r="A12">
        <f t="shared" si="0"/>
        <v>0</v>
      </c>
      <c r="B12">
        <v>43</v>
      </c>
      <c r="C12" s="8" t="s">
        <v>111</v>
      </c>
      <c r="D12" s="18">
        <f>VLOOKUP(C12,'DISTRIBUIÇÃO NF4267'!$E$3:$FQ$75,MATCH(B12,'DISTRIBUIÇÃO NF4267'!$E$3:$FQ$3,0)+1,0)</f>
        <v>6</v>
      </c>
      <c r="E12" s="28"/>
      <c r="F12" s="28">
        <f t="shared" si="1"/>
        <v>5</v>
      </c>
    </row>
    <row r="13" spans="1:6" x14ac:dyDescent="0.35">
      <c r="A13">
        <f t="shared" si="0"/>
        <v>0</v>
      </c>
      <c r="B13">
        <v>43</v>
      </c>
      <c r="C13" s="8" t="s">
        <v>112</v>
      </c>
      <c r="D13" s="18">
        <f>VLOOKUP(C13,'DISTRIBUIÇÃO NF4267'!$E$3:$FQ$75,MATCH(B13,'DISTRIBUIÇÃO NF4267'!$E$3:$FQ$3,0)+1,0)</f>
        <v>0</v>
      </c>
      <c r="E13" s="28"/>
      <c r="F13" s="28">
        <f t="shared" si="1"/>
        <v>5</v>
      </c>
    </row>
    <row r="14" spans="1:6" x14ac:dyDescent="0.35">
      <c r="A14">
        <f t="shared" si="0"/>
        <v>0</v>
      </c>
      <c r="B14">
        <v>43</v>
      </c>
      <c r="C14" s="9" t="s">
        <v>113</v>
      </c>
      <c r="D14" s="18">
        <f>VLOOKUP(C14,'DISTRIBUIÇÃO NF4267'!$E$3:$FQ$75,MATCH(B14,'DISTRIBUIÇÃO NF4267'!$E$3:$FQ$3,0)+1,0)</f>
        <v>0</v>
      </c>
      <c r="E14" s="28"/>
      <c r="F14" s="28">
        <f t="shared" si="1"/>
        <v>5</v>
      </c>
    </row>
    <row r="15" spans="1:6" x14ac:dyDescent="0.35">
      <c r="A15">
        <f t="shared" si="0"/>
        <v>0</v>
      </c>
      <c r="B15">
        <v>43</v>
      </c>
      <c r="C15" s="9" t="s">
        <v>114</v>
      </c>
      <c r="D15" s="18">
        <f>VLOOKUP(C15,'DISTRIBUIÇÃO NF4267'!$E$3:$FQ$75,MATCH(B15,'DISTRIBUIÇÃO NF4267'!$E$3:$FQ$3,0)+1,0)</f>
        <v>9</v>
      </c>
      <c r="E15" s="28"/>
      <c r="F15" s="28">
        <f t="shared" si="1"/>
        <v>5</v>
      </c>
    </row>
    <row r="16" spans="1:6" x14ac:dyDescent="0.35">
      <c r="A16">
        <f t="shared" si="0"/>
        <v>0</v>
      </c>
      <c r="B16">
        <v>43</v>
      </c>
      <c r="C16" s="9" t="s">
        <v>115</v>
      </c>
      <c r="D16" s="18">
        <f>VLOOKUP(C16,'DISTRIBUIÇÃO NF4267'!$E$3:$FQ$75,MATCH(B16,'DISTRIBUIÇÃO NF4267'!$E$3:$FQ$3,0)+1,0)</f>
        <v>12</v>
      </c>
      <c r="E16" s="28"/>
      <c r="F16" s="28">
        <f t="shared" si="1"/>
        <v>5</v>
      </c>
    </row>
    <row r="17" spans="1:6" x14ac:dyDescent="0.35">
      <c r="A17">
        <f t="shared" si="0"/>
        <v>0</v>
      </c>
      <c r="B17">
        <v>43</v>
      </c>
      <c r="C17" s="9" t="s">
        <v>116</v>
      </c>
      <c r="D17" s="18">
        <f>VLOOKUP(C17,'DISTRIBUIÇÃO NF4267'!$E$3:$FQ$75,MATCH(B17,'DISTRIBUIÇÃO NF4267'!$E$3:$FQ$3,0)+1,0)</f>
        <v>6</v>
      </c>
      <c r="E17" s="28"/>
      <c r="F17" s="28">
        <f t="shared" si="1"/>
        <v>5</v>
      </c>
    </row>
    <row r="18" spans="1:6" x14ac:dyDescent="0.35">
      <c r="A18">
        <f t="shared" si="0"/>
        <v>0</v>
      </c>
      <c r="B18">
        <v>43</v>
      </c>
      <c r="C18" s="9" t="s">
        <v>117</v>
      </c>
      <c r="D18" s="18">
        <f>VLOOKUP(C18,'DISTRIBUIÇÃO NF4267'!$E$3:$FQ$75,MATCH(B18,'DISTRIBUIÇÃO NF4267'!$E$3:$FQ$3,0)+1,0)</f>
        <v>3</v>
      </c>
      <c r="E18" s="28"/>
      <c r="F18" s="28">
        <f t="shared" si="1"/>
        <v>5</v>
      </c>
    </row>
    <row r="19" spans="1:6" x14ac:dyDescent="0.35">
      <c r="A19">
        <f t="shared" si="0"/>
        <v>0</v>
      </c>
      <c r="B19">
        <v>43</v>
      </c>
      <c r="C19" s="9" t="s">
        <v>118</v>
      </c>
      <c r="D19" s="18">
        <f>VLOOKUP(C19,'DISTRIBUIÇÃO NF4267'!$E$3:$FQ$75,MATCH(B19,'DISTRIBUIÇÃO NF4267'!$E$3:$FQ$3,0)+1,0)</f>
        <v>0</v>
      </c>
      <c r="E19" s="28"/>
      <c r="F19" s="28">
        <f t="shared" si="1"/>
        <v>5</v>
      </c>
    </row>
    <row r="20" spans="1:6" x14ac:dyDescent="0.35">
      <c r="A20">
        <f t="shared" si="0"/>
        <v>0</v>
      </c>
      <c r="B20">
        <v>43</v>
      </c>
      <c r="C20" s="10" t="s">
        <v>119</v>
      </c>
      <c r="D20" s="18">
        <f>VLOOKUP(C20,'DISTRIBUIÇÃO NF4267'!$E$3:$FQ$75,MATCH(B20,'DISTRIBUIÇÃO NF4267'!$E$3:$FQ$3,0)+1,0)</f>
        <v>0</v>
      </c>
      <c r="E20" s="28"/>
      <c r="F20" s="28">
        <f t="shared" si="1"/>
        <v>5</v>
      </c>
    </row>
    <row r="21" spans="1:6" x14ac:dyDescent="0.35">
      <c r="A21">
        <f t="shared" si="0"/>
        <v>0</v>
      </c>
      <c r="B21">
        <v>43</v>
      </c>
      <c r="C21" s="10" t="s">
        <v>120</v>
      </c>
      <c r="D21" s="18">
        <f>VLOOKUP(C21,'DISTRIBUIÇÃO NF4267'!$E$3:$FQ$75,MATCH(B21,'DISTRIBUIÇÃO NF4267'!$E$3:$FQ$3,0)+1,0)</f>
        <v>60</v>
      </c>
      <c r="E21" s="28"/>
      <c r="F21" s="28">
        <f t="shared" si="1"/>
        <v>5</v>
      </c>
    </row>
    <row r="22" spans="1:6" x14ac:dyDescent="0.35">
      <c r="A22">
        <f t="shared" si="0"/>
        <v>0</v>
      </c>
      <c r="B22">
        <v>43</v>
      </c>
      <c r="C22" s="10" t="s">
        <v>121</v>
      </c>
      <c r="D22" s="18">
        <f>VLOOKUP(C22,'DISTRIBUIÇÃO NF4267'!$E$3:$FQ$75,MATCH(B22,'DISTRIBUIÇÃO NF4267'!$E$3:$FQ$3,0)+1,0)</f>
        <v>20</v>
      </c>
      <c r="E22" s="28"/>
      <c r="F22" s="28">
        <f t="shared" si="1"/>
        <v>5</v>
      </c>
    </row>
    <row r="23" spans="1:6" x14ac:dyDescent="0.35">
      <c r="A23">
        <f t="shared" si="0"/>
        <v>0</v>
      </c>
      <c r="B23">
        <v>43</v>
      </c>
      <c r="C23" s="10" t="s">
        <v>122</v>
      </c>
      <c r="D23" s="18">
        <f>VLOOKUP(C23,'DISTRIBUIÇÃO NF4267'!$E$3:$FQ$75,MATCH(B23,'DISTRIBUIÇÃO NF4267'!$E$3:$FQ$3,0)+1,0)</f>
        <v>20</v>
      </c>
      <c r="E23" s="28"/>
      <c r="F23" s="28">
        <f t="shared" si="1"/>
        <v>5</v>
      </c>
    </row>
    <row r="24" spans="1:6" x14ac:dyDescent="0.35">
      <c r="A24">
        <f t="shared" si="0"/>
        <v>0</v>
      </c>
      <c r="B24">
        <v>43</v>
      </c>
      <c r="C24" s="10" t="s">
        <v>123</v>
      </c>
      <c r="D24" s="18">
        <f>VLOOKUP(C24,'DISTRIBUIÇÃO NF4267'!$E$3:$FQ$75,MATCH(B24,'DISTRIBUIÇÃO NF4267'!$E$3:$FQ$3,0)+1,0)</f>
        <v>0</v>
      </c>
      <c r="E24" s="28"/>
      <c r="F24" s="28">
        <f t="shared" si="1"/>
        <v>5</v>
      </c>
    </row>
    <row r="25" spans="1:6" x14ac:dyDescent="0.35">
      <c r="A25">
        <f t="shared" si="0"/>
        <v>0</v>
      </c>
      <c r="B25">
        <v>43</v>
      </c>
      <c r="C25" s="10" t="s">
        <v>124</v>
      </c>
      <c r="D25" s="18">
        <f>VLOOKUP(C25,'DISTRIBUIÇÃO NF4267'!$E$3:$FQ$75,MATCH(B25,'DISTRIBUIÇÃO NF4267'!$E$3:$FQ$3,0)+1,0)</f>
        <v>0</v>
      </c>
      <c r="E25" s="28"/>
      <c r="F25" s="28">
        <f t="shared" si="1"/>
        <v>5</v>
      </c>
    </row>
    <row r="26" spans="1:6" x14ac:dyDescent="0.35">
      <c r="A26">
        <f t="shared" si="0"/>
        <v>0</v>
      </c>
      <c r="B26">
        <v>43</v>
      </c>
      <c r="C26" s="11" t="s">
        <v>16</v>
      </c>
      <c r="D26" s="18">
        <f>VLOOKUP(C26,'DISTRIBUIÇÃO NF4267'!$E$3:$FQ$75,MATCH(B26,'DISTRIBUIÇÃO NF4267'!$E$3:$FQ$3,0)+1,0)</f>
        <v>0</v>
      </c>
      <c r="E26" s="28"/>
      <c r="F26" s="28">
        <f t="shared" si="1"/>
        <v>5</v>
      </c>
    </row>
    <row r="27" spans="1:6" x14ac:dyDescent="0.35">
      <c r="A27">
        <f t="shared" si="0"/>
        <v>0</v>
      </c>
      <c r="B27">
        <v>43</v>
      </c>
      <c r="C27" s="11" t="s">
        <v>17</v>
      </c>
      <c r="D27" s="18">
        <f>VLOOKUP(C27,'DISTRIBUIÇÃO NF4267'!$E$3:$FQ$75,MATCH(B27,'DISTRIBUIÇÃO NF4267'!$E$3:$FQ$3,0)+1,0)</f>
        <v>12</v>
      </c>
      <c r="E27" s="28"/>
      <c r="F27" s="28">
        <f t="shared" si="1"/>
        <v>5</v>
      </c>
    </row>
    <row r="28" spans="1:6" x14ac:dyDescent="0.35">
      <c r="A28">
        <f t="shared" si="0"/>
        <v>0</v>
      </c>
      <c r="B28">
        <v>43</v>
      </c>
      <c r="C28" s="11" t="s">
        <v>18</v>
      </c>
      <c r="D28" s="18">
        <f>VLOOKUP(C28,'DISTRIBUIÇÃO NF4267'!$E$3:$FQ$75,MATCH(B28,'DISTRIBUIÇÃO NF4267'!$E$3:$FQ$3,0)+1,0)</f>
        <v>4</v>
      </c>
      <c r="E28" s="28"/>
      <c r="F28" s="28">
        <f t="shared" si="1"/>
        <v>5</v>
      </c>
    </row>
    <row r="29" spans="1:6" x14ac:dyDescent="0.35">
      <c r="A29">
        <f t="shared" si="0"/>
        <v>0</v>
      </c>
      <c r="B29">
        <v>43</v>
      </c>
      <c r="C29" s="11" t="s">
        <v>19</v>
      </c>
      <c r="D29" s="18">
        <f>VLOOKUP(C29,'DISTRIBUIÇÃO NF4267'!$E$3:$FQ$75,MATCH(B29,'DISTRIBUIÇÃO NF4267'!$E$3:$FQ$3,0)+1,0)</f>
        <v>4</v>
      </c>
      <c r="E29" s="28"/>
      <c r="F29" s="28">
        <f t="shared" si="1"/>
        <v>5</v>
      </c>
    </row>
    <row r="30" spans="1:6" x14ac:dyDescent="0.35">
      <c r="A30">
        <f t="shared" si="0"/>
        <v>0</v>
      </c>
      <c r="B30">
        <v>43</v>
      </c>
      <c r="C30" s="11" t="s">
        <v>20</v>
      </c>
      <c r="D30" s="18">
        <f>VLOOKUP(C30,'DISTRIBUIÇÃO NF4267'!$E$3:$FQ$75,MATCH(B30,'DISTRIBUIÇÃO NF4267'!$E$3:$FQ$3,0)+1,0)</f>
        <v>20</v>
      </c>
      <c r="E30" s="28"/>
      <c r="F30" s="28">
        <f t="shared" si="1"/>
        <v>5</v>
      </c>
    </row>
    <row r="31" spans="1:6" x14ac:dyDescent="0.35">
      <c r="A31">
        <f t="shared" si="0"/>
        <v>0</v>
      </c>
      <c r="B31">
        <v>43</v>
      </c>
      <c r="C31" s="11" t="s">
        <v>21</v>
      </c>
      <c r="D31" s="18">
        <f>VLOOKUP(C31,'DISTRIBUIÇÃO NF4267'!$E$3:$FQ$75,MATCH(B31,'DISTRIBUIÇÃO NF4267'!$E$3:$FQ$3,0)+1,0)</f>
        <v>0</v>
      </c>
      <c r="E31" s="28"/>
      <c r="F31" s="28">
        <f t="shared" si="1"/>
        <v>5</v>
      </c>
    </row>
    <row r="32" spans="1:6" x14ac:dyDescent="0.35">
      <c r="A32">
        <f t="shared" si="0"/>
        <v>0</v>
      </c>
      <c r="B32">
        <v>43</v>
      </c>
      <c r="C32" s="12" t="s">
        <v>130</v>
      </c>
      <c r="D32" s="18">
        <f>VLOOKUP(C32,'DISTRIBUIÇÃO NF4267'!$E$3:$FQ$75,MATCH(B32,'DISTRIBUIÇÃO NF4267'!$E$3:$FQ$3,0)+1,0)</f>
        <v>0</v>
      </c>
      <c r="E32" s="28"/>
      <c r="F32" s="28">
        <f t="shared" si="1"/>
        <v>5</v>
      </c>
    </row>
    <row r="33" spans="1:6" x14ac:dyDescent="0.35">
      <c r="A33">
        <f t="shared" si="0"/>
        <v>0</v>
      </c>
      <c r="B33">
        <v>43</v>
      </c>
      <c r="C33" s="12" t="s">
        <v>131</v>
      </c>
      <c r="D33" s="18">
        <f>VLOOKUP(C33,'DISTRIBUIÇÃO NF4267'!$E$3:$FQ$75,MATCH(B33,'DISTRIBUIÇÃO NF4267'!$E$3:$FQ$3,0)+1,0)</f>
        <v>3</v>
      </c>
      <c r="E33" s="28"/>
      <c r="F33" s="28">
        <f t="shared" si="1"/>
        <v>5</v>
      </c>
    </row>
    <row r="34" spans="1:6" x14ac:dyDescent="0.35">
      <c r="A34">
        <f t="shared" si="0"/>
        <v>0</v>
      </c>
      <c r="B34">
        <v>43</v>
      </c>
      <c r="C34" s="12" t="s">
        <v>132</v>
      </c>
      <c r="D34" s="18">
        <f>VLOOKUP(C34,'DISTRIBUIÇÃO NF4267'!$E$3:$FQ$75,MATCH(B34,'DISTRIBUIÇÃO NF4267'!$E$3:$FQ$3,0)+1,0)</f>
        <v>12</v>
      </c>
      <c r="E34" s="28"/>
      <c r="F34" s="28">
        <f t="shared" ref="F34:F55" si="2">ROUNDUP(SUMIFS(D:D,B:B,B34)/80,0)</f>
        <v>5</v>
      </c>
    </row>
    <row r="35" spans="1:6" x14ac:dyDescent="0.35">
      <c r="A35">
        <f t="shared" si="0"/>
        <v>0</v>
      </c>
      <c r="B35">
        <v>43</v>
      </c>
      <c r="C35" s="12" t="s">
        <v>133</v>
      </c>
      <c r="D35" s="18">
        <f>VLOOKUP(C35,'DISTRIBUIÇÃO NF4267'!$E$3:$FQ$75,MATCH(B35,'DISTRIBUIÇÃO NF4267'!$E$3:$FQ$3,0)+1,0)</f>
        <v>9</v>
      </c>
      <c r="E35" s="28"/>
      <c r="F35" s="28">
        <f t="shared" si="2"/>
        <v>5</v>
      </c>
    </row>
    <row r="36" spans="1:6" x14ac:dyDescent="0.35">
      <c r="A36">
        <f t="shared" si="0"/>
        <v>0</v>
      </c>
      <c r="B36">
        <v>43</v>
      </c>
      <c r="C36" s="12" t="s">
        <v>134</v>
      </c>
      <c r="D36" s="18">
        <f>VLOOKUP(C36,'DISTRIBUIÇÃO NF4267'!$E$3:$FQ$75,MATCH(B36,'DISTRIBUIÇÃO NF4267'!$E$3:$FQ$3,0)+1,0)</f>
        <v>6</v>
      </c>
      <c r="E36" s="28"/>
      <c r="F36" s="28">
        <f t="shared" si="2"/>
        <v>5</v>
      </c>
    </row>
    <row r="37" spans="1:6" x14ac:dyDescent="0.35">
      <c r="A37">
        <f t="shared" si="0"/>
        <v>0</v>
      </c>
      <c r="B37">
        <v>43</v>
      </c>
      <c r="C37" s="12" t="s">
        <v>135</v>
      </c>
      <c r="D37" s="18">
        <f>VLOOKUP(C37,'DISTRIBUIÇÃO NF4267'!$E$3:$FQ$75,MATCH(B37,'DISTRIBUIÇÃO NF4267'!$E$3:$FQ$3,0)+1,0)</f>
        <v>0</v>
      </c>
      <c r="E37" s="28"/>
      <c r="F37" s="28">
        <f t="shared" si="2"/>
        <v>5</v>
      </c>
    </row>
    <row r="38" spans="1:6" x14ac:dyDescent="0.35">
      <c r="A38">
        <f t="shared" si="0"/>
        <v>0</v>
      </c>
      <c r="B38">
        <v>43</v>
      </c>
      <c r="C38" s="13" t="s">
        <v>22</v>
      </c>
      <c r="D38" s="18">
        <f>VLOOKUP(C38,'DISTRIBUIÇÃO NF4267'!$E$3:$FQ$75,MATCH(B38,'DISTRIBUIÇÃO NF4267'!$E$3:$FQ$3,0)+1,0)</f>
        <v>0</v>
      </c>
      <c r="E38" s="28"/>
      <c r="F38" s="28">
        <f t="shared" si="2"/>
        <v>5</v>
      </c>
    </row>
    <row r="39" spans="1:6" x14ac:dyDescent="0.35">
      <c r="A39">
        <f t="shared" si="0"/>
        <v>0</v>
      </c>
      <c r="B39">
        <v>43</v>
      </c>
      <c r="C39" s="13" t="s">
        <v>23</v>
      </c>
      <c r="D39" s="18">
        <f>VLOOKUP(C39,'DISTRIBUIÇÃO NF4267'!$E$3:$FQ$75,MATCH(B39,'DISTRIBUIÇÃO NF4267'!$E$3:$FQ$3,0)+1,0)</f>
        <v>2</v>
      </c>
      <c r="E39" s="28"/>
      <c r="F39" s="28">
        <f t="shared" si="2"/>
        <v>5</v>
      </c>
    </row>
    <row r="40" spans="1:6" x14ac:dyDescent="0.35">
      <c r="A40">
        <f t="shared" si="0"/>
        <v>0</v>
      </c>
      <c r="B40">
        <v>43</v>
      </c>
      <c r="C40" s="13" t="s">
        <v>24</v>
      </c>
      <c r="D40" s="18">
        <f>VLOOKUP(C40,'DISTRIBUIÇÃO NF4267'!$E$3:$FQ$75,MATCH(B40,'DISTRIBUIÇÃO NF4267'!$E$3:$FQ$3,0)+1,0)</f>
        <v>12</v>
      </c>
      <c r="E40" s="28"/>
      <c r="F40" s="28">
        <f t="shared" si="2"/>
        <v>5</v>
      </c>
    </row>
    <row r="41" spans="1:6" x14ac:dyDescent="0.35">
      <c r="A41">
        <f t="shared" si="0"/>
        <v>0</v>
      </c>
      <c r="B41">
        <v>43</v>
      </c>
      <c r="C41" s="13" t="s">
        <v>25</v>
      </c>
      <c r="D41" s="18">
        <f>VLOOKUP(C41,'DISTRIBUIÇÃO NF4267'!$E$3:$FQ$75,MATCH(B41,'DISTRIBUIÇÃO NF4267'!$E$3:$FQ$3,0)+1,0)</f>
        <v>4</v>
      </c>
      <c r="E41" s="28"/>
      <c r="F41" s="28">
        <f t="shared" si="2"/>
        <v>5</v>
      </c>
    </row>
    <row r="42" spans="1:6" x14ac:dyDescent="0.35">
      <c r="A42">
        <f t="shared" si="0"/>
        <v>0</v>
      </c>
      <c r="B42">
        <v>43</v>
      </c>
      <c r="C42" s="13" t="s">
        <v>26</v>
      </c>
      <c r="D42" s="18">
        <f>VLOOKUP(C42,'DISTRIBUIÇÃO NF4267'!$E$3:$FQ$75,MATCH(B42,'DISTRIBUIÇÃO NF4267'!$E$3:$FQ$3,0)+1,0)</f>
        <v>2</v>
      </c>
      <c r="E42" s="28"/>
      <c r="F42" s="28">
        <f t="shared" si="2"/>
        <v>5</v>
      </c>
    </row>
    <row r="43" spans="1:6" x14ac:dyDescent="0.35">
      <c r="A43">
        <f t="shared" si="0"/>
        <v>0</v>
      </c>
      <c r="B43">
        <v>43</v>
      </c>
      <c r="C43" s="13" t="s">
        <v>27</v>
      </c>
      <c r="D43" s="18">
        <f>VLOOKUP(C43,'DISTRIBUIÇÃO NF4267'!$E$3:$FQ$75,MATCH(B43,'DISTRIBUIÇÃO NF4267'!$E$3:$FQ$3,0)+1,0)</f>
        <v>0</v>
      </c>
      <c r="E43" s="28"/>
      <c r="F43" s="28">
        <f t="shared" si="2"/>
        <v>5</v>
      </c>
    </row>
    <row r="44" spans="1:6" x14ac:dyDescent="0.35">
      <c r="A44">
        <f t="shared" si="0"/>
        <v>0</v>
      </c>
      <c r="B44">
        <v>43</v>
      </c>
      <c r="C44" s="14" t="s">
        <v>138</v>
      </c>
      <c r="D44" s="18">
        <f>VLOOKUP(C44,'DISTRIBUIÇÃO NF4267'!$E$3:$FQ$75,MATCH(B44,'DISTRIBUIÇÃO NF4267'!$E$3:$FQ$3,0)+1,0)</f>
        <v>0</v>
      </c>
      <c r="E44" s="28"/>
      <c r="F44" s="28">
        <f t="shared" si="2"/>
        <v>5</v>
      </c>
    </row>
    <row r="45" spans="1:6" x14ac:dyDescent="0.35">
      <c r="A45">
        <f t="shared" si="0"/>
        <v>0</v>
      </c>
      <c r="B45">
        <v>43</v>
      </c>
      <c r="C45" s="14" t="s">
        <v>139</v>
      </c>
      <c r="D45" s="18">
        <f>VLOOKUP(C45,'DISTRIBUIÇÃO NF4267'!$E$3:$FQ$75,MATCH(B45,'DISTRIBUIÇÃO NF4267'!$E$3:$FQ$3,0)+1,0)</f>
        <v>10</v>
      </c>
      <c r="E45" s="28"/>
      <c r="F45" s="28">
        <f t="shared" si="2"/>
        <v>5</v>
      </c>
    </row>
    <row r="46" spans="1:6" x14ac:dyDescent="0.35">
      <c r="A46">
        <f t="shared" si="0"/>
        <v>0</v>
      </c>
      <c r="B46">
        <v>43</v>
      </c>
      <c r="C46" s="14" t="s">
        <v>140</v>
      </c>
      <c r="D46" s="18">
        <f>VLOOKUP(C46,'DISTRIBUIÇÃO NF4267'!$E$3:$FQ$75,MATCH(B46,'DISTRIBUIÇÃO NF4267'!$E$3:$FQ$3,0)+1,0)</f>
        <v>20</v>
      </c>
      <c r="E46" s="28"/>
      <c r="F46" s="28">
        <f t="shared" si="2"/>
        <v>5</v>
      </c>
    </row>
    <row r="47" spans="1:6" x14ac:dyDescent="0.35">
      <c r="A47">
        <f t="shared" si="0"/>
        <v>0</v>
      </c>
      <c r="B47">
        <v>43</v>
      </c>
      <c r="C47" s="14" t="s">
        <v>141</v>
      </c>
      <c r="D47" s="18">
        <f>VLOOKUP(C47,'DISTRIBUIÇÃO NF4267'!$E$3:$FQ$75,MATCH(B47,'DISTRIBUIÇÃO NF4267'!$E$3:$FQ$3,0)+1,0)</f>
        <v>10</v>
      </c>
      <c r="E47" s="28"/>
      <c r="F47" s="28">
        <f t="shared" si="2"/>
        <v>5</v>
      </c>
    </row>
    <row r="48" spans="1:6" x14ac:dyDescent="0.35">
      <c r="A48">
        <f t="shared" si="0"/>
        <v>0</v>
      </c>
      <c r="B48">
        <v>43</v>
      </c>
      <c r="C48" s="14" t="s">
        <v>142</v>
      </c>
      <c r="D48" s="18">
        <f>VLOOKUP(C48,'DISTRIBUIÇÃO NF4267'!$E$3:$FQ$75,MATCH(B48,'DISTRIBUIÇÃO NF4267'!$E$3:$FQ$3,0)+1,0)</f>
        <v>10</v>
      </c>
      <c r="E48" s="28"/>
      <c r="F48" s="28">
        <f t="shared" si="2"/>
        <v>5</v>
      </c>
    </row>
    <row r="49" spans="1:8" x14ac:dyDescent="0.35">
      <c r="A49">
        <f t="shared" si="0"/>
        <v>0</v>
      </c>
      <c r="B49">
        <v>43</v>
      </c>
      <c r="C49" s="14" t="s">
        <v>143</v>
      </c>
      <c r="D49" s="18">
        <f>VLOOKUP(C49,'DISTRIBUIÇÃO NF4267'!$E$3:$FQ$75,MATCH(B49,'DISTRIBUIÇÃO NF4267'!$E$3:$FQ$3,0)+1,0)</f>
        <v>0</v>
      </c>
      <c r="E49" s="28"/>
      <c r="F49" s="28">
        <f t="shared" si="2"/>
        <v>5</v>
      </c>
    </row>
    <row r="50" spans="1:8" x14ac:dyDescent="0.35">
      <c r="A50">
        <f t="shared" si="0"/>
        <v>0</v>
      </c>
      <c r="B50">
        <v>43</v>
      </c>
      <c r="C50" s="15" t="s">
        <v>145</v>
      </c>
      <c r="D50" s="18">
        <f>VLOOKUP(C50,'DISTRIBUIÇÃO NF4267'!$E$3:$FQ$75,MATCH(B50,'DISTRIBUIÇÃO NF4267'!$E$3:$FQ$3,0)+1,0)</f>
        <v>0</v>
      </c>
      <c r="E50" s="28"/>
      <c r="F50" s="28">
        <f t="shared" si="2"/>
        <v>5</v>
      </c>
    </row>
    <row r="51" spans="1:8" x14ac:dyDescent="0.35">
      <c r="A51">
        <f t="shared" si="0"/>
        <v>0</v>
      </c>
      <c r="B51">
        <v>43</v>
      </c>
      <c r="C51" s="15" t="s">
        <v>146</v>
      </c>
      <c r="D51" s="18">
        <f>VLOOKUP(C51,'DISTRIBUIÇÃO NF4267'!$E$3:$FQ$75,MATCH(B51,'DISTRIBUIÇÃO NF4267'!$E$3:$FQ$3,0)+1,0)</f>
        <v>12</v>
      </c>
      <c r="E51" s="28"/>
      <c r="F51" s="28">
        <f t="shared" si="2"/>
        <v>5</v>
      </c>
    </row>
    <row r="52" spans="1:8" x14ac:dyDescent="0.35">
      <c r="A52">
        <f t="shared" si="0"/>
        <v>0</v>
      </c>
      <c r="B52">
        <v>43</v>
      </c>
      <c r="C52" s="15" t="s">
        <v>147</v>
      </c>
      <c r="D52" s="18">
        <f>VLOOKUP(C52,'DISTRIBUIÇÃO NF4267'!$E$3:$FQ$75,MATCH(B52,'DISTRIBUIÇÃO NF4267'!$E$3:$FQ$3,0)+1,0)</f>
        <v>24</v>
      </c>
      <c r="E52" s="28"/>
      <c r="F52" s="28">
        <f t="shared" si="2"/>
        <v>5</v>
      </c>
    </row>
    <row r="53" spans="1:8" x14ac:dyDescent="0.35">
      <c r="A53">
        <f t="shared" si="0"/>
        <v>0</v>
      </c>
      <c r="B53">
        <v>43</v>
      </c>
      <c r="C53" s="15" t="s">
        <v>148</v>
      </c>
      <c r="D53" s="18">
        <f>VLOOKUP(C53,'DISTRIBUIÇÃO NF4267'!$E$3:$FQ$75,MATCH(B53,'DISTRIBUIÇÃO NF4267'!$E$3:$FQ$3,0)+1,0)</f>
        <v>12</v>
      </c>
      <c r="E53" s="28"/>
      <c r="F53" s="28">
        <f t="shared" si="2"/>
        <v>5</v>
      </c>
    </row>
    <row r="54" spans="1:8" x14ac:dyDescent="0.35">
      <c r="A54">
        <f t="shared" si="0"/>
        <v>0</v>
      </c>
      <c r="B54">
        <v>43</v>
      </c>
      <c r="C54" s="15" t="s">
        <v>149</v>
      </c>
      <c r="D54" s="18">
        <f>VLOOKUP(C54,'DISTRIBUIÇÃO NF4267'!$E$3:$FQ$75,MATCH(B54,'DISTRIBUIÇÃO NF4267'!$E$3:$FQ$3,0)+1,0)</f>
        <v>12</v>
      </c>
      <c r="E54" s="28"/>
      <c r="F54" s="28">
        <f t="shared" si="2"/>
        <v>5</v>
      </c>
      <c r="H54">
        <v>43</v>
      </c>
    </row>
    <row r="55" spans="1:8" x14ac:dyDescent="0.35">
      <c r="A55">
        <f t="shared" si="0"/>
        <v>0</v>
      </c>
      <c r="B55">
        <v>43</v>
      </c>
      <c r="C55" s="15" t="s">
        <v>150</v>
      </c>
      <c r="D55" s="18">
        <f>VLOOKUP(C55,'DISTRIBUIÇÃO NF4267'!$E$3:$FQ$75,MATCH(B55,'DISTRIBUIÇÃO NF4267'!$E$3:$FQ$3,0)+1,0)</f>
        <v>0</v>
      </c>
      <c r="E55" s="28"/>
      <c r="F55" s="28">
        <f t="shared" si="2"/>
        <v>5</v>
      </c>
      <c r="H55">
        <f>IF(B55&lt;&gt;"",H54,B55)</f>
        <v>43</v>
      </c>
    </row>
    <row r="56" spans="1:8" x14ac:dyDescent="0.35">
      <c r="A56">
        <f t="shared" si="0"/>
        <v>0</v>
      </c>
      <c r="B56">
        <v>44</v>
      </c>
      <c r="C56" s="7" t="s">
        <v>98</v>
      </c>
      <c r="D56" s="18">
        <f>VLOOKUP(C56,'DISTRIBUIÇÃO NF4267'!$E$3:$FQ$75,MATCH(B56,'DISTRIBUIÇÃO NF4267'!$E$3:$FQ$3,0)+1,0)</f>
        <v>0</v>
      </c>
      <c r="E56" s="28"/>
      <c r="F56" s="28">
        <f t="shared" ref="F56:F119" si="3">ROUNDUP(SUMIFS(D:D,B:B,B56)/80,0)</f>
        <v>5</v>
      </c>
      <c r="H56" t="e">
        <f>IF(B56&lt;&gt;"",#REF!,B56)</f>
        <v>#REF!</v>
      </c>
    </row>
    <row r="57" spans="1:8" x14ac:dyDescent="0.35">
      <c r="A57">
        <f t="shared" si="0"/>
        <v>0</v>
      </c>
      <c r="B57">
        <f>B56</f>
        <v>44</v>
      </c>
      <c r="C57" s="7" t="s">
        <v>99</v>
      </c>
      <c r="D57" s="18">
        <f>VLOOKUP(C57,'DISTRIBUIÇÃO NF4267'!$E$3:$FQ$75,MATCH(B57,'DISTRIBUIÇÃO NF4267'!$E$3:$FQ$3,0)+1,0)</f>
        <v>4</v>
      </c>
      <c r="E57" s="28"/>
      <c r="F57" s="28">
        <f t="shared" si="3"/>
        <v>5</v>
      </c>
    </row>
    <row r="58" spans="1:8" x14ac:dyDescent="0.35">
      <c r="A58">
        <f t="shared" si="0"/>
        <v>0</v>
      </c>
      <c r="B58">
        <f t="shared" ref="B58:B109" si="4">B57</f>
        <v>44</v>
      </c>
      <c r="C58" s="7" t="s">
        <v>100</v>
      </c>
      <c r="D58" s="18">
        <f>VLOOKUP(C58,'DISTRIBUIÇÃO NF4267'!$E$3:$FQ$75,MATCH(B58,'DISTRIBUIÇÃO NF4267'!$E$3:$FQ$3,0)+1,0)</f>
        <v>8</v>
      </c>
      <c r="E58" s="28"/>
      <c r="F58" s="28">
        <f t="shared" si="3"/>
        <v>5</v>
      </c>
    </row>
    <row r="59" spans="1:8" x14ac:dyDescent="0.35">
      <c r="A59">
        <f t="shared" si="0"/>
        <v>0</v>
      </c>
      <c r="B59">
        <f t="shared" si="4"/>
        <v>44</v>
      </c>
      <c r="C59" s="7" t="s">
        <v>101</v>
      </c>
      <c r="D59" s="18">
        <f>VLOOKUP(C59,'DISTRIBUIÇÃO NF4267'!$E$3:$FQ$75,MATCH(B59,'DISTRIBUIÇÃO NF4267'!$E$3:$FQ$3,0)+1,0)</f>
        <v>4</v>
      </c>
      <c r="E59" s="28"/>
      <c r="F59" s="28">
        <f t="shared" si="3"/>
        <v>5</v>
      </c>
    </row>
    <row r="60" spans="1:8" x14ac:dyDescent="0.35">
      <c r="A60">
        <f t="shared" si="0"/>
        <v>0</v>
      </c>
      <c r="B60">
        <f t="shared" si="4"/>
        <v>44</v>
      </c>
      <c r="C60" s="7" t="s">
        <v>102</v>
      </c>
      <c r="D60" s="18">
        <f>VLOOKUP(C60,'DISTRIBUIÇÃO NF4267'!$E$3:$FQ$75,MATCH(B60,'DISTRIBUIÇÃO NF4267'!$E$3:$FQ$3,0)+1,0)</f>
        <v>4</v>
      </c>
      <c r="E60" s="28"/>
      <c r="F60" s="28">
        <f t="shared" si="3"/>
        <v>5</v>
      </c>
    </row>
    <row r="61" spans="1:8" x14ac:dyDescent="0.35">
      <c r="A61">
        <f t="shared" si="0"/>
        <v>0</v>
      </c>
      <c r="B61">
        <f t="shared" si="4"/>
        <v>44</v>
      </c>
      <c r="C61" s="7" t="s">
        <v>103</v>
      </c>
      <c r="D61" s="18">
        <f>VLOOKUP(C61,'DISTRIBUIÇÃO NF4267'!$E$3:$FQ$75,MATCH(B61,'DISTRIBUIÇÃO NF4267'!$E$3:$FQ$3,0)+1,0)</f>
        <v>0</v>
      </c>
      <c r="E61" s="28"/>
      <c r="F61" s="28">
        <f t="shared" si="3"/>
        <v>5</v>
      </c>
    </row>
    <row r="62" spans="1:8" x14ac:dyDescent="0.35">
      <c r="A62">
        <f t="shared" si="0"/>
        <v>0</v>
      </c>
      <c r="B62">
        <f t="shared" si="4"/>
        <v>44</v>
      </c>
      <c r="C62" s="8" t="s">
        <v>107</v>
      </c>
      <c r="D62" s="18">
        <f>VLOOKUP(C62,'DISTRIBUIÇÃO NF4267'!$E$3:$FQ$75,MATCH(B62,'DISTRIBUIÇÃO NF4267'!$E$3:$FQ$3,0)+1,0)</f>
        <v>0</v>
      </c>
      <c r="E62" s="28"/>
      <c r="F62" s="28">
        <f t="shared" si="3"/>
        <v>5</v>
      </c>
    </row>
    <row r="63" spans="1:8" x14ac:dyDescent="0.35">
      <c r="A63">
        <f t="shared" si="0"/>
        <v>0</v>
      </c>
      <c r="B63">
        <f t="shared" si="4"/>
        <v>44</v>
      </c>
      <c r="C63" s="8" t="s">
        <v>108</v>
      </c>
      <c r="D63" s="18">
        <f>VLOOKUP(C63,'DISTRIBUIÇÃO NF4267'!$E$3:$FQ$75,MATCH(B63,'DISTRIBUIÇÃO NF4267'!$E$3:$FQ$3,0)+1,0)</f>
        <v>6</v>
      </c>
      <c r="E63" s="28"/>
      <c r="F63" s="28">
        <f t="shared" si="3"/>
        <v>5</v>
      </c>
    </row>
    <row r="64" spans="1:8" x14ac:dyDescent="0.35">
      <c r="A64">
        <f t="shared" si="0"/>
        <v>0</v>
      </c>
      <c r="B64">
        <f t="shared" si="4"/>
        <v>44</v>
      </c>
      <c r="C64" s="8" t="s">
        <v>109</v>
      </c>
      <c r="D64" s="18">
        <f>VLOOKUP(C64,'DISTRIBUIÇÃO NF4267'!$E$3:$FQ$75,MATCH(B64,'DISTRIBUIÇÃO NF4267'!$E$3:$FQ$3,0)+1,0)</f>
        <v>12</v>
      </c>
      <c r="E64" s="28"/>
      <c r="F64" s="28">
        <f t="shared" si="3"/>
        <v>5</v>
      </c>
    </row>
    <row r="65" spans="1:6" x14ac:dyDescent="0.35">
      <c r="A65">
        <f t="shared" si="0"/>
        <v>0</v>
      </c>
      <c r="B65">
        <f t="shared" si="4"/>
        <v>44</v>
      </c>
      <c r="C65" s="8" t="s">
        <v>110</v>
      </c>
      <c r="D65" s="18">
        <f>VLOOKUP(C65,'DISTRIBUIÇÃO NF4267'!$E$3:$FQ$75,MATCH(B65,'DISTRIBUIÇÃO NF4267'!$E$3:$FQ$3,0)+1,0)</f>
        <v>6</v>
      </c>
      <c r="E65" s="28"/>
      <c r="F65" s="28">
        <f t="shared" si="3"/>
        <v>5</v>
      </c>
    </row>
    <row r="66" spans="1:6" x14ac:dyDescent="0.35">
      <c r="A66">
        <f t="shared" ref="A66:A129" si="5">IF(ISERROR(VLOOKUP(C66,I:I,1,0)),0,1)</f>
        <v>0</v>
      </c>
      <c r="B66">
        <f t="shared" si="4"/>
        <v>44</v>
      </c>
      <c r="C66" s="8" t="s">
        <v>111</v>
      </c>
      <c r="D66" s="18">
        <f>VLOOKUP(C66,'DISTRIBUIÇÃO NF4267'!$E$3:$FQ$75,MATCH(B66,'DISTRIBUIÇÃO NF4267'!$E$3:$FQ$3,0)+1,0)</f>
        <v>6</v>
      </c>
      <c r="E66" s="28"/>
      <c r="F66" s="28">
        <f t="shared" si="3"/>
        <v>5</v>
      </c>
    </row>
    <row r="67" spans="1:6" x14ac:dyDescent="0.35">
      <c r="A67">
        <f t="shared" si="5"/>
        <v>0</v>
      </c>
      <c r="B67">
        <f t="shared" si="4"/>
        <v>44</v>
      </c>
      <c r="C67" s="8" t="s">
        <v>112</v>
      </c>
      <c r="D67" s="18">
        <f>VLOOKUP(C67,'DISTRIBUIÇÃO NF4267'!$E$3:$FQ$75,MATCH(B67,'DISTRIBUIÇÃO NF4267'!$E$3:$FQ$3,0)+1,0)</f>
        <v>0</v>
      </c>
      <c r="E67" s="28"/>
      <c r="F67" s="28">
        <f t="shared" si="3"/>
        <v>5</v>
      </c>
    </row>
    <row r="68" spans="1:6" x14ac:dyDescent="0.35">
      <c r="A68">
        <f t="shared" si="5"/>
        <v>0</v>
      </c>
      <c r="B68">
        <f t="shared" si="4"/>
        <v>44</v>
      </c>
      <c r="C68" s="9" t="s">
        <v>113</v>
      </c>
      <c r="D68" s="18">
        <f>VLOOKUP(C68,'DISTRIBUIÇÃO NF4267'!$E$3:$FQ$75,MATCH(B68,'DISTRIBUIÇÃO NF4267'!$E$3:$FQ$3,0)+1,0)</f>
        <v>0</v>
      </c>
      <c r="E68" s="28"/>
      <c r="F68" s="28">
        <f t="shared" si="3"/>
        <v>5</v>
      </c>
    </row>
    <row r="69" spans="1:6" x14ac:dyDescent="0.35">
      <c r="A69">
        <f t="shared" si="5"/>
        <v>0</v>
      </c>
      <c r="B69">
        <f t="shared" si="4"/>
        <v>44</v>
      </c>
      <c r="C69" s="9" t="s">
        <v>114</v>
      </c>
      <c r="D69" s="18">
        <f>VLOOKUP(C69,'DISTRIBUIÇÃO NF4267'!$E$3:$FQ$75,MATCH(B69,'DISTRIBUIÇÃO NF4267'!$E$3:$FQ$3,0)+1,0)</f>
        <v>9</v>
      </c>
      <c r="E69" s="28"/>
      <c r="F69" s="28">
        <f t="shared" si="3"/>
        <v>5</v>
      </c>
    </row>
    <row r="70" spans="1:6" x14ac:dyDescent="0.35">
      <c r="A70">
        <f t="shared" si="5"/>
        <v>0</v>
      </c>
      <c r="B70">
        <f t="shared" si="4"/>
        <v>44</v>
      </c>
      <c r="C70" s="9" t="s">
        <v>115</v>
      </c>
      <c r="D70" s="18">
        <f>VLOOKUP(C70,'DISTRIBUIÇÃO NF4267'!$E$3:$FQ$75,MATCH(B70,'DISTRIBUIÇÃO NF4267'!$E$3:$FQ$3,0)+1,0)</f>
        <v>12</v>
      </c>
      <c r="E70" s="28"/>
      <c r="F70" s="28">
        <f t="shared" si="3"/>
        <v>5</v>
      </c>
    </row>
    <row r="71" spans="1:6" x14ac:dyDescent="0.35">
      <c r="A71">
        <f t="shared" si="5"/>
        <v>0</v>
      </c>
      <c r="B71">
        <f t="shared" si="4"/>
        <v>44</v>
      </c>
      <c r="C71" s="9" t="s">
        <v>116</v>
      </c>
      <c r="D71" s="18">
        <f>VLOOKUP(C71,'DISTRIBUIÇÃO NF4267'!$E$3:$FQ$75,MATCH(B71,'DISTRIBUIÇÃO NF4267'!$E$3:$FQ$3,0)+1,0)</f>
        <v>6</v>
      </c>
      <c r="E71" s="28"/>
      <c r="F71" s="28">
        <f t="shared" si="3"/>
        <v>5</v>
      </c>
    </row>
    <row r="72" spans="1:6" x14ac:dyDescent="0.35">
      <c r="A72">
        <f t="shared" si="5"/>
        <v>0</v>
      </c>
      <c r="B72">
        <f t="shared" si="4"/>
        <v>44</v>
      </c>
      <c r="C72" s="9" t="s">
        <v>117</v>
      </c>
      <c r="D72" s="18">
        <f>VLOOKUP(C72,'DISTRIBUIÇÃO NF4267'!$E$3:$FQ$75,MATCH(B72,'DISTRIBUIÇÃO NF4267'!$E$3:$FQ$3,0)+1,0)</f>
        <v>3</v>
      </c>
      <c r="E72" s="28"/>
      <c r="F72" s="28">
        <f t="shared" si="3"/>
        <v>5</v>
      </c>
    </row>
    <row r="73" spans="1:6" x14ac:dyDescent="0.35">
      <c r="A73">
        <f t="shared" si="5"/>
        <v>0</v>
      </c>
      <c r="B73">
        <f t="shared" si="4"/>
        <v>44</v>
      </c>
      <c r="C73" s="9" t="s">
        <v>118</v>
      </c>
      <c r="D73" s="18">
        <f>VLOOKUP(C73,'DISTRIBUIÇÃO NF4267'!$E$3:$FQ$75,MATCH(B73,'DISTRIBUIÇÃO NF4267'!$E$3:$FQ$3,0)+1,0)</f>
        <v>0</v>
      </c>
      <c r="E73" s="28"/>
      <c r="F73" s="28">
        <f t="shared" si="3"/>
        <v>5</v>
      </c>
    </row>
    <row r="74" spans="1:6" x14ac:dyDescent="0.35">
      <c r="A74">
        <f t="shared" si="5"/>
        <v>0</v>
      </c>
      <c r="B74">
        <f t="shared" si="4"/>
        <v>44</v>
      </c>
      <c r="C74" s="10" t="s">
        <v>119</v>
      </c>
      <c r="D74" s="18">
        <f>VLOOKUP(C74,'DISTRIBUIÇÃO NF4267'!$E$3:$FQ$75,MATCH(B74,'DISTRIBUIÇÃO NF4267'!$E$3:$FQ$3,0)+1,0)</f>
        <v>0</v>
      </c>
      <c r="E74" s="28"/>
      <c r="F74" s="28">
        <f t="shared" si="3"/>
        <v>5</v>
      </c>
    </row>
    <row r="75" spans="1:6" x14ac:dyDescent="0.35">
      <c r="A75">
        <f t="shared" si="5"/>
        <v>0</v>
      </c>
      <c r="B75">
        <f t="shared" si="4"/>
        <v>44</v>
      </c>
      <c r="C75" s="10" t="s">
        <v>120</v>
      </c>
      <c r="D75" s="18">
        <f>VLOOKUP(C75,'DISTRIBUIÇÃO NF4267'!$E$3:$FQ$75,MATCH(B75,'DISTRIBUIÇÃO NF4267'!$E$3:$FQ$3,0)+1,0)</f>
        <v>60</v>
      </c>
      <c r="E75" s="28"/>
      <c r="F75" s="28">
        <f t="shared" si="3"/>
        <v>5</v>
      </c>
    </row>
    <row r="76" spans="1:6" x14ac:dyDescent="0.35">
      <c r="A76">
        <f t="shared" si="5"/>
        <v>0</v>
      </c>
      <c r="B76">
        <f t="shared" si="4"/>
        <v>44</v>
      </c>
      <c r="C76" s="10" t="s">
        <v>121</v>
      </c>
      <c r="D76" s="18">
        <f>VLOOKUP(C76,'DISTRIBUIÇÃO NF4267'!$E$3:$FQ$75,MATCH(B76,'DISTRIBUIÇÃO NF4267'!$E$3:$FQ$3,0)+1,0)</f>
        <v>20</v>
      </c>
      <c r="E76" s="28"/>
      <c r="F76" s="28">
        <f t="shared" si="3"/>
        <v>5</v>
      </c>
    </row>
    <row r="77" spans="1:6" x14ac:dyDescent="0.35">
      <c r="A77">
        <f t="shared" si="5"/>
        <v>0</v>
      </c>
      <c r="B77">
        <f t="shared" si="4"/>
        <v>44</v>
      </c>
      <c r="C77" s="10" t="s">
        <v>122</v>
      </c>
      <c r="D77" s="18">
        <f>VLOOKUP(C77,'DISTRIBUIÇÃO NF4267'!$E$3:$FQ$75,MATCH(B77,'DISTRIBUIÇÃO NF4267'!$E$3:$FQ$3,0)+1,0)</f>
        <v>20</v>
      </c>
      <c r="E77" s="28"/>
      <c r="F77" s="28">
        <f t="shared" si="3"/>
        <v>5</v>
      </c>
    </row>
    <row r="78" spans="1:6" x14ac:dyDescent="0.35">
      <c r="A78">
        <f t="shared" si="5"/>
        <v>0</v>
      </c>
      <c r="B78">
        <f t="shared" si="4"/>
        <v>44</v>
      </c>
      <c r="C78" s="10" t="s">
        <v>123</v>
      </c>
      <c r="D78" s="18">
        <f>VLOOKUP(C78,'DISTRIBUIÇÃO NF4267'!$E$3:$FQ$75,MATCH(B78,'DISTRIBUIÇÃO NF4267'!$E$3:$FQ$3,0)+1,0)</f>
        <v>0</v>
      </c>
      <c r="E78" s="28"/>
      <c r="F78" s="28">
        <f t="shared" si="3"/>
        <v>5</v>
      </c>
    </row>
    <row r="79" spans="1:6" x14ac:dyDescent="0.35">
      <c r="A79">
        <f t="shared" si="5"/>
        <v>0</v>
      </c>
      <c r="B79">
        <f t="shared" si="4"/>
        <v>44</v>
      </c>
      <c r="C79" s="10" t="s">
        <v>124</v>
      </c>
      <c r="D79" s="18">
        <f>VLOOKUP(C79,'DISTRIBUIÇÃO NF4267'!$E$3:$FQ$75,MATCH(B79,'DISTRIBUIÇÃO NF4267'!$E$3:$FQ$3,0)+1,0)</f>
        <v>0</v>
      </c>
      <c r="E79" s="28"/>
      <c r="F79" s="28">
        <f t="shared" si="3"/>
        <v>5</v>
      </c>
    </row>
    <row r="80" spans="1:6" x14ac:dyDescent="0.35">
      <c r="A80">
        <f t="shared" si="5"/>
        <v>0</v>
      </c>
      <c r="B80">
        <f t="shared" si="4"/>
        <v>44</v>
      </c>
      <c r="C80" s="11" t="s">
        <v>16</v>
      </c>
      <c r="D80" s="18">
        <f>VLOOKUP(C80,'DISTRIBUIÇÃO NF4267'!$E$3:$FQ$75,MATCH(B80,'DISTRIBUIÇÃO NF4267'!$E$3:$FQ$3,0)+1,0)</f>
        <v>0</v>
      </c>
      <c r="E80" s="28"/>
      <c r="F80" s="28">
        <f t="shared" si="3"/>
        <v>5</v>
      </c>
    </row>
    <row r="81" spans="1:6" x14ac:dyDescent="0.35">
      <c r="A81">
        <f t="shared" si="5"/>
        <v>0</v>
      </c>
      <c r="B81">
        <f t="shared" si="4"/>
        <v>44</v>
      </c>
      <c r="C81" s="11" t="s">
        <v>17</v>
      </c>
      <c r="D81" s="18">
        <f>VLOOKUP(C81,'DISTRIBUIÇÃO NF4267'!$E$3:$FQ$75,MATCH(B81,'DISTRIBUIÇÃO NF4267'!$E$3:$FQ$3,0)+1,0)</f>
        <v>12</v>
      </c>
      <c r="E81" s="28"/>
      <c r="F81" s="28">
        <f t="shared" si="3"/>
        <v>5</v>
      </c>
    </row>
    <row r="82" spans="1:6" x14ac:dyDescent="0.35">
      <c r="A82">
        <f t="shared" si="5"/>
        <v>0</v>
      </c>
      <c r="B82">
        <f t="shared" si="4"/>
        <v>44</v>
      </c>
      <c r="C82" s="11" t="s">
        <v>18</v>
      </c>
      <c r="D82" s="18">
        <f>VLOOKUP(C82,'DISTRIBUIÇÃO NF4267'!$E$3:$FQ$75,MATCH(B82,'DISTRIBUIÇÃO NF4267'!$E$3:$FQ$3,0)+1,0)</f>
        <v>4</v>
      </c>
      <c r="E82" s="28"/>
      <c r="F82" s="28">
        <f t="shared" si="3"/>
        <v>5</v>
      </c>
    </row>
    <row r="83" spans="1:6" x14ac:dyDescent="0.35">
      <c r="A83">
        <f t="shared" si="5"/>
        <v>0</v>
      </c>
      <c r="B83">
        <f t="shared" si="4"/>
        <v>44</v>
      </c>
      <c r="C83" s="11" t="s">
        <v>19</v>
      </c>
      <c r="D83" s="18">
        <f>VLOOKUP(C83,'DISTRIBUIÇÃO NF4267'!$E$3:$FQ$75,MATCH(B83,'DISTRIBUIÇÃO NF4267'!$E$3:$FQ$3,0)+1,0)</f>
        <v>4</v>
      </c>
      <c r="E83" s="28"/>
      <c r="F83" s="28">
        <f t="shared" si="3"/>
        <v>5</v>
      </c>
    </row>
    <row r="84" spans="1:6" x14ac:dyDescent="0.35">
      <c r="A84">
        <f t="shared" si="5"/>
        <v>0</v>
      </c>
      <c r="B84">
        <f t="shared" si="4"/>
        <v>44</v>
      </c>
      <c r="C84" s="11" t="s">
        <v>20</v>
      </c>
      <c r="D84" s="18">
        <f>VLOOKUP(C84,'DISTRIBUIÇÃO NF4267'!$E$3:$FQ$75,MATCH(B84,'DISTRIBUIÇÃO NF4267'!$E$3:$FQ$3,0)+1,0)</f>
        <v>20</v>
      </c>
      <c r="E84" s="28"/>
      <c r="F84" s="28">
        <f t="shared" si="3"/>
        <v>5</v>
      </c>
    </row>
    <row r="85" spans="1:6" x14ac:dyDescent="0.35">
      <c r="A85">
        <f t="shared" si="5"/>
        <v>0</v>
      </c>
      <c r="B85">
        <f t="shared" si="4"/>
        <v>44</v>
      </c>
      <c r="C85" s="11" t="s">
        <v>21</v>
      </c>
      <c r="D85" s="18">
        <f>VLOOKUP(C85,'DISTRIBUIÇÃO NF4267'!$E$3:$FQ$75,MATCH(B85,'DISTRIBUIÇÃO NF4267'!$E$3:$FQ$3,0)+1,0)</f>
        <v>0</v>
      </c>
      <c r="E85" s="28"/>
      <c r="F85" s="28">
        <f t="shared" si="3"/>
        <v>5</v>
      </c>
    </row>
    <row r="86" spans="1:6" x14ac:dyDescent="0.35">
      <c r="A86">
        <f t="shared" si="5"/>
        <v>0</v>
      </c>
      <c r="B86">
        <f t="shared" si="4"/>
        <v>44</v>
      </c>
      <c r="C86" s="12" t="s">
        <v>130</v>
      </c>
      <c r="D86" s="18">
        <f>VLOOKUP(C86,'DISTRIBUIÇÃO NF4267'!$E$3:$FQ$75,MATCH(B86,'DISTRIBUIÇÃO NF4267'!$E$3:$FQ$3,0)+1,0)</f>
        <v>0</v>
      </c>
      <c r="E86" s="28"/>
      <c r="F86" s="28">
        <f t="shared" si="3"/>
        <v>5</v>
      </c>
    </row>
    <row r="87" spans="1:6" x14ac:dyDescent="0.35">
      <c r="A87">
        <f t="shared" si="5"/>
        <v>0</v>
      </c>
      <c r="B87">
        <f t="shared" si="4"/>
        <v>44</v>
      </c>
      <c r="C87" s="12" t="s">
        <v>131</v>
      </c>
      <c r="D87" s="18">
        <f>VLOOKUP(C87,'DISTRIBUIÇÃO NF4267'!$E$3:$FQ$75,MATCH(B87,'DISTRIBUIÇÃO NF4267'!$E$3:$FQ$3,0)+1,0)</f>
        <v>3</v>
      </c>
      <c r="E87" s="28"/>
      <c r="F87" s="28">
        <f t="shared" si="3"/>
        <v>5</v>
      </c>
    </row>
    <row r="88" spans="1:6" x14ac:dyDescent="0.35">
      <c r="A88">
        <f t="shared" si="5"/>
        <v>0</v>
      </c>
      <c r="B88">
        <f t="shared" si="4"/>
        <v>44</v>
      </c>
      <c r="C88" s="12" t="s">
        <v>132</v>
      </c>
      <c r="D88" s="18">
        <f>VLOOKUP(C88,'DISTRIBUIÇÃO NF4267'!$E$3:$FQ$75,MATCH(B88,'DISTRIBUIÇÃO NF4267'!$E$3:$FQ$3,0)+1,0)</f>
        <v>12</v>
      </c>
      <c r="E88" s="28"/>
      <c r="F88" s="28">
        <f t="shared" si="3"/>
        <v>5</v>
      </c>
    </row>
    <row r="89" spans="1:6" x14ac:dyDescent="0.35">
      <c r="A89">
        <f t="shared" si="5"/>
        <v>0</v>
      </c>
      <c r="B89">
        <f t="shared" si="4"/>
        <v>44</v>
      </c>
      <c r="C89" s="12" t="s">
        <v>133</v>
      </c>
      <c r="D89" s="18">
        <f>VLOOKUP(C89,'DISTRIBUIÇÃO NF4267'!$E$3:$FQ$75,MATCH(B89,'DISTRIBUIÇÃO NF4267'!$E$3:$FQ$3,0)+1,0)</f>
        <v>9</v>
      </c>
      <c r="E89" s="28"/>
      <c r="F89" s="28">
        <f t="shared" si="3"/>
        <v>5</v>
      </c>
    </row>
    <row r="90" spans="1:6" x14ac:dyDescent="0.35">
      <c r="A90">
        <f t="shared" si="5"/>
        <v>0</v>
      </c>
      <c r="B90">
        <f t="shared" si="4"/>
        <v>44</v>
      </c>
      <c r="C90" s="12" t="s">
        <v>134</v>
      </c>
      <c r="D90" s="18">
        <f>VLOOKUP(C90,'DISTRIBUIÇÃO NF4267'!$E$3:$FQ$75,MATCH(B90,'DISTRIBUIÇÃO NF4267'!$E$3:$FQ$3,0)+1,0)</f>
        <v>6</v>
      </c>
      <c r="E90" s="28"/>
      <c r="F90" s="28">
        <f t="shared" si="3"/>
        <v>5</v>
      </c>
    </row>
    <row r="91" spans="1:6" x14ac:dyDescent="0.35">
      <c r="A91">
        <f t="shared" si="5"/>
        <v>0</v>
      </c>
      <c r="B91">
        <f t="shared" si="4"/>
        <v>44</v>
      </c>
      <c r="C91" s="12" t="s">
        <v>135</v>
      </c>
      <c r="D91" s="18">
        <f>VLOOKUP(C91,'DISTRIBUIÇÃO NF4267'!$E$3:$FQ$75,MATCH(B91,'DISTRIBUIÇÃO NF4267'!$E$3:$FQ$3,0)+1,0)</f>
        <v>0</v>
      </c>
      <c r="E91" s="28"/>
      <c r="F91" s="28">
        <f t="shared" si="3"/>
        <v>5</v>
      </c>
    </row>
    <row r="92" spans="1:6" x14ac:dyDescent="0.35">
      <c r="A92">
        <f t="shared" si="5"/>
        <v>0</v>
      </c>
      <c r="B92">
        <f t="shared" si="4"/>
        <v>44</v>
      </c>
      <c r="C92" s="13" t="s">
        <v>22</v>
      </c>
      <c r="D92" s="18">
        <f>VLOOKUP(C92,'DISTRIBUIÇÃO NF4267'!$E$3:$FQ$75,MATCH(B92,'DISTRIBUIÇÃO NF4267'!$E$3:$FQ$3,0)+1,0)</f>
        <v>0</v>
      </c>
      <c r="E92" s="28"/>
      <c r="F92" s="28">
        <f t="shared" si="3"/>
        <v>5</v>
      </c>
    </row>
    <row r="93" spans="1:6" x14ac:dyDescent="0.35">
      <c r="A93">
        <f t="shared" si="5"/>
        <v>0</v>
      </c>
      <c r="B93">
        <f t="shared" si="4"/>
        <v>44</v>
      </c>
      <c r="C93" s="13" t="s">
        <v>23</v>
      </c>
      <c r="D93" s="18">
        <f>VLOOKUP(C93,'DISTRIBUIÇÃO NF4267'!$E$3:$FQ$75,MATCH(B93,'DISTRIBUIÇÃO NF4267'!$E$3:$FQ$3,0)+1,0)</f>
        <v>2</v>
      </c>
      <c r="E93" s="28"/>
      <c r="F93" s="28">
        <f t="shared" si="3"/>
        <v>5</v>
      </c>
    </row>
    <row r="94" spans="1:6" x14ac:dyDescent="0.35">
      <c r="A94">
        <f t="shared" si="5"/>
        <v>0</v>
      </c>
      <c r="B94">
        <f t="shared" si="4"/>
        <v>44</v>
      </c>
      <c r="C94" s="13" t="s">
        <v>24</v>
      </c>
      <c r="D94" s="18">
        <f>VLOOKUP(C94,'DISTRIBUIÇÃO NF4267'!$E$3:$FQ$75,MATCH(B94,'DISTRIBUIÇÃO NF4267'!$E$3:$FQ$3,0)+1,0)</f>
        <v>12</v>
      </c>
      <c r="E94" s="28"/>
      <c r="F94" s="28">
        <f t="shared" si="3"/>
        <v>5</v>
      </c>
    </row>
    <row r="95" spans="1:6" x14ac:dyDescent="0.35">
      <c r="A95">
        <f t="shared" si="5"/>
        <v>0</v>
      </c>
      <c r="B95">
        <f t="shared" si="4"/>
        <v>44</v>
      </c>
      <c r="C95" s="13" t="s">
        <v>25</v>
      </c>
      <c r="D95" s="18">
        <f>VLOOKUP(C95,'DISTRIBUIÇÃO NF4267'!$E$3:$FQ$75,MATCH(B95,'DISTRIBUIÇÃO NF4267'!$E$3:$FQ$3,0)+1,0)</f>
        <v>4</v>
      </c>
      <c r="E95" s="28"/>
      <c r="F95" s="28">
        <f t="shared" si="3"/>
        <v>5</v>
      </c>
    </row>
    <row r="96" spans="1:6" x14ac:dyDescent="0.35">
      <c r="A96">
        <f t="shared" si="5"/>
        <v>0</v>
      </c>
      <c r="B96">
        <f t="shared" si="4"/>
        <v>44</v>
      </c>
      <c r="C96" s="13" t="s">
        <v>26</v>
      </c>
      <c r="D96" s="18">
        <f>VLOOKUP(C96,'DISTRIBUIÇÃO NF4267'!$E$3:$FQ$75,MATCH(B96,'DISTRIBUIÇÃO NF4267'!$E$3:$FQ$3,0)+1,0)</f>
        <v>2</v>
      </c>
      <c r="E96" s="28"/>
      <c r="F96" s="28">
        <f t="shared" si="3"/>
        <v>5</v>
      </c>
    </row>
    <row r="97" spans="1:6" x14ac:dyDescent="0.35">
      <c r="A97">
        <f t="shared" si="5"/>
        <v>0</v>
      </c>
      <c r="B97">
        <f t="shared" si="4"/>
        <v>44</v>
      </c>
      <c r="C97" s="13" t="s">
        <v>27</v>
      </c>
      <c r="D97" s="18">
        <f>VLOOKUP(C97,'DISTRIBUIÇÃO NF4267'!$E$3:$FQ$75,MATCH(B97,'DISTRIBUIÇÃO NF4267'!$E$3:$FQ$3,0)+1,0)</f>
        <v>0</v>
      </c>
      <c r="E97" s="28"/>
      <c r="F97" s="28">
        <f t="shared" si="3"/>
        <v>5</v>
      </c>
    </row>
    <row r="98" spans="1:6" x14ac:dyDescent="0.35">
      <c r="A98">
        <f t="shared" si="5"/>
        <v>0</v>
      </c>
      <c r="B98">
        <f t="shared" si="4"/>
        <v>44</v>
      </c>
      <c r="C98" s="14" t="s">
        <v>138</v>
      </c>
      <c r="D98" s="18">
        <f>VLOOKUP(C98,'DISTRIBUIÇÃO NF4267'!$E$3:$FQ$75,MATCH(B98,'DISTRIBUIÇÃO NF4267'!$E$3:$FQ$3,0)+1,0)</f>
        <v>0</v>
      </c>
      <c r="E98" s="28"/>
      <c r="F98" s="28">
        <f t="shared" si="3"/>
        <v>5</v>
      </c>
    </row>
    <row r="99" spans="1:6" x14ac:dyDescent="0.35">
      <c r="A99">
        <f t="shared" si="5"/>
        <v>0</v>
      </c>
      <c r="B99">
        <f t="shared" si="4"/>
        <v>44</v>
      </c>
      <c r="C99" s="14" t="s">
        <v>139</v>
      </c>
      <c r="D99" s="18">
        <f>VLOOKUP(C99,'DISTRIBUIÇÃO NF4267'!$E$3:$FQ$75,MATCH(B99,'DISTRIBUIÇÃO NF4267'!$E$3:$FQ$3,0)+1,0)</f>
        <v>10</v>
      </c>
      <c r="E99" s="28"/>
      <c r="F99" s="28">
        <f t="shared" si="3"/>
        <v>5</v>
      </c>
    </row>
    <row r="100" spans="1:6" x14ac:dyDescent="0.35">
      <c r="A100">
        <f t="shared" si="5"/>
        <v>0</v>
      </c>
      <c r="B100">
        <f t="shared" si="4"/>
        <v>44</v>
      </c>
      <c r="C100" s="14" t="s">
        <v>140</v>
      </c>
      <c r="D100" s="18">
        <f>VLOOKUP(C100,'DISTRIBUIÇÃO NF4267'!$E$3:$FQ$75,MATCH(B100,'DISTRIBUIÇÃO NF4267'!$E$3:$FQ$3,0)+1,0)</f>
        <v>20</v>
      </c>
      <c r="E100" s="28"/>
      <c r="F100" s="28">
        <f t="shared" si="3"/>
        <v>5</v>
      </c>
    </row>
    <row r="101" spans="1:6" x14ac:dyDescent="0.35">
      <c r="A101">
        <f t="shared" si="5"/>
        <v>0</v>
      </c>
      <c r="B101">
        <f t="shared" si="4"/>
        <v>44</v>
      </c>
      <c r="C101" s="14" t="s">
        <v>141</v>
      </c>
      <c r="D101" s="18">
        <f>VLOOKUP(C101,'DISTRIBUIÇÃO NF4267'!$E$3:$FQ$75,MATCH(B101,'DISTRIBUIÇÃO NF4267'!$E$3:$FQ$3,0)+1,0)</f>
        <v>10</v>
      </c>
      <c r="E101" s="28"/>
      <c r="F101" s="28">
        <f t="shared" si="3"/>
        <v>5</v>
      </c>
    </row>
    <row r="102" spans="1:6" x14ac:dyDescent="0.35">
      <c r="A102">
        <f t="shared" si="5"/>
        <v>0</v>
      </c>
      <c r="B102">
        <f t="shared" si="4"/>
        <v>44</v>
      </c>
      <c r="C102" s="14" t="s">
        <v>142</v>
      </c>
      <c r="D102" s="18">
        <f>VLOOKUP(C102,'DISTRIBUIÇÃO NF4267'!$E$3:$FQ$75,MATCH(B102,'DISTRIBUIÇÃO NF4267'!$E$3:$FQ$3,0)+1,0)</f>
        <v>10</v>
      </c>
      <c r="E102" s="28"/>
      <c r="F102" s="28">
        <f t="shared" si="3"/>
        <v>5</v>
      </c>
    </row>
    <row r="103" spans="1:6" x14ac:dyDescent="0.35">
      <c r="A103">
        <f t="shared" si="5"/>
        <v>0</v>
      </c>
      <c r="B103">
        <f t="shared" si="4"/>
        <v>44</v>
      </c>
      <c r="C103" s="14" t="s">
        <v>143</v>
      </c>
      <c r="D103" s="18">
        <f>VLOOKUP(C103,'DISTRIBUIÇÃO NF4267'!$E$3:$FQ$75,MATCH(B103,'DISTRIBUIÇÃO NF4267'!$E$3:$FQ$3,0)+1,0)</f>
        <v>0</v>
      </c>
      <c r="E103" s="28"/>
      <c r="F103" s="28">
        <f t="shared" si="3"/>
        <v>5</v>
      </c>
    </row>
    <row r="104" spans="1:6" x14ac:dyDescent="0.35">
      <c r="A104">
        <f t="shared" si="5"/>
        <v>0</v>
      </c>
      <c r="B104">
        <f t="shared" si="4"/>
        <v>44</v>
      </c>
      <c r="C104" s="15" t="s">
        <v>145</v>
      </c>
      <c r="D104" s="18">
        <f>VLOOKUP(C104,'DISTRIBUIÇÃO NF4267'!$E$3:$FQ$75,MATCH(B104,'DISTRIBUIÇÃO NF4267'!$E$3:$FQ$3,0)+1,0)</f>
        <v>0</v>
      </c>
      <c r="E104" s="28"/>
      <c r="F104" s="28">
        <f t="shared" si="3"/>
        <v>5</v>
      </c>
    </row>
    <row r="105" spans="1:6" x14ac:dyDescent="0.35">
      <c r="A105">
        <f t="shared" si="5"/>
        <v>0</v>
      </c>
      <c r="B105">
        <f t="shared" si="4"/>
        <v>44</v>
      </c>
      <c r="C105" s="15" t="s">
        <v>146</v>
      </c>
      <c r="D105" s="18">
        <f>VLOOKUP(C105,'DISTRIBUIÇÃO NF4267'!$E$3:$FQ$75,MATCH(B105,'DISTRIBUIÇÃO NF4267'!$E$3:$FQ$3,0)+1,0)</f>
        <v>12</v>
      </c>
      <c r="E105" s="28"/>
      <c r="F105" s="28">
        <f t="shared" si="3"/>
        <v>5</v>
      </c>
    </row>
    <row r="106" spans="1:6" x14ac:dyDescent="0.35">
      <c r="A106">
        <f t="shared" si="5"/>
        <v>0</v>
      </c>
      <c r="B106">
        <f t="shared" si="4"/>
        <v>44</v>
      </c>
      <c r="C106" s="15" t="s">
        <v>147</v>
      </c>
      <c r="D106" s="18">
        <f>VLOOKUP(C106,'DISTRIBUIÇÃO NF4267'!$E$3:$FQ$75,MATCH(B106,'DISTRIBUIÇÃO NF4267'!$E$3:$FQ$3,0)+1,0)</f>
        <v>24</v>
      </c>
      <c r="E106" s="28"/>
      <c r="F106" s="28">
        <f t="shared" si="3"/>
        <v>5</v>
      </c>
    </row>
    <row r="107" spans="1:6" x14ac:dyDescent="0.35">
      <c r="A107">
        <f t="shared" si="5"/>
        <v>0</v>
      </c>
      <c r="B107">
        <f t="shared" si="4"/>
        <v>44</v>
      </c>
      <c r="C107" s="15" t="s">
        <v>148</v>
      </c>
      <c r="D107" s="18">
        <f>VLOOKUP(C107,'DISTRIBUIÇÃO NF4267'!$E$3:$FQ$75,MATCH(B107,'DISTRIBUIÇÃO NF4267'!$E$3:$FQ$3,0)+1,0)</f>
        <v>12</v>
      </c>
      <c r="E107" s="28"/>
      <c r="F107" s="28">
        <f t="shared" si="3"/>
        <v>5</v>
      </c>
    </row>
    <row r="108" spans="1:6" x14ac:dyDescent="0.35">
      <c r="A108">
        <f t="shared" si="5"/>
        <v>0</v>
      </c>
      <c r="B108">
        <f t="shared" si="4"/>
        <v>44</v>
      </c>
      <c r="C108" s="15" t="s">
        <v>149</v>
      </c>
      <c r="D108" s="18">
        <f>VLOOKUP(C108,'DISTRIBUIÇÃO NF4267'!$E$3:$FQ$75,MATCH(B108,'DISTRIBUIÇÃO NF4267'!$E$3:$FQ$3,0)+1,0)</f>
        <v>12</v>
      </c>
      <c r="E108" s="28"/>
      <c r="F108" s="28">
        <f t="shared" si="3"/>
        <v>5</v>
      </c>
    </row>
    <row r="109" spans="1:6" x14ac:dyDescent="0.35">
      <c r="A109">
        <f t="shared" si="5"/>
        <v>0</v>
      </c>
      <c r="B109">
        <f t="shared" si="4"/>
        <v>44</v>
      </c>
      <c r="C109" s="15" t="s">
        <v>150</v>
      </c>
      <c r="D109" s="18">
        <f>VLOOKUP(C109,'DISTRIBUIÇÃO NF4267'!$E$3:$FQ$75,MATCH(B109,'DISTRIBUIÇÃO NF4267'!$E$3:$FQ$3,0)+1,0)</f>
        <v>0</v>
      </c>
      <c r="E109" s="28"/>
      <c r="F109" s="28">
        <f t="shared" si="3"/>
        <v>5</v>
      </c>
    </row>
    <row r="110" spans="1:6" x14ac:dyDescent="0.35">
      <c r="A110">
        <f t="shared" si="5"/>
        <v>0</v>
      </c>
      <c r="B110">
        <v>24</v>
      </c>
      <c r="C110" s="7" t="s">
        <v>98</v>
      </c>
      <c r="D110" s="18">
        <f>VLOOKUP(C110,'DISTRIBUIÇÃO NF4267'!$E$3:$FQ$75,MATCH(B110,'DISTRIBUIÇÃO NF4267'!$E$3:$FQ$3,0)+1,0)</f>
        <v>0</v>
      </c>
      <c r="E110" s="28"/>
      <c r="F110" s="28">
        <f t="shared" si="3"/>
        <v>5</v>
      </c>
    </row>
    <row r="111" spans="1:6" x14ac:dyDescent="0.35">
      <c r="A111">
        <f t="shared" si="5"/>
        <v>0</v>
      </c>
      <c r="B111">
        <f>B110</f>
        <v>24</v>
      </c>
      <c r="C111" s="7" t="s">
        <v>99</v>
      </c>
      <c r="D111" s="18">
        <f>VLOOKUP(C111,'DISTRIBUIÇÃO NF4267'!$E$3:$FQ$75,MATCH(B111,'DISTRIBUIÇÃO NF4267'!$E$3:$FQ$3,0)+1,0)</f>
        <v>4</v>
      </c>
      <c r="E111" s="28"/>
      <c r="F111" s="28">
        <f t="shared" si="3"/>
        <v>5</v>
      </c>
    </row>
    <row r="112" spans="1:6" x14ac:dyDescent="0.35">
      <c r="A112">
        <f t="shared" si="5"/>
        <v>0</v>
      </c>
      <c r="B112">
        <f t="shared" ref="B112:B163" si="6">B111</f>
        <v>24</v>
      </c>
      <c r="C112" s="7" t="s">
        <v>100</v>
      </c>
      <c r="D112" s="18">
        <f>VLOOKUP(C112,'DISTRIBUIÇÃO NF4267'!$E$3:$FQ$75,MATCH(B112,'DISTRIBUIÇÃO NF4267'!$E$3:$FQ$3,0)+1,0)</f>
        <v>8</v>
      </c>
      <c r="E112" s="28"/>
      <c r="F112" s="28">
        <f t="shared" si="3"/>
        <v>5</v>
      </c>
    </row>
    <row r="113" spans="1:6" x14ac:dyDescent="0.35">
      <c r="A113">
        <f t="shared" si="5"/>
        <v>0</v>
      </c>
      <c r="B113">
        <f t="shared" si="6"/>
        <v>24</v>
      </c>
      <c r="C113" s="7" t="s">
        <v>101</v>
      </c>
      <c r="D113" s="18">
        <f>VLOOKUP(C113,'DISTRIBUIÇÃO NF4267'!$E$3:$FQ$75,MATCH(B113,'DISTRIBUIÇÃO NF4267'!$E$3:$FQ$3,0)+1,0)</f>
        <v>4</v>
      </c>
      <c r="E113" s="28"/>
      <c r="F113" s="28">
        <f t="shared" si="3"/>
        <v>5</v>
      </c>
    </row>
    <row r="114" spans="1:6" x14ac:dyDescent="0.35">
      <c r="A114">
        <f t="shared" si="5"/>
        <v>0</v>
      </c>
      <c r="B114">
        <f t="shared" si="6"/>
        <v>24</v>
      </c>
      <c r="C114" s="7" t="s">
        <v>102</v>
      </c>
      <c r="D114" s="18">
        <f>VLOOKUP(C114,'DISTRIBUIÇÃO NF4267'!$E$3:$FQ$75,MATCH(B114,'DISTRIBUIÇÃO NF4267'!$E$3:$FQ$3,0)+1,0)</f>
        <v>4</v>
      </c>
      <c r="E114" s="28"/>
      <c r="F114" s="28">
        <f t="shared" si="3"/>
        <v>5</v>
      </c>
    </row>
    <row r="115" spans="1:6" x14ac:dyDescent="0.35">
      <c r="A115">
        <f t="shared" si="5"/>
        <v>0</v>
      </c>
      <c r="B115">
        <f t="shared" si="6"/>
        <v>24</v>
      </c>
      <c r="C115" s="7" t="s">
        <v>103</v>
      </c>
      <c r="D115" s="18">
        <f>VLOOKUP(C115,'DISTRIBUIÇÃO NF4267'!$E$3:$FQ$75,MATCH(B115,'DISTRIBUIÇÃO NF4267'!$E$3:$FQ$3,0)+1,0)</f>
        <v>0</v>
      </c>
      <c r="E115" s="28"/>
      <c r="F115" s="28">
        <f t="shared" si="3"/>
        <v>5</v>
      </c>
    </row>
    <row r="116" spans="1:6" x14ac:dyDescent="0.35">
      <c r="A116">
        <f t="shared" si="5"/>
        <v>0</v>
      </c>
      <c r="B116">
        <f t="shared" si="6"/>
        <v>24</v>
      </c>
      <c r="C116" s="8" t="s">
        <v>107</v>
      </c>
      <c r="D116" s="18">
        <f>VLOOKUP(C116,'DISTRIBUIÇÃO NF4267'!$E$3:$FQ$75,MATCH(B116,'DISTRIBUIÇÃO NF4267'!$E$3:$FQ$3,0)+1,0)</f>
        <v>0</v>
      </c>
      <c r="E116" s="28"/>
      <c r="F116" s="28">
        <f t="shared" si="3"/>
        <v>5</v>
      </c>
    </row>
    <row r="117" spans="1:6" x14ac:dyDescent="0.35">
      <c r="A117">
        <f t="shared" si="5"/>
        <v>0</v>
      </c>
      <c r="B117">
        <f t="shared" si="6"/>
        <v>24</v>
      </c>
      <c r="C117" s="8" t="s">
        <v>108</v>
      </c>
      <c r="D117" s="18">
        <f>VLOOKUP(C117,'DISTRIBUIÇÃO NF4267'!$E$3:$FQ$75,MATCH(B117,'DISTRIBUIÇÃO NF4267'!$E$3:$FQ$3,0)+1,0)</f>
        <v>6</v>
      </c>
      <c r="E117" s="28"/>
      <c r="F117" s="28">
        <f t="shared" si="3"/>
        <v>5</v>
      </c>
    </row>
    <row r="118" spans="1:6" x14ac:dyDescent="0.35">
      <c r="A118">
        <f t="shared" si="5"/>
        <v>0</v>
      </c>
      <c r="B118">
        <f t="shared" si="6"/>
        <v>24</v>
      </c>
      <c r="C118" s="8" t="s">
        <v>109</v>
      </c>
      <c r="D118" s="18">
        <f>VLOOKUP(C118,'DISTRIBUIÇÃO NF4267'!$E$3:$FQ$75,MATCH(B118,'DISTRIBUIÇÃO NF4267'!$E$3:$FQ$3,0)+1,0)</f>
        <v>12</v>
      </c>
      <c r="E118" s="28"/>
      <c r="F118" s="28">
        <f t="shared" si="3"/>
        <v>5</v>
      </c>
    </row>
    <row r="119" spans="1:6" x14ac:dyDescent="0.35">
      <c r="A119">
        <f t="shared" si="5"/>
        <v>0</v>
      </c>
      <c r="B119">
        <f t="shared" si="6"/>
        <v>24</v>
      </c>
      <c r="C119" s="8" t="s">
        <v>110</v>
      </c>
      <c r="D119" s="18">
        <f>VLOOKUP(C119,'DISTRIBUIÇÃO NF4267'!$E$3:$FQ$75,MATCH(B119,'DISTRIBUIÇÃO NF4267'!$E$3:$FQ$3,0)+1,0)</f>
        <v>6</v>
      </c>
      <c r="E119" s="28"/>
      <c r="F119" s="28">
        <f t="shared" si="3"/>
        <v>5</v>
      </c>
    </row>
    <row r="120" spans="1:6" x14ac:dyDescent="0.35">
      <c r="A120">
        <f t="shared" si="5"/>
        <v>0</v>
      </c>
      <c r="B120">
        <f t="shared" si="6"/>
        <v>24</v>
      </c>
      <c r="C120" s="8" t="s">
        <v>111</v>
      </c>
      <c r="D120" s="18">
        <f>VLOOKUP(C120,'DISTRIBUIÇÃO NF4267'!$E$3:$FQ$75,MATCH(B120,'DISTRIBUIÇÃO NF4267'!$E$3:$FQ$3,0)+1,0)</f>
        <v>6</v>
      </c>
      <c r="E120" s="28"/>
      <c r="F120" s="28">
        <f t="shared" ref="F120:F183" si="7">ROUNDUP(SUMIFS(D:D,B:B,B120)/80,0)</f>
        <v>5</v>
      </c>
    </row>
    <row r="121" spans="1:6" x14ac:dyDescent="0.35">
      <c r="A121">
        <f t="shared" si="5"/>
        <v>0</v>
      </c>
      <c r="B121">
        <f t="shared" si="6"/>
        <v>24</v>
      </c>
      <c r="C121" s="8" t="s">
        <v>112</v>
      </c>
      <c r="D121" s="18">
        <f>VLOOKUP(C121,'DISTRIBUIÇÃO NF4267'!$E$3:$FQ$75,MATCH(B121,'DISTRIBUIÇÃO NF4267'!$E$3:$FQ$3,0)+1,0)</f>
        <v>0</v>
      </c>
      <c r="E121" s="28"/>
      <c r="F121" s="28">
        <f t="shared" si="7"/>
        <v>5</v>
      </c>
    </row>
    <row r="122" spans="1:6" x14ac:dyDescent="0.35">
      <c r="A122">
        <f t="shared" si="5"/>
        <v>0</v>
      </c>
      <c r="B122">
        <f t="shared" si="6"/>
        <v>24</v>
      </c>
      <c r="C122" s="9" t="s">
        <v>113</v>
      </c>
      <c r="D122" s="18">
        <f>VLOOKUP(C122,'DISTRIBUIÇÃO NF4267'!$E$3:$FQ$75,MATCH(B122,'DISTRIBUIÇÃO NF4267'!$E$3:$FQ$3,0)+1,0)</f>
        <v>0</v>
      </c>
      <c r="E122" s="28"/>
      <c r="F122" s="28">
        <f t="shared" si="7"/>
        <v>5</v>
      </c>
    </row>
    <row r="123" spans="1:6" x14ac:dyDescent="0.35">
      <c r="A123">
        <f t="shared" si="5"/>
        <v>0</v>
      </c>
      <c r="B123">
        <f t="shared" si="6"/>
        <v>24</v>
      </c>
      <c r="C123" s="9" t="s">
        <v>114</v>
      </c>
      <c r="D123" s="18">
        <f>VLOOKUP(C123,'DISTRIBUIÇÃO NF4267'!$E$3:$FQ$75,MATCH(B123,'DISTRIBUIÇÃO NF4267'!$E$3:$FQ$3,0)+1,0)</f>
        <v>9</v>
      </c>
      <c r="E123" s="28"/>
      <c r="F123" s="28">
        <f t="shared" si="7"/>
        <v>5</v>
      </c>
    </row>
    <row r="124" spans="1:6" x14ac:dyDescent="0.35">
      <c r="A124">
        <f t="shared" si="5"/>
        <v>0</v>
      </c>
      <c r="B124">
        <f t="shared" si="6"/>
        <v>24</v>
      </c>
      <c r="C124" s="9" t="s">
        <v>115</v>
      </c>
      <c r="D124" s="18">
        <f>VLOOKUP(C124,'DISTRIBUIÇÃO NF4267'!$E$3:$FQ$75,MATCH(B124,'DISTRIBUIÇÃO NF4267'!$E$3:$FQ$3,0)+1,0)</f>
        <v>12</v>
      </c>
      <c r="E124" s="28"/>
      <c r="F124" s="28">
        <f t="shared" si="7"/>
        <v>5</v>
      </c>
    </row>
    <row r="125" spans="1:6" x14ac:dyDescent="0.35">
      <c r="A125">
        <f t="shared" si="5"/>
        <v>0</v>
      </c>
      <c r="B125">
        <f t="shared" si="6"/>
        <v>24</v>
      </c>
      <c r="C125" s="9" t="s">
        <v>116</v>
      </c>
      <c r="D125" s="18">
        <f>VLOOKUP(C125,'DISTRIBUIÇÃO NF4267'!$E$3:$FQ$75,MATCH(B125,'DISTRIBUIÇÃO NF4267'!$E$3:$FQ$3,0)+1,0)</f>
        <v>6</v>
      </c>
      <c r="E125" s="28"/>
      <c r="F125" s="28">
        <f t="shared" si="7"/>
        <v>5</v>
      </c>
    </row>
    <row r="126" spans="1:6" x14ac:dyDescent="0.35">
      <c r="A126">
        <f t="shared" si="5"/>
        <v>0</v>
      </c>
      <c r="B126">
        <f t="shared" si="6"/>
        <v>24</v>
      </c>
      <c r="C126" s="9" t="s">
        <v>117</v>
      </c>
      <c r="D126" s="18">
        <f>VLOOKUP(C126,'DISTRIBUIÇÃO NF4267'!$E$3:$FQ$75,MATCH(B126,'DISTRIBUIÇÃO NF4267'!$E$3:$FQ$3,0)+1,0)</f>
        <v>3</v>
      </c>
      <c r="E126" s="28"/>
      <c r="F126" s="28">
        <f t="shared" si="7"/>
        <v>5</v>
      </c>
    </row>
    <row r="127" spans="1:6" x14ac:dyDescent="0.35">
      <c r="A127">
        <f t="shared" si="5"/>
        <v>0</v>
      </c>
      <c r="B127">
        <f t="shared" si="6"/>
        <v>24</v>
      </c>
      <c r="C127" s="9" t="s">
        <v>118</v>
      </c>
      <c r="D127" s="18">
        <f>VLOOKUP(C127,'DISTRIBUIÇÃO NF4267'!$E$3:$FQ$75,MATCH(B127,'DISTRIBUIÇÃO NF4267'!$E$3:$FQ$3,0)+1,0)</f>
        <v>0</v>
      </c>
      <c r="E127" s="28"/>
      <c r="F127" s="28">
        <f t="shared" si="7"/>
        <v>5</v>
      </c>
    </row>
    <row r="128" spans="1:6" x14ac:dyDescent="0.35">
      <c r="A128">
        <f t="shared" si="5"/>
        <v>0</v>
      </c>
      <c r="B128">
        <f t="shared" si="6"/>
        <v>24</v>
      </c>
      <c r="C128" s="10" t="s">
        <v>119</v>
      </c>
      <c r="D128" s="18">
        <f>VLOOKUP(C128,'DISTRIBUIÇÃO NF4267'!$E$3:$FQ$75,MATCH(B128,'DISTRIBUIÇÃO NF4267'!$E$3:$FQ$3,0)+1,0)</f>
        <v>0</v>
      </c>
      <c r="E128" s="28"/>
      <c r="F128" s="28">
        <f t="shared" si="7"/>
        <v>5</v>
      </c>
    </row>
    <row r="129" spans="1:6" x14ac:dyDescent="0.35">
      <c r="A129">
        <f t="shared" si="5"/>
        <v>0</v>
      </c>
      <c r="B129">
        <f t="shared" si="6"/>
        <v>24</v>
      </c>
      <c r="C129" s="10" t="s">
        <v>120</v>
      </c>
      <c r="D129" s="18">
        <f>VLOOKUP(C129,'DISTRIBUIÇÃO NF4267'!$E$3:$FQ$75,MATCH(B129,'DISTRIBUIÇÃO NF4267'!$E$3:$FQ$3,0)+1,0)</f>
        <v>60</v>
      </c>
      <c r="E129" s="28"/>
      <c r="F129" s="28">
        <f t="shared" si="7"/>
        <v>5</v>
      </c>
    </row>
    <row r="130" spans="1:6" x14ac:dyDescent="0.35">
      <c r="A130">
        <f t="shared" ref="A130:A193" si="8">IF(ISERROR(VLOOKUP(C130,I:I,1,0)),0,1)</f>
        <v>0</v>
      </c>
      <c r="B130">
        <f t="shared" si="6"/>
        <v>24</v>
      </c>
      <c r="C130" s="10" t="s">
        <v>121</v>
      </c>
      <c r="D130" s="18">
        <f>VLOOKUP(C130,'DISTRIBUIÇÃO NF4267'!$E$3:$FQ$75,MATCH(B130,'DISTRIBUIÇÃO NF4267'!$E$3:$FQ$3,0)+1,0)</f>
        <v>20</v>
      </c>
      <c r="E130" s="28"/>
      <c r="F130" s="28">
        <f t="shared" si="7"/>
        <v>5</v>
      </c>
    </row>
    <row r="131" spans="1:6" x14ac:dyDescent="0.35">
      <c r="A131">
        <f t="shared" si="8"/>
        <v>0</v>
      </c>
      <c r="B131">
        <f t="shared" si="6"/>
        <v>24</v>
      </c>
      <c r="C131" s="10" t="s">
        <v>122</v>
      </c>
      <c r="D131" s="18">
        <f>VLOOKUP(C131,'DISTRIBUIÇÃO NF4267'!$E$3:$FQ$75,MATCH(B131,'DISTRIBUIÇÃO NF4267'!$E$3:$FQ$3,0)+1,0)</f>
        <v>20</v>
      </c>
      <c r="E131" s="28"/>
      <c r="F131" s="28">
        <f t="shared" si="7"/>
        <v>5</v>
      </c>
    </row>
    <row r="132" spans="1:6" x14ac:dyDescent="0.35">
      <c r="A132">
        <f t="shared" si="8"/>
        <v>0</v>
      </c>
      <c r="B132">
        <f t="shared" si="6"/>
        <v>24</v>
      </c>
      <c r="C132" s="10" t="s">
        <v>123</v>
      </c>
      <c r="D132" s="18">
        <f>VLOOKUP(C132,'DISTRIBUIÇÃO NF4267'!$E$3:$FQ$75,MATCH(B132,'DISTRIBUIÇÃO NF4267'!$E$3:$FQ$3,0)+1,0)</f>
        <v>0</v>
      </c>
      <c r="E132" s="28"/>
      <c r="F132" s="28">
        <f t="shared" si="7"/>
        <v>5</v>
      </c>
    </row>
    <row r="133" spans="1:6" x14ac:dyDescent="0.35">
      <c r="A133">
        <f t="shared" si="8"/>
        <v>0</v>
      </c>
      <c r="B133">
        <f t="shared" si="6"/>
        <v>24</v>
      </c>
      <c r="C133" s="10" t="s">
        <v>124</v>
      </c>
      <c r="D133" s="18">
        <f>VLOOKUP(C133,'DISTRIBUIÇÃO NF4267'!$E$3:$FQ$75,MATCH(B133,'DISTRIBUIÇÃO NF4267'!$E$3:$FQ$3,0)+1,0)</f>
        <v>0</v>
      </c>
      <c r="E133" s="28"/>
      <c r="F133" s="28">
        <f t="shared" si="7"/>
        <v>5</v>
      </c>
    </row>
    <row r="134" spans="1:6" x14ac:dyDescent="0.35">
      <c r="A134">
        <f t="shared" si="8"/>
        <v>0</v>
      </c>
      <c r="B134">
        <f t="shared" si="6"/>
        <v>24</v>
      </c>
      <c r="C134" s="11" t="s">
        <v>16</v>
      </c>
      <c r="D134" s="18">
        <f>VLOOKUP(C134,'DISTRIBUIÇÃO NF4267'!$E$3:$FQ$75,MATCH(B134,'DISTRIBUIÇÃO NF4267'!$E$3:$FQ$3,0)+1,0)</f>
        <v>0</v>
      </c>
      <c r="E134" s="28"/>
      <c r="F134" s="28">
        <f t="shared" si="7"/>
        <v>5</v>
      </c>
    </row>
    <row r="135" spans="1:6" x14ac:dyDescent="0.35">
      <c r="A135">
        <f t="shared" si="8"/>
        <v>0</v>
      </c>
      <c r="B135">
        <f t="shared" si="6"/>
        <v>24</v>
      </c>
      <c r="C135" s="11" t="s">
        <v>17</v>
      </c>
      <c r="D135" s="18">
        <f>VLOOKUP(C135,'DISTRIBUIÇÃO NF4267'!$E$3:$FQ$75,MATCH(B135,'DISTRIBUIÇÃO NF4267'!$E$3:$FQ$3,0)+1,0)</f>
        <v>12</v>
      </c>
      <c r="E135" s="28"/>
      <c r="F135" s="28">
        <f t="shared" si="7"/>
        <v>5</v>
      </c>
    </row>
    <row r="136" spans="1:6" x14ac:dyDescent="0.35">
      <c r="A136">
        <f t="shared" si="8"/>
        <v>0</v>
      </c>
      <c r="B136">
        <f t="shared" si="6"/>
        <v>24</v>
      </c>
      <c r="C136" s="11" t="s">
        <v>18</v>
      </c>
      <c r="D136" s="18">
        <f>VLOOKUP(C136,'DISTRIBUIÇÃO NF4267'!$E$3:$FQ$75,MATCH(B136,'DISTRIBUIÇÃO NF4267'!$E$3:$FQ$3,0)+1,0)</f>
        <v>4</v>
      </c>
      <c r="E136" s="28"/>
      <c r="F136" s="28">
        <f t="shared" si="7"/>
        <v>5</v>
      </c>
    </row>
    <row r="137" spans="1:6" x14ac:dyDescent="0.35">
      <c r="A137">
        <f t="shared" si="8"/>
        <v>0</v>
      </c>
      <c r="B137">
        <f t="shared" si="6"/>
        <v>24</v>
      </c>
      <c r="C137" s="11" t="s">
        <v>19</v>
      </c>
      <c r="D137" s="18">
        <f>VLOOKUP(C137,'DISTRIBUIÇÃO NF4267'!$E$3:$FQ$75,MATCH(B137,'DISTRIBUIÇÃO NF4267'!$E$3:$FQ$3,0)+1,0)</f>
        <v>4</v>
      </c>
      <c r="E137" s="28"/>
      <c r="F137" s="28">
        <f t="shared" si="7"/>
        <v>5</v>
      </c>
    </row>
    <row r="138" spans="1:6" x14ac:dyDescent="0.35">
      <c r="A138">
        <f t="shared" si="8"/>
        <v>0</v>
      </c>
      <c r="B138">
        <f t="shared" si="6"/>
        <v>24</v>
      </c>
      <c r="C138" s="11" t="s">
        <v>20</v>
      </c>
      <c r="D138" s="18">
        <f>VLOOKUP(C138,'DISTRIBUIÇÃO NF4267'!$E$3:$FQ$75,MATCH(B138,'DISTRIBUIÇÃO NF4267'!$E$3:$FQ$3,0)+1,0)</f>
        <v>20</v>
      </c>
      <c r="E138" s="28"/>
      <c r="F138" s="28">
        <f t="shared" si="7"/>
        <v>5</v>
      </c>
    </row>
    <row r="139" spans="1:6" x14ac:dyDescent="0.35">
      <c r="A139">
        <f t="shared" si="8"/>
        <v>0</v>
      </c>
      <c r="B139">
        <f t="shared" si="6"/>
        <v>24</v>
      </c>
      <c r="C139" s="11" t="s">
        <v>21</v>
      </c>
      <c r="D139" s="18">
        <f>VLOOKUP(C139,'DISTRIBUIÇÃO NF4267'!$E$3:$FQ$75,MATCH(B139,'DISTRIBUIÇÃO NF4267'!$E$3:$FQ$3,0)+1,0)</f>
        <v>0</v>
      </c>
      <c r="E139" s="28"/>
      <c r="F139" s="28">
        <f t="shared" si="7"/>
        <v>5</v>
      </c>
    </row>
    <row r="140" spans="1:6" x14ac:dyDescent="0.35">
      <c r="A140">
        <f t="shared" si="8"/>
        <v>0</v>
      </c>
      <c r="B140">
        <f t="shared" si="6"/>
        <v>24</v>
      </c>
      <c r="C140" s="12" t="s">
        <v>130</v>
      </c>
      <c r="D140" s="18">
        <f>VLOOKUP(C140,'DISTRIBUIÇÃO NF4267'!$E$3:$FQ$75,MATCH(B140,'DISTRIBUIÇÃO NF4267'!$E$3:$FQ$3,0)+1,0)</f>
        <v>0</v>
      </c>
      <c r="E140" s="28"/>
      <c r="F140" s="28">
        <f t="shared" si="7"/>
        <v>5</v>
      </c>
    </row>
    <row r="141" spans="1:6" x14ac:dyDescent="0.35">
      <c r="A141">
        <f t="shared" si="8"/>
        <v>0</v>
      </c>
      <c r="B141">
        <f t="shared" si="6"/>
        <v>24</v>
      </c>
      <c r="C141" s="12" t="s">
        <v>131</v>
      </c>
      <c r="D141" s="18">
        <f>VLOOKUP(C141,'DISTRIBUIÇÃO NF4267'!$E$3:$FQ$75,MATCH(B141,'DISTRIBUIÇÃO NF4267'!$E$3:$FQ$3,0)+1,0)</f>
        <v>3</v>
      </c>
      <c r="E141" s="28"/>
      <c r="F141" s="28">
        <f t="shared" si="7"/>
        <v>5</v>
      </c>
    </row>
    <row r="142" spans="1:6" x14ac:dyDescent="0.35">
      <c r="A142">
        <f t="shared" si="8"/>
        <v>0</v>
      </c>
      <c r="B142">
        <f t="shared" si="6"/>
        <v>24</v>
      </c>
      <c r="C142" s="12" t="s">
        <v>132</v>
      </c>
      <c r="D142" s="18">
        <f>VLOOKUP(C142,'DISTRIBUIÇÃO NF4267'!$E$3:$FQ$75,MATCH(B142,'DISTRIBUIÇÃO NF4267'!$E$3:$FQ$3,0)+1,0)</f>
        <v>12</v>
      </c>
      <c r="E142" s="28"/>
      <c r="F142" s="28">
        <f t="shared" si="7"/>
        <v>5</v>
      </c>
    </row>
    <row r="143" spans="1:6" x14ac:dyDescent="0.35">
      <c r="A143">
        <f t="shared" si="8"/>
        <v>0</v>
      </c>
      <c r="B143">
        <f t="shared" si="6"/>
        <v>24</v>
      </c>
      <c r="C143" s="12" t="s">
        <v>133</v>
      </c>
      <c r="D143" s="18">
        <f>VLOOKUP(C143,'DISTRIBUIÇÃO NF4267'!$E$3:$FQ$75,MATCH(B143,'DISTRIBUIÇÃO NF4267'!$E$3:$FQ$3,0)+1,0)</f>
        <v>9</v>
      </c>
      <c r="E143" s="28"/>
      <c r="F143" s="28">
        <f t="shared" si="7"/>
        <v>5</v>
      </c>
    </row>
    <row r="144" spans="1:6" x14ac:dyDescent="0.35">
      <c r="A144">
        <f t="shared" si="8"/>
        <v>0</v>
      </c>
      <c r="B144">
        <f t="shared" si="6"/>
        <v>24</v>
      </c>
      <c r="C144" s="12" t="s">
        <v>134</v>
      </c>
      <c r="D144" s="18">
        <f>VLOOKUP(C144,'DISTRIBUIÇÃO NF4267'!$E$3:$FQ$75,MATCH(B144,'DISTRIBUIÇÃO NF4267'!$E$3:$FQ$3,0)+1,0)</f>
        <v>6</v>
      </c>
      <c r="E144" s="28"/>
      <c r="F144" s="28">
        <f t="shared" si="7"/>
        <v>5</v>
      </c>
    </row>
    <row r="145" spans="1:6" x14ac:dyDescent="0.35">
      <c r="A145">
        <f t="shared" si="8"/>
        <v>0</v>
      </c>
      <c r="B145">
        <f t="shared" si="6"/>
        <v>24</v>
      </c>
      <c r="C145" s="12" t="s">
        <v>135</v>
      </c>
      <c r="D145" s="18">
        <f>VLOOKUP(C145,'DISTRIBUIÇÃO NF4267'!$E$3:$FQ$75,MATCH(B145,'DISTRIBUIÇÃO NF4267'!$E$3:$FQ$3,0)+1,0)</f>
        <v>0</v>
      </c>
      <c r="E145" s="28"/>
      <c r="F145" s="28">
        <f t="shared" si="7"/>
        <v>5</v>
      </c>
    </row>
    <row r="146" spans="1:6" x14ac:dyDescent="0.35">
      <c r="A146">
        <f t="shared" si="8"/>
        <v>0</v>
      </c>
      <c r="B146">
        <f t="shared" si="6"/>
        <v>24</v>
      </c>
      <c r="C146" s="13" t="s">
        <v>22</v>
      </c>
      <c r="D146" s="18">
        <f>VLOOKUP(C146,'DISTRIBUIÇÃO NF4267'!$E$3:$FQ$75,MATCH(B146,'DISTRIBUIÇÃO NF4267'!$E$3:$FQ$3,0)+1,0)</f>
        <v>0</v>
      </c>
      <c r="E146" s="28"/>
      <c r="F146" s="28">
        <f t="shared" si="7"/>
        <v>5</v>
      </c>
    </row>
    <row r="147" spans="1:6" x14ac:dyDescent="0.35">
      <c r="A147">
        <f t="shared" si="8"/>
        <v>0</v>
      </c>
      <c r="B147">
        <f t="shared" si="6"/>
        <v>24</v>
      </c>
      <c r="C147" s="13" t="s">
        <v>23</v>
      </c>
      <c r="D147" s="18">
        <f>VLOOKUP(C147,'DISTRIBUIÇÃO NF4267'!$E$3:$FQ$75,MATCH(B147,'DISTRIBUIÇÃO NF4267'!$E$3:$FQ$3,0)+1,0)</f>
        <v>2</v>
      </c>
      <c r="E147" s="28"/>
      <c r="F147" s="28">
        <f t="shared" si="7"/>
        <v>5</v>
      </c>
    </row>
    <row r="148" spans="1:6" x14ac:dyDescent="0.35">
      <c r="A148">
        <f t="shared" si="8"/>
        <v>0</v>
      </c>
      <c r="B148">
        <f t="shared" si="6"/>
        <v>24</v>
      </c>
      <c r="C148" s="13" t="s">
        <v>24</v>
      </c>
      <c r="D148" s="18">
        <f>VLOOKUP(C148,'DISTRIBUIÇÃO NF4267'!$E$3:$FQ$75,MATCH(B148,'DISTRIBUIÇÃO NF4267'!$E$3:$FQ$3,0)+1,0)</f>
        <v>12</v>
      </c>
      <c r="E148" s="28"/>
      <c r="F148" s="28">
        <f t="shared" si="7"/>
        <v>5</v>
      </c>
    </row>
    <row r="149" spans="1:6" x14ac:dyDescent="0.35">
      <c r="A149">
        <f t="shared" si="8"/>
        <v>0</v>
      </c>
      <c r="B149">
        <f t="shared" si="6"/>
        <v>24</v>
      </c>
      <c r="C149" s="13" t="s">
        <v>25</v>
      </c>
      <c r="D149" s="18">
        <f>VLOOKUP(C149,'DISTRIBUIÇÃO NF4267'!$E$3:$FQ$75,MATCH(B149,'DISTRIBUIÇÃO NF4267'!$E$3:$FQ$3,0)+1,0)</f>
        <v>4</v>
      </c>
      <c r="E149" s="28"/>
      <c r="F149" s="28">
        <f t="shared" si="7"/>
        <v>5</v>
      </c>
    </row>
    <row r="150" spans="1:6" x14ac:dyDescent="0.35">
      <c r="A150">
        <f t="shared" si="8"/>
        <v>0</v>
      </c>
      <c r="B150">
        <f t="shared" si="6"/>
        <v>24</v>
      </c>
      <c r="C150" s="13" t="s">
        <v>26</v>
      </c>
      <c r="D150" s="18">
        <f>VLOOKUP(C150,'DISTRIBUIÇÃO NF4267'!$E$3:$FQ$75,MATCH(B150,'DISTRIBUIÇÃO NF4267'!$E$3:$FQ$3,0)+1,0)</f>
        <v>2</v>
      </c>
      <c r="E150" s="28"/>
      <c r="F150" s="28">
        <f t="shared" si="7"/>
        <v>5</v>
      </c>
    </row>
    <row r="151" spans="1:6" x14ac:dyDescent="0.35">
      <c r="A151">
        <f t="shared" si="8"/>
        <v>0</v>
      </c>
      <c r="B151">
        <f t="shared" si="6"/>
        <v>24</v>
      </c>
      <c r="C151" s="13" t="s">
        <v>27</v>
      </c>
      <c r="D151" s="18">
        <f>VLOOKUP(C151,'DISTRIBUIÇÃO NF4267'!$E$3:$FQ$75,MATCH(B151,'DISTRIBUIÇÃO NF4267'!$E$3:$FQ$3,0)+1,0)</f>
        <v>0</v>
      </c>
      <c r="E151" s="28"/>
      <c r="F151" s="28">
        <f t="shared" si="7"/>
        <v>5</v>
      </c>
    </row>
    <row r="152" spans="1:6" x14ac:dyDescent="0.35">
      <c r="A152">
        <f t="shared" si="8"/>
        <v>0</v>
      </c>
      <c r="B152">
        <f t="shared" si="6"/>
        <v>24</v>
      </c>
      <c r="C152" s="14" t="s">
        <v>138</v>
      </c>
      <c r="D152" s="18">
        <f>VLOOKUP(C152,'DISTRIBUIÇÃO NF4267'!$E$3:$FQ$75,MATCH(B152,'DISTRIBUIÇÃO NF4267'!$E$3:$FQ$3,0)+1,0)</f>
        <v>0</v>
      </c>
      <c r="E152" s="28"/>
      <c r="F152" s="28">
        <f t="shared" si="7"/>
        <v>5</v>
      </c>
    </row>
    <row r="153" spans="1:6" x14ac:dyDescent="0.35">
      <c r="A153">
        <f t="shared" si="8"/>
        <v>0</v>
      </c>
      <c r="B153">
        <f t="shared" si="6"/>
        <v>24</v>
      </c>
      <c r="C153" s="14" t="s">
        <v>139</v>
      </c>
      <c r="D153" s="18">
        <f>VLOOKUP(C153,'DISTRIBUIÇÃO NF4267'!$E$3:$FQ$75,MATCH(B153,'DISTRIBUIÇÃO NF4267'!$E$3:$FQ$3,0)+1,0)</f>
        <v>10</v>
      </c>
      <c r="E153" s="28"/>
      <c r="F153" s="28">
        <f t="shared" si="7"/>
        <v>5</v>
      </c>
    </row>
    <row r="154" spans="1:6" x14ac:dyDescent="0.35">
      <c r="A154">
        <f t="shared" si="8"/>
        <v>0</v>
      </c>
      <c r="B154">
        <f t="shared" si="6"/>
        <v>24</v>
      </c>
      <c r="C154" s="14" t="s">
        <v>140</v>
      </c>
      <c r="D154" s="18">
        <f>VLOOKUP(C154,'DISTRIBUIÇÃO NF4267'!$E$3:$FQ$75,MATCH(B154,'DISTRIBUIÇÃO NF4267'!$E$3:$FQ$3,0)+1,0)</f>
        <v>20</v>
      </c>
      <c r="E154" s="28"/>
      <c r="F154" s="28">
        <f t="shared" si="7"/>
        <v>5</v>
      </c>
    </row>
    <row r="155" spans="1:6" x14ac:dyDescent="0.35">
      <c r="A155">
        <f t="shared" si="8"/>
        <v>0</v>
      </c>
      <c r="B155">
        <f t="shared" si="6"/>
        <v>24</v>
      </c>
      <c r="C155" s="14" t="s">
        <v>141</v>
      </c>
      <c r="D155" s="18">
        <f>VLOOKUP(C155,'DISTRIBUIÇÃO NF4267'!$E$3:$FQ$75,MATCH(B155,'DISTRIBUIÇÃO NF4267'!$E$3:$FQ$3,0)+1,0)</f>
        <v>10</v>
      </c>
      <c r="E155" s="28"/>
      <c r="F155" s="28">
        <f t="shared" si="7"/>
        <v>5</v>
      </c>
    </row>
    <row r="156" spans="1:6" x14ac:dyDescent="0.35">
      <c r="A156">
        <f t="shared" si="8"/>
        <v>0</v>
      </c>
      <c r="B156">
        <f t="shared" si="6"/>
        <v>24</v>
      </c>
      <c r="C156" s="14" t="s">
        <v>142</v>
      </c>
      <c r="D156" s="18">
        <f>VLOOKUP(C156,'DISTRIBUIÇÃO NF4267'!$E$3:$FQ$75,MATCH(B156,'DISTRIBUIÇÃO NF4267'!$E$3:$FQ$3,0)+1,0)</f>
        <v>10</v>
      </c>
      <c r="E156" s="28"/>
      <c r="F156" s="28">
        <f t="shared" si="7"/>
        <v>5</v>
      </c>
    </row>
    <row r="157" spans="1:6" x14ac:dyDescent="0.35">
      <c r="A157">
        <f t="shared" si="8"/>
        <v>0</v>
      </c>
      <c r="B157">
        <f t="shared" si="6"/>
        <v>24</v>
      </c>
      <c r="C157" s="14" t="s">
        <v>143</v>
      </c>
      <c r="D157" s="18">
        <f>VLOOKUP(C157,'DISTRIBUIÇÃO NF4267'!$E$3:$FQ$75,MATCH(B157,'DISTRIBUIÇÃO NF4267'!$E$3:$FQ$3,0)+1,0)</f>
        <v>0</v>
      </c>
      <c r="E157" s="28"/>
      <c r="F157" s="28">
        <f t="shared" si="7"/>
        <v>5</v>
      </c>
    </row>
    <row r="158" spans="1:6" x14ac:dyDescent="0.35">
      <c r="A158">
        <f t="shared" si="8"/>
        <v>0</v>
      </c>
      <c r="B158">
        <f t="shared" si="6"/>
        <v>24</v>
      </c>
      <c r="C158" s="15" t="s">
        <v>145</v>
      </c>
      <c r="D158" s="18">
        <f>VLOOKUP(C158,'DISTRIBUIÇÃO NF4267'!$E$3:$FQ$75,MATCH(B158,'DISTRIBUIÇÃO NF4267'!$E$3:$FQ$3,0)+1,0)</f>
        <v>0</v>
      </c>
      <c r="F158" s="28">
        <f t="shared" si="7"/>
        <v>5</v>
      </c>
    </row>
    <row r="159" spans="1:6" x14ac:dyDescent="0.35">
      <c r="A159">
        <f t="shared" si="8"/>
        <v>0</v>
      </c>
      <c r="B159">
        <f t="shared" si="6"/>
        <v>24</v>
      </c>
      <c r="C159" s="15" t="s">
        <v>146</v>
      </c>
      <c r="D159" s="18">
        <f>VLOOKUP(C159,'DISTRIBUIÇÃO NF4267'!$E$3:$FQ$75,MATCH(B159,'DISTRIBUIÇÃO NF4267'!$E$3:$FQ$3,0)+1,0)</f>
        <v>12</v>
      </c>
      <c r="F159" s="28">
        <f t="shared" si="7"/>
        <v>5</v>
      </c>
    </row>
    <row r="160" spans="1:6" x14ac:dyDescent="0.35">
      <c r="A160">
        <f t="shared" si="8"/>
        <v>0</v>
      </c>
      <c r="B160">
        <f t="shared" si="6"/>
        <v>24</v>
      </c>
      <c r="C160" s="15" t="s">
        <v>147</v>
      </c>
      <c r="D160" s="18">
        <f>VLOOKUP(C160,'DISTRIBUIÇÃO NF4267'!$E$3:$FQ$75,MATCH(B160,'DISTRIBUIÇÃO NF4267'!$E$3:$FQ$3,0)+1,0)</f>
        <v>24</v>
      </c>
      <c r="F160" s="28">
        <f t="shared" si="7"/>
        <v>5</v>
      </c>
    </row>
    <row r="161" spans="1:6" x14ac:dyDescent="0.35">
      <c r="A161">
        <f t="shared" si="8"/>
        <v>0</v>
      </c>
      <c r="B161">
        <f t="shared" si="6"/>
        <v>24</v>
      </c>
      <c r="C161" s="15" t="s">
        <v>148</v>
      </c>
      <c r="D161" s="18">
        <f>VLOOKUP(C161,'DISTRIBUIÇÃO NF4267'!$E$3:$FQ$75,MATCH(B161,'DISTRIBUIÇÃO NF4267'!$E$3:$FQ$3,0)+1,0)</f>
        <v>12</v>
      </c>
      <c r="F161" s="28">
        <f t="shared" si="7"/>
        <v>5</v>
      </c>
    </row>
    <row r="162" spans="1:6" x14ac:dyDescent="0.35">
      <c r="A162">
        <f t="shared" si="8"/>
        <v>0</v>
      </c>
      <c r="B162">
        <f t="shared" si="6"/>
        <v>24</v>
      </c>
      <c r="C162" s="15" t="s">
        <v>149</v>
      </c>
      <c r="D162" s="18">
        <f>VLOOKUP(C162,'DISTRIBUIÇÃO NF4267'!$E$3:$FQ$75,MATCH(B162,'DISTRIBUIÇÃO NF4267'!$E$3:$FQ$3,0)+1,0)</f>
        <v>12</v>
      </c>
      <c r="F162" s="28">
        <f t="shared" si="7"/>
        <v>5</v>
      </c>
    </row>
    <row r="163" spans="1:6" x14ac:dyDescent="0.35">
      <c r="A163">
        <f t="shared" si="8"/>
        <v>0</v>
      </c>
      <c r="B163">
        <f t="shared" si="6"/>
        <v>24</v>
      </c>
      <c r="C163" s="15" t="s">
        <v>150</v>
      </c>
      <c r="D163" s="18">
        <f>VLOOKUP(C163,'DISTRIBUIÇÃO NF4267'!$E$3:$FQ$75,MATCH(B163,'DISTRIBUIÇÃO NF4267'!$E$3:$FQ$3,0)+1,0)</f>
        <v>0</v>
      </c>
      <c r="F163" s="28">
        <f t="shared" si="7"/>
        <v>5</v>
      </c>
    </row>
    <row r="164" spans="1:6" x14ac:dyDescent="0.35">
      <c r="A164">
        <f t="shared" si="8"/>
        <v>0</v>
      </c>
      <c r="B164" t="s">
        <v>36</v>
      </c>
      <c r="C164" s="7" t="s">
        <v>98</v>
      </c>
      <c r="D164" s="18">
        <f>VLOOKUP(C164,'DISTRIBUIÇÃO NF4267'!$E$3:$FQ$75,MATCH(B164,'DISTRIBUIÇÃO NF4267'!$E$3:$FQ$3,0)+1,0)</f>
        <v>0</v>
      </c>
      <c r="F164" s="28">
        <f t="shared" si="7"/>
        <v>5</v>
      </c>
    </row>
    <row r="165" spans="1:6" x14ac:dyDescent="0.35">
      <c r="A165">
        <f t="shared" si="8"/>
        <v>0</v>
      </c>
      <c r="B165" t="str">
        <f>B164</f>
        <v>BA</v>
      </c>
      <c r="C165" s="7" t="s">
        <v>99</v>
      </c>
      <c r="D165" s="18">
        <f>VLOOKUP(C165,'DISTRIBUIÇÃO NF4267'!$E$3:$FQ$75,MATCH(B165,'DISTRIBUIÇÃO NF4267'!$E$3:$FQ$3,0)+1,0)</f>
        <v>4</v>
      </c>
      <c r="F165" s="28">
        <f t="shared" si="7"/>
        <v>5</v>
      </c>
    </row>
    <row r="166" spans="1:6" x14ac:dyDescent="0.35">
      <c r="A166">
        <f t="shared" si="8"/>
        <v>0</v>
      </c>
      <c r="B166" t="str">
        <f t="shared" ref="B166:B217" si="9">B165</f>
        <v>BA</v>
      </c>
      <c r="C166" s="7" t="s">
        <v>100</v>
      </c>
      <c r="D166" s="18">
        <f>VLOOKUP(C166,'DISTRIBUIÇÃO NF4267'!$E$3:$FQ$75,MATCH(B166,'DISTRIBUIÇÃO NF4267'!$E$3:$FQ$3,0)+1,0)</f>
        <v>8</v>
      </c>
      <c r="F166" s="28">
        <f t="shared" si="7"/>
        <v>5</v>
      </c>
    </row>
    <row r="167" spans="1:6" x14ac:dyDescent="0.35">
      <c r="A167">
        <f t="shared" si="8"/>
        <v>0</v>
      </c>
      <c r="B167" t="str">
        <f t="shared" si="9"/>
        <v>BA</v>
      </c>
      <c r="C167" s="7" t="s">
        <v>101</v>
      </c>
      <c r="D167" s="18">
        <f>VLOOKUP(C167,'DISTRIBUIÇÃO NF4267'!$E$3:$FQ$75,MATCH(B167,'DISTRIBUIÇÃO NF4267'!$E$3:$FQ$3,0)+1,0)</f>
        <v>4</v>
      </c>
      <c r="F167" s="28">
        <f t="shared" si="7"/>
        <v>5</v>
      </c>
    </row>
    <row r="168" spans="1:6" x14ac:dyDescent="0.35">
      <c r="A168">
        <f t="shared" si="8"/>
        <v>0</v>
      </c>
      <c r="B168" t="str">
        <f t="shared" si="9"/>
        <v>BA</v>
      </c>
      <c r="C168" s="7" t="s">
        <v>102</v>
      </c>
      <c r="D168" s="18">
        <f>VLOOKUP(C168,'DISTRIBUIÇÃO NF4267'!$E$3:$FQ$75,MATCH(B168,'DISTRIBUIÇÃO NF4267'!$E$3:$FQ$3,0)+1,0)</f>
        <v>4</v>
      </c>
      <c r="F168" s="28">
        <f t="shared" si="7"/>
        <v>5</v>
      </c>
    </row>
    <row r="169" spans="1:6" x14ac:dyDescent="0.35">
      <c r="A169">
        <f t="shared" si="8"/>
        <v>0</v>
      </c>
      <c r="B169" t="str">
        <f t="shared" si="9"/>
        <v>BA</v>
      </c>
      <c r="C169" s="7" t="s">
        <v>103</v>
      </c>
      <c r="D169" s="18">
        <f>VLOOKUP(C169,'DISTRIBUIÇÃO NF4267'!$E$3:$FQ$75,MATCH(B169,'DISTRIBUIÇÃO NF4267'!$E$3:$FQ$3,0)+1,0)</f>
        <v>0</v>
      </c>
      <c r="F169" s="28">
        <f t="shared" si="7"/>
        <v>5</v>
      </c>
    </row>
    <row r="170" spans="1:6" x14ac:dyDescent="0.35">
      <c r="A170">
        <f t="shared" si="8"/>
        <v>0</v>
      </c>
      <c r="B170" t="str">
        <f t="shared" si="9"/>
        <v>BA</v>
      </c>
      <c r="C170" s="8" t="s">
        <v>107</v>
      </c>
      <c r="D170" s="18">
        <f>VLOOKUP(C170,'DISTRIBUIÇÃO NF4267'!$E$3:$FQ$75,MATCH(B170,'DISTRIBUIÇÃO NF4267'!$E$3:$FQ$3,0)+1,0)</f>
        <v>0</v>
      </c>
      <c r="F170" s="28">
        <f t="shared" si="7"/>
        <v>5</v>
      </c>
    </row>
    <row r="171" spans="1:6" x14ac:dyDescent="0.35">
      <c r="A171">
        <f t="shared" si="8"/>
        <v>0</v>
      </c>
      <c r="B171" t="str">
        <f t="shared" si="9"/>
        <v>BA</v>
      </c>
      <c r="C171" s="8" t="s">
        <v>108</v>
      </c>
      <c r="D171" s="18">
        <f>VLOOKUP(C171,'DISTRIBUIÇÃO NF4267'!$E$3:$FQ$75,MATCH(B171,'DISTRIBUIÇÃO NF4267'!$E$3:$FQ$3,0)+1,0)</f>
        <v>6</v>
      </c>
      <c r="F171" s="28">
        <f t="shared" si="7"/>
        <v>5</v>
      </c>
    </row>
    <row r="172" spans="1:6" x14ac:dyDescent="0.35">
      <c r="A172">
        <f t="shared" si="8"/>
        <v>0</v>
      </c>
      <c r="B172" t="str">
        <f t="shared" si="9"/>
        <v>BA</v>
      </c>
      <c r="C172" s="8" t="s">
        <v>109</v>
      </c>
      <c r="D172" s="18">
        <f>VLOOKUP(C172,'DISTRIBUIÇÃO NF4267'!$E$3:$FQ$75,MATCH(B172,'DISTRIBUIÇÃO NF4267'!$E$3:$FQ$3,0)+1,0)</f>
        <v>12</v>
      </c>
      <c r="F172" s="28">
        <f t="shared" si="7"/>
        <v>5</v>
      </c>
    </row>
    <row r="173" spans="1:6" x14ac:dyDescent="0.35">
      <c r="A173">
        <f t="shared" si="8"/>
        <v>0</v>
      </c>
      <c r="B173" t="str">
        <f t="shared" si="9"/>
        <v>BA</v>
      </c>
      <c r="C173" s="8" t="s">
        <v>110</v>
      </c>
      <c r="D173" s="18">
        <f>VLOOKUP(C173,'DISTRIBUIÇÃO NF4267'!$E$3:$FQ$75,MATCH(B173,'DISTRIBUIÇÃO NF4267'!$E$3:$FQ$3,0)+1,0)</f>
        <v>6</v>
      </c>
      <c r="F173" s="28">
        <f t="shared" si="7"/>
        <v>5</v>
      </c>
    </row>
    <row r="174" spans="1:6" x14ac:dyDescent="0.35">
      <c r="A174">
        <f t="shared" si="8"/>
        <v>0</v>
      </c>
      <c r="B174" t="str">
        <f t="shared" si="9"/>
        <v>BA</v>
      </c>
      <c r="C174" s="8" t="s">
        <v>111</v>
      </c>
      <c r="D174" s="18">
        <f>VLOOKUP(C174,'DISTRIBUIÇÃO NF4267'!$E$3:$FQ$75,MATCH(B174,'DISTRIBUIÇÃO NF4267'!$E$3:$FQ$3,0)+1,0)</f>
        <v>6</v>
      </c>
      <c r="F174" s="28">
        <f t="shared" si="7"/>
        <v>5</v>
      </c>
    </row>
    <row r="175" spans="1:6" x14ac:dyDescent="0.35">
      <c r="A175">
        <f t="shared" si="8"/>
        <v>0</v>
      </c>
      <c r="B175" t="str">
        <f t="shared" si="9"/>
        <v>BA</v>
      </c>
      <c r="C175" s="8" t="s">
        <v>112</v>
      </c>
      <c r="D175" s="18">
        <f>VLOOKUP(C175,'DISTRIBUIÇÃO NF4267'!$E$3:$FQ$75,MATCH(B175,'DISTRIBUIÇÃO NF4267'!$E$3:$FQ$3,0)+1,0)</f>
        <v>0</v>
      </c>
      <c r="F175" s="28">
        <f t="shared" si="7"/>
        <v>5</v>
      </c>
    </row>
    <row r="176" spans="1:6" x14ac:dyDescent="0.35">
      <c r="A176">
        <f t="shared" si="8"/>
        <v>0</v>
      </c>
      <c r="B176" t="str">
        <f t="shared" si="9"/>
        <v>BA</v>
      </c>
      <c r="C176" s="9" t="s">
        <v>113</v>
      </c>
      <c r="D176" s="18">
        <f>VLOOKUP(C176,'DISTRIBUIÇÃO NF4267'!$E$3:$FQ$75,MATCH(B176,'DISTRIBUIÇÃO NF4267'!$E$3:$FQ$3,0)+1,0)</f>
        <v>0</v>
      </c>
      <c r="F176" s="28">
        <f t="shared" si="7"/>
        <v>5</v>
      </c>
    </row>
    <row r="177" spans="1:6" x14ac:dyDescent="0.35">
      <c r="A177">
        <f t="shared" si="8"/>
        <v>0</v>
      </c>
      <c r="B177" t="str">
        <f t="shared" si="9"/>
        <v>BA</v>
      </c>
      <c r="C177" s="9" t="s">
        <v>114</v>
      </c>
      <c r="D177" s="18">
        <f>VLOOKUP(C177,'DISTRIBUIÇÃO NF4267'!$E$3:$FQ$75,MATCH(B177,'DISTRIBUIÇÃO NF4267'!$E$3:$FQ$3,0)+1,0)</f>
        <v>9</v>
      </c>
      <c r="F177" s="28">
        <f t="shared" si="7"/>
        <v>5</v>
      </c>
    </row>
    <row r="178" spans="1:6" x14ac:dyDescent="0.35">
      <c r="A178">
        <f t="shared" si="8"/>
        <v>0</v>
      </c>
      <c r="B178" t="str">
        <f t="shared" si="9"/>
        <v>BA</v>
      </c>
      <c r="C178" s="9" t="s">
        <v>115</v>
      </c>
      <c r="D178" s="18">
        <f>VLOOKUP(C178,'DISTRIBUIÇÃO NF4267'!$E$3:$FQ$75,MATCH(B178,'DISTRIBUIÇÃO NF4267'!$E$3:$FQ$3,0)+1,0)</f>
        <v>12</v>
      </c>
      <c r="F178" s="28">
        <f t="shared" si="7"/>
        <v>5</v>
      </c>
    </row>
    <row r="179" spans="1:6" x14ac:dyDescent="0.35">
      <c r="A179">
        <f t="shared" si="8"/>
        <v>0</v>
      </c>
      <c r="B179" t="str">
        <f t="shared" si="9"/>
        <v>BA</v>
      </c>
      <c r="C179" s="9" t="s">
        <v>116</v>
      </c>
      <c r="D179" s="18">
        <f>VLOOKUP(C179,'DISTRIBUIÇÃO NF4267'!$E$3:$FQ$75,MATCH(B179,'DISTRIBUIÇÃO NF4267'!$E$3:$FQ$3,0)+1,0)</f>
        <v>6</v>
      </c>
      <c r="F179" s="28">
        <f t="shared" si="7"/>
        <v>5</v>
      </c>
    </row>
    <row r="180" spans="1:6" x14ac:dyDescent="0.35">
      <c r="A180">
        <f t="shared" si="8"/>
        <v>0</v>
      </c>
      <c r="B180" t="str">
        <f t="shared" si="9"/>
        <v>BA</v>
      </c>
      <c r="C180" s="9" t="s">
        <v>117</v>
      </c>
      <c r="D180" s="18">
        <f>VLOOKUP(C180,'DISTRIBUIÇÃO NF4267'!$E$3:$FQ$75,MATCH(B180,'DISTRIBUIÇÃO NF4267'!$E$3:$FQ$3,0)+1,0)</f>
        <v>3</v>
      </c>
      <c r="F180" s="28">
        <f t="shared" si="7"/>
        <v>5</v>
      </c>
    </row>
    <row r="181" spans="1:6" x14ac:dyDescent="0.35">
      <c r="A181">
        <f t="shared" si="8"/>
        <v>0</v>
      </c>
      <c r="B181" t="str">
        <f t="shared" si="9"/>
        <v>BA</v>
      </c>
      <c r="C181" s="9" t="s">
        <v>118</v>
      </c>
      <c r="D181" s="18">
        <f>VLOOKUP(C181,'DISTRIBUIÇÃO NF4267'!$E$3:$FQ$75,MATCH(B181,'DISTRIBUIÇÃO NF4267'!$E$3:$FQ$3,0)+1,0)</f>
        <v>0</v>
      </c>
      <c r="F181" s="28">
        <f t="shared" si="7"/>
        <v>5</v>
      </c>
    </row>
    <row r="182" spans="1:6" x14ac:dyDescent="0.35">
      <c r="A182">
        <f t="shared" si="8"/>
        <v>0</v>
      </c>
      <c r="B182" t="str">
        <f t="shared" si="9"/>
        <v>BA</v>
      </c>
      <c r="C182" s="10" t="s">
        <v>119</v>
      </c>
      <c r="D182" s="18">
        <f>VLOOKUP(C182,'DISTRIBUIÇÃO NF4267'!$E$3:$FQ$75,MATCH(B182,'DISTRIBUIÇÃO NF4267'!$E$3:$FQ$3,0)+1,0)</f>
        <v>0</v>
      </c>
      <c r="F182" s="28">
        <f t="shared" si="7"/>
        <v>5</v>
      </c>
    </row>
    <row r="183" spans="1:6" x14ac:dyDescent="0.35">
      <c r="A183">
        <f t="shared" si="8"/>
        <v>0</v>
      </c>
      <c r="B183" t="str">
        <f t="shared" si="9"/>
        <v>BA</v>
      </c>
      <c r="C183" s="10" t="s">
        <v>120</v>
      </c>
      <c r="D183" s="18">
        <f>VLOOKUP(C183,'DISTRIBUIÇÃO NF4267'!$E$3:$FQ$75,MATCH(B183,'DISTRIBUIÇÃO NF4267'!$E$3:$FQ$3,0)+1,0)</f>
        <v>60</v>
      </c>
      <c r="F183" s="28">
        <f t="shared" si="7"/>
        <v>5</v>
      </c>
    </row>
    <row r="184" spans="1:6" x14ac:dyDescent="0.35">
      <c r="A184">
        <f t="shared" si="8"/>
        <v>0</v>
      </c>
      <c r="B184" t="str">
        <f t="shared" si="9"/>
        <v>BA</v>
      </c>
      <c r="C184" s="10" t="s">
        <v>121</v>
      </c>
      <c r="D184" s="18">
        <f>VLOOKUP(C184,'DISTRIBUIÇÃO NF4267'!$E$3:$FQ$75,MATCH(B184,'DISTRIBUIÇÃO NF4267'!$E$3:$FQ$3,0)+1,0)</f>
        <v>20</v>
      </c>
      <c r="F184" s="28">
        <f t="shared" ref="F184:F247" si="10">ROUNDUP(SUMIFS(D:D,B:B,B184)/80,0)</f>
        <v>5</v>
      </c>
    </row>
    <row r="185" spans="1:6" x14ac:dyDescent="0.35">
      <c r="A185">
        <f t="shared" si="8"/>
        <v>0</v>
      </c>
      <c r="B185" t="str">
        <f t="shared" si="9"/>
        <v>BA</v>
      </c>
      <c r="C185" s="10" t="s">
        <v>122</v>
      </c>
      <c r="D185" s="18">
        <f>VLOOKUP(C185,'DISTRIBUIÇÃO NF4267'!$E$3:$FQ$75,MATCH(B185,'DISTRIBUIÇÃO NF4267'!$E$3:$FQ$3,0)+1,0)</f>
        <v>20</v>
      </c>
      <c r="F185" s="28">
        <f t="shared" si="10"/>
        <v>5</v>
      </c>
    </row>
    <row r="186" spans="1:6" x14ac:dyDescent="0.35">
      <c r="A186">
        <f t="shared" si="8"/>
        <v>0</v>
      </c>
      <c r="B186" t="str">
        <f t="shared" si="9"/>
        <v>BA</v>
      </c>
      <c r="C186" s="10" t="s">
        <v>123</v>
      </c>
      <c r="D186" s="18">
        <f>VLOOKUP(C186,'DISTRIBUIÇÃO NF4267'!$E$3:$FQ$75,MATCH(B186,'DISTRIBUIÇÃO NF4267'!$E$3:$FQ$3,0)+1,0)</f>
        <v>0</v>
      </c>
      <c r="F186" s="28">
        <f t="shared" si="10"/>
        <v>5</v>
      </c>
    </row>
    <row r="187" spans="1:6" x14ac:dyDescent="0.35">
      <c r="A187">
        <f t="shared" si="8"/>
        <v>0</v>
      </c>
      <c r="B187" t="str">
        <f t="shared" si="9"/>
        <v>BA</v>
      </c>
      <c r="C187" s="10" t="s">
        <v>124</v>
      </c>
      <c r="D187" s="18">
        <f>VLOOKUP(C187,'DISTRIBUIÇÃO NF4267'!$E$3:$FQ$75,MATCH(B187,'DISTRIBUIÇÃO NF4267'!$E$3:$FQ$3,0)+1,0)</f>
        <v>0</v>
      </c>
      <c r="F187" s="28">
        <f t="shared" si="10"/>
        <v>5</v>
      </c>
    </row>
    <row r="188" spans="1:6" x14ac:dyDescent="0.35">
      <c r="A188">
        <f t="shared" si="8"/>
        <v>0</v>
      </c>
      <c r="B188" t="str">
        <f t="shared" si="9"/>
        <v>BA</v>
      </c>
      <c r="C188" s="11" t="s">
        <v>16</v>
      </c>
      <c r="D188" s="18">
        <f>VLOOKUP(C188,'DISTRIBUIÇÃO NF4267'!$E$3:$FQ$75,MATCH(B188,'DISTRIBUIÇÃO NF4267'!$E$3:$FQ$3,0)+1,0)</f>
        <v>0</v>
      </c>
      <c r="F188" s="28">
        <f t="shared" si="10"/>
        <v>5</v>
      </c>
    </row>
    <row r="189" spans="1:6" x14ac:dyDescent="0.35">
      <c r="A189">
        <f t="shared" si="8"/>
        <v>0</v>
      </c>
      <c r="B189" t="str">
        <f t="shared" si="9"/>
        <v>BA</v>
      </c>
      <c r="C189" s="11" t="s">
        <v>17</v>
      </c>
      <c r="D189" s="18">
        <f>VLOOKUP(C189,'DISTRIBUIÇÃO NF4267'!$E$3:$FQ$75,MATCH(B189,'DISTRIBUIÇÃO NF4267'!$E$3:$FQ$3,0)+1,0)</f>
        <v>12</v>
      </c>
      <c r="F189" s="28">
        <f t="shared" si="10"/>
        <v>5</v>
      </c>
    </row>
    <row r="190" spans="1:6" x14ac:dyDescent="0.35">
      <c r="A190">
        <f t="shared" si="8"/>
        <v>0</v>
      </c>
      <c r="B190" t="str">
        <f t="shared" si="9"/>
        <v>BA</v>
      </c>
      <c r="C190" s="11" t="s">
        <v>18</v>
      </c>
      <c r="D190" s="18">
        <f>VLOOKUP(C190,'DISTRIBUIÇÃO NF4267'!$E$3:$FQ$75,MATCH(B190,'DISTRIBUIÇÃO NF4267'!$E$3:$FQ$3,0)+1,0)</f>
        <v>4</v>
      </c>
      <c r="F190" s="28">
        <f t="shared" si="10"/>
        <v>5</v>
      </c>
    </row>
    <row r="191" spans="1:6" x14ac:dyDescent="0.35">
      <c r="A191">
        <f t="shared" si="8"/>
        <v>0</v>
      </c>
      <c r="B191" t="str">
        <f t="shared" si="9"/>
        <v>BA</v>
      </c>
      <c r="C191" s="11" t="s">
        <v>19</v>
      </c>
      <c r="D191" s="18">
        <f>VLOOKUP(C191,'DISTRIBUIÇÃO NF4267'!$E$3:$FQ$75,MATCH(B191,'DISTRIBUIÇÃO NF4267'!$E$3:$FQ$3,0)+1,0)</f>
        <v>4</v>
      </c>
      <c r="F191" s="28">
        <f t="shared" si="10"/>
        <v>5</v>
      </c>
    </row>
    <row r="192" spans="1:6" x14ac:dyDescent="0.35">
      <c r="A192">
        <f t="shared" si="8"/>
        <v>0</v>
      </c>
      <c r="B192" t="str">
        <f t="shared" si="9"/>
        <v>BA</v>
      </c>
      <c r="C192" s="11" t="s">
        <v>20</v>
      </c>
      <c r="D192" s="18">
        <f>VLOOKUP(C192,'DISTRIBUIÇÃO NF4267'!$E$3:$FQ$75,MATCH(B192,'DISTRIBUIÇÃO NF4267'!$E$3:$FQ$3,0)+1,0)</f>
        <v>20</v>
      </c>
      <c r="F192" s="28">
        <f t="shared" si="10"/>
        <v>5</v>
      </c>
    </row>
    <row r="193" spans="1:6" x14ac:dyDescent="0.35">
      <c r="A193">
        <f t="shared" si="8"/>
        <v>0</v>
      </c>
      <c r="B193" t="str">
        <f t="shared" si="9"/>
        <v>BA</v>
      </c>
      <c r="C193" s="11" t="s">
        <v>21</v>
      </c>
      <c r="D193" s="18">
        <f>VLOOKUP(C193,'DISTRIBUIÇÃO NF4267'!$E$3:$FQ$75,MATCH(B193,'DISTRIBUIÇÃO NF4267'!$E$3:$FQ$3,0)+1,0)</f>
        <v>0</v>
      </c>
      <c r="F193" s="28">
        <f t="shared" si="10"/>
        <v>5</v>
      </c>
    </row>
    <row r="194" spans="1:6" x14ac:dyDescent="0.35">
      <c r="A194">
        <f t="shared" ref="A194:A257" si="11">IF(ISERROR(VLOOKUP(C194,I:I,1,0)),0,1)</f>
        <v>0</v>
      </c>
      <c r="B194" t="str">
        <f t="shared" si="9"/>
        <v>BA</v>
      </c>
      <c r="C194" s="12" t="s">
        <v>130</v>
      </c>
      <c r="D194" s="18">
        <f>VLOOKUP(C194,'DISTRIBUIÇÃO NF4267'!$E$3:$FQ$75,MATCH(B194,'DISTRIBUIÇÃO NF4267'!$E$3:$FQ$3,0)+1,0)</f>
        <v>0</v>
      </c>
      <c r="F194" s="28">
        <f t="shared" si="10"/>
        <v>5</v>
      </c>
    </row>
    <row r="195" spans="1:6" x14ac:dyDescent="0.35">
      <c r="A195">
        <f t="shared" si="11"/>
        <v>0</v>
      </c>
      <c r="B195" t="str">
        <f t="shared" si="9"/>
        <v>BA</v>
      </c>
      <c r="C195" s="12" t="s">
        <v>131</v>
      </c>
      <c r="D195" s="18">
        <f>VLOOKUP(C195,'DISTRIBUIÇÃO NF4267'!$E$3:$FQ$75,MATCH(B195,'DISTRIBUIÇÃO NF4267'!$E$3:$FQ$3,0)+1,0)</f>
        <v>3</v>
      </c>
      <c r="F195" s="28">
        <f t="shared" si="10"/>
        <v>5</v>
      </c>
    </row>
    <row r="196" spans="1:6" x14ac:dyDescent="0.35">
      <c r="A196">
        <f t="shared" si="11"/>
        <v>0</v>
      </c>
      <c r="B196" t="str">
        <f t="shared" si="9"/>
        <v>BA</v>
      </c>
      <c r="C196" s="12" t="s">
        <v>132</v>
      </c>
      <c r="D196" s="18">
        <f>VLOOKUP(C196,'DISTRIBUIÇÃO NF4267'!$E$3:$FQ$75,MATCH(B196,'DISTRIBUIÇÃO NF4267'!$E$3:$FQ$3,0)+1,0)</f>
        <v>12</v>
      </c>
      <c r="F196" s="28">
        <f t="shared" si="10"/>
        <v>5</v>
      </c>
    </row>
    <row r="197" spans="1:6" x14ac:dyDescent="0.35">
      <c r="A197">
        <f t="shared" si="11"/>
        <v>0</v>
      </c>
      <c r="B197" t="str">
        <f t="shared" si="9"/>
        <v>BA</v>
      </c>
      <c r="C197" s="12" t="s">
        <v>133</v>
      </c>
      <c r="D197" s="18">
        <f>VLOOKUP(C197,'DISTRIBUIÇÃO NF4267'!$E$3:$FQ$75,MATCH(B197,'DISTRIBUIÇÃO NF4267'!$E$3:$FQ$3,0)+1,0)</f>
        <v>9</v>
      </c>
      <c r="F197" s="28">
        <f t="shared" si="10"/>
        <v>5</v>
      </c>
    </row>
    <row r="198" spans="1:6" x14ac:dyDescent="0.35">
      <c r="A198">
        <f t="shared" si="11"/>
        <v>0</v>
      </c>
      <c r="B198" t="str">
        <f t="shared" si="9"/>
        <v>BA</v>
      </c>
      <c r="C198" s="12" t="s">
        <v>134</v>
      </c>
      <c r="D198" s="18">
        <f>VLOOKUP(C198,'DISTRIBUIÇÃO NF4267'!$E$3:$FQ$75,MATCH(B198,'DISTRIBUIÇÃO NF4267'!$E$3:$FQ$3,0)+1,0)</f>
        <v>6</v>
      </c>
      <c r="F198" s="28">
        <f t="shared" si="10"/>
        <v>5</v>
      </c>
    </row>
    <row r="199" spans="1:6" x14ac:dyDescent="0.35">
      <c r="A199">
        <f t="shared" si="11"/>
        <v>0</v>
      </c>
      <c r="B199" t="str">
        <f t="shared" si="9"/>
        <v>BA</v>
      </c>
      <c r="C199" s="12" t="s">
        <v>135</v>
      </c>
      <c r="D199" s="18">
        <f>VLOOKUP(C199,'DISTRIBUIÇÃO NF4267'!$E$3:$FQ$75,MATCH(B199,'DISTRIBUIÇÃO NF4267'!$E$3:$FQ$3,0)+1,0)</f>
        <v>0</v>
      </c>
      <c r="F199" s="28">
        <f t="shared" si="10"/>
        <v>5</v>
      </c>
    </row>
    <row r="200" spans="1:6" x14ac:dyDescent="0.35">
      <c r="A200">
        <f t="shared" si="11"/>
        <v>0</v>
      </c>
      <c r="B200" t="str">
        <f t="shared" si="9"/>
        <v>BA</v>
      </c>
      <c r="C200" s="13" t="s">
        <v>22</v>
      </c>
      <c r="D200" s="18">
        <f>VLOOKUP(C200,'DISTRIBUIÇÃO NF4267'!$E$3:$FQ$75,MATCH(B200,'DISTRIBUIÇÃO NF4267'!$E$3:$FQ$3,0)+1,0)</f>
        <v>0</v>
      </c>
      <c r="F200" s="28">
        <f t="shared" si="10"/>
        <v>5</v>
      </c>
    </row>
    <row r="201" spans="1:6" x14ac:dyDescent="0.35">
      <c r="A201">
        <f t="shared" si="11"/>
        <v>0</v>
      </c>
      <c r="B201" t="str">
        <f t="shared" si="9"/>
        <v>BA</v>
      </c>
      <c r="C201" s="13" t="s">
        <v>23</v>
      </c>
      <c r="D201" s="18">
        <f>VLOOKUP(C201,'DISTRIBUIÇÃO NF4267'!$E$3:$FQ$75,MATCH(B201,'DISTRIBUIÇÃO NF4267'!$E$3:$FQ$3,0)+1,0)</f>
        <v>2</v>
      </c>
      <c r="F201" s="28">
        <f t="shared" si="10"/>
        <v>5</v>
      </c>
    </row>
    <row r="202" spans="1:6" x14ac:dyDescent="0.35">
      <c r="A202">
        <f t="shared" si="11"/>
        <v>0</v>
      </c>
      <c r="B202" t="str">
        <f t="shared" si="9"/>
        <v>BA</v>
      </c>
      <c r="C202" s="13" t="s">
        <v>24</v>
      </c>
      <c r="D202" s="18">
        <f>VLOOKUP(C202,'DISTRIBUIÇÃO NF4267'!$E$3:$FQ$75,MATCH(B202,'DISTRIBUIÇÃO NF4267'!$E$3:$FQ$3,0)+1,0)</f>
        <v>12</v>
      </c>
      <c r="F202" s="28">
        <f t="shared" si="10"/>
        <v>5</v>
      </c>
    </row>
    <row r="203" spans="1:6" x14ac:dyDescent="0.35">
      <c r="A203">
        <f t="shared" si="11"/>
        <v>0</v>
      </c>
      <c r="B203" t="str">
        <f t="shared" si="9"/>
        <v>BA</v>
      </c>
      <c r="C203" s="13" t="s">
        <v>25</v>
      </c>
      <c r="D203" s="18">
        <f>VLOOKUP(C203,'DISTRIBUIÇÃO NF4267'!$E$3:$FQ$75,MATCH(B203,'DISTRIBUIÇÃO NF4267'!$E$3:$FQ$3,0)+1,0)</f>
        <v>4</v>
      </c>
      <c r="F203" s="28">
        <f t="shared" si="10"/>
        <v>5</v>
      </c>
    </row>
    <row r="204" spans="1:6" x14ac:dyDescent="0.35">
      <c r="A204">
        <f t="shared" si="11"/>
        <v>0</v>
      </c>
      <c r="B204" t="str">
        <f t="shared" si="9"/>
        <v>BA</v>
      </c>
      <c r="C204" s="13" t="s">
        <v>26</v>
      </c>
      <c r="D204" s="18">
        <f>VLOOKUP(C204,'DISTRIBUIÇÃO NF4267'!$E$3:$FQ$75,MATCH(B204,'DISTRIBUIÇÃO NF4267'!$E$3:$FQ$3,0)+1,0)</f>
        <v>2</v>
      </c>
      <c r="F204" s="28">
        <f t="shared" si="10"/>
        <v>5</v>
      </c>
    </row>
    <row r="205" spans="1:6" x14ac:dyDescent="0.35">
      <c r="A205">
        <f t="shared" si="11"/>
        <v>0</v>
      </c>
      <c r="B205" t="str">
        <f t="shared" si="9"/>
        <v>BA</v>
      </c>
      <c r="C205" s="13" t="s">
        <v>27</v>
      </c>
      <c r="D205" s="18">
        <f>VLOOKUP(C205,'DISTRIBUIÇÃO NF4267'!$E$3:$FQ$75,MATCH(B205,'DISTRIBUIÇÃO NF4267'!$E$3:$FQ$3,0)+1,0)</f>
        <v>0</v>
      </c>
      <c r="F205" s="28">
        <f t="shared" si="10"/>
        <v>5</v>
      </c>
    </row>
    <row r="206" spans="1:6" x14ac:dyDescent="0.35">
      <c r="A206">
        <f t="shared" si="11"/>
        <v>0</v>
      </c>
      <c r="B206" t="str">
        <f t="shared" si="9"/>
        <v>BA</v>
      </c>
      <c r="C206" s="14" t="s">
        <v>138</v>
      </c>
      <c r="D206" s="18">
        <f>VLOOKUP(C206,'DISTRIBUIÇÃO NF4267'!$E$3:$FQ$75,MATCH(B206,'DISTRIBUIÇÃO NF4267'!$E$3:$FQ$3,0)+1,0)</f>
        <v>0</v>
      </c>
      <c r="F206" s="28">
        <f t="shared" si="10"/>
        <v>5</v>
      </c>
    </row>
    <row r="207" spans="1:6" x14ac:dyDescent="0.35">
      <c r="A207">
        <f t="shared" si="11"/>
        <v>0</v>
      </c>
      <c r="B207" t="str">
        <f t="shared" si="9"/>
        <v>BA</v>
      </c>
      <c r="C207" s="14" t="s">
        <v>139</v>
      </c>
      <c r="D207" s="18">
        <f>VLOOKUP(C207,'DISTRIBUIÇÃO NF4267'!$E$3:$FQ$75,MATCH(B207,'DISTRIBUIÇÃO NF4267'!$E$3:$FQ$3,0)+1,0)</f>
        <v>10</v>
      </c>
      <c r="F207" s="28">
        <f t="shared" si="10"/>
        <v>5</v>
      </c>
    </row>
    <row r="208" spans="1:6" x14ac:dyDescent="0.35">
      <c r="A208">
        <f t="shared" si="11"/>
        <v>0</v>
      </c>
      <c r="B208" t="str">
        <f t="shared" si="9"/>
        <v>BA</v>
      </c>
      <c r="C208" s="14" t="s">
        <v>140</v>
      </c>
      <c r="D208" s="18">
        <f>VLOOKUP(C208,'DISTRIBUIÇÃO NF4267'!$E$3:$FQ$75,MATCH(B208,'DISTRIBUIÇÃO NF4267'!$E$3:$FQ$3,0)+1,0)</f>
        <v>20</v>
      </c>
      <c r="F208" s="28">
        <f t="shared" si="10"/>
        <v>5</v>
      </c>
    </row>
    <row r="209" spans="1:6" x14ac:dyDescent="0.35">
      <c r="A209">
        <f t="shared" si="11"/>
        <v>0</v>
      </c>
      <c r="B209" t="str">
        <f t="shared" si="9"/>
        <v>BA</v>
      </c>
      <c r="C209" s="14" t="s">
        <v>141</v>
      </c>
      <c r="D209" s="18">
        <f>VLOOKUP(C209,'DISTRIBUIÇÃO NF4267'!$E$3:$FQ$75,MATCH(B209,'DISTRIBUIÇÃO NF4267'!$E$3:$FQ$3,0)+1,0)</f>
        <v>10</v>
      </c>
      <c r="F209" s="28">
        <f t="shared" si="10"/>
        <v>5</v>
      </c>
    </row>
    <row r="210" spans="1:6" x14ac:dyDescent="0.35">
      <c r="A210">
        <f t="shared" si="11"/>
        <v>0</v>
      </c>
      <c r="B210" t="str">
        <f t="shared" si="9"/>
        <v>BA</v>
      </c>
      <c r="C210" s="14" t="s">
        <v>142</v>
      </c>
      <c r="D210" s="18">
        <f>VLOOKUP(C210,'DISTRIBUIÇÃO NF4267'!$E$3:$FQ$75,MATCH(B210,'DISTRIBUIÇÃO NF4267'!$E$3:$FQ$3,0)+1,0)</f>
        <v>10</v>
      </c>
      <c r="F210" s="28">
        <f t="shared" si="10"/>
        <v>5</v>
      </c>
    </row>
    <row r="211" spans="1:6" x14ac:dyDescent="0.35">
      <c r="A211">
        <f t="shared" si="11"/>
        <v>0</v>
      </c>
      <c r="B211" t="str">
        <f t="shared" si="9"/>
        <v>BA</v>
      </c>
      <c r="C211" s="14" t="s">
        <v>143</v>
      </c>
      <c r="D211" s="18">
        <f>VLOOKUP(C211,'DISTRIBUIÇÃO NF4267'!$E$3:$FQ$75,MATCH(B211,'DISTRIBUIÇÃO NF4267'!$E$3:$FQ$3,0)+1,0)</f>
        <v>0</v>
      </c>
      <c r="F211" s="28">
        <f t="shared" si="10"/>
        <v>5</v>
      </c>
    </row>
    <row r="212" spans="1:6" x14ac:dyDescent="0.35">
      <c r="A212">
        <f t="shared" si="11"/>
        <v>0</v>
      </c>
      <c r="B212" t="str">
        <f t="shared" si="9"/>
        <v>BA</v>
      </c>
      <c r="C212" s="15" t="s">
        <v>145</v>
      </c>
      <c r="D212" s="18">
        <f>VLOOKUP(C212,'DISTRIBUIÇÃO NF4267'!$E$3:$FQ$75,MATCH(B212,'DISTRIBUIÇÃO NF4267'!$E$3:$FQ$3,0)+1,0)</f>
        <v>0</v>
      </c>
      <c r="F212" s="28">
        <f t="shared" si="10"/>
        <v>5</v>
      </c>
    </row>
    <row r="213" spans="1:6" x14ac:dyDescent="0.35">
      <c r="A213">
        <f t="shared" si="11"/>
        <v>0</v>
      </c>
      <c r="B213" t="str">
        <f t="shared" si="9"/>
        <v>BA</v>
      </c>
      <c r="C213" s="15" t="s">
        <v>146</v>
      </c>
      <c r="D213" s="18">
        <f>VLOOKUP(C213,'DISTRIBUIÇÃO NF4267'!$E$3:$FQ$75,MATCH(B213,'DISTRIBUIÇÃO NF4267'!$E$3:$FQ$3,0)+1,0)</f>
        <v>10</v>
      </c>
      <c r="F213" s="28">
        <f t="shared" si="10"/>
        <v>5</v>
      </c>
    </row>
    <row r="214" spans="1:6" x14ac:dyDescent="0.35">
      <c r="A214">
        <f t="shared" si="11"/>
        <v>0</v>
      </c>
      <c r="B214" t="str">
        <f t="shared" si="9"/>
        <v>BA</v>
      </c>
      <c r="C214" s="15" t="s">
        <v>147</v>
      </c>
      <c r="D214" s="18">
        <f>VLOOKUP(C214,'DISTRIBUIÇÃO NF4267'!$E$3:$FQ$75,MATCH(B214,'DISTRIBUIÇÃO NF4267'!$E$3:$FQ$3,0)+1,0)</f>
        <v>20</v>
      </c>
      <c r="F214" s="28">
        <f t="shared" si="10"/>
        <v>5</v>
      </c>
    </row>
    <row r="215" spans="1:6" x14ac:dyDescent="0.35">
      <c r="A215">
        <f t="shared" si="11"/>
        <v>0</v>
      </c>
      <c r="B215" t="str">
        <f t="shared" si="9"/>
        <v>BA</v>
      </c>
      <c r="C215" s="15" t="s">
        <v>148</v>
      </c>
      <c r="D215" s="18">
        <f>VLOOKUP(C215,'DISTRIBUIÇÃO NF4267'!$E$3:$FQ$75,MATCH(B215,'DISTRIBUIÇÃO NF4267'!$E$3:$FQ$3,0)+1,0)</f>
        <v>10</v>
      </c>
      <c r="F215" s="28">
        <f t="shared" si="10"/>
        <v>5</v>
      </c>
    </row>
    <row r="216" spans="1:6" x14ac:dyDescent="0.35">
      <c r="A216">
        <f t="shared" si="11"/>
        <v>0</v>
      </c>
      <c r="B216" t="str">
        <f t="shared" si="9"/>
        <v>BA</v>
      </c>
      <c r="C216" s="15" t="s">
        <v>149</v>
      </c>
      <c r="D216" s="18">
        <f>VLOOKUP(C216,'DISTRIBUIÇÃO NF4267'!$E$3:$FQ$75,MATCH(B216,'DISTRIBUIÇÃO NF4267'!$E$3:$FQ$3,0)+1,0)</f>
        <v>10</v>
      </c>
      <c r="F216" s="28">
        <f t="shared" si="10"/>
        <v>5</v>
      </c>
    </row>
    <row r="217" spans="1:6" x14ac:dyDescent="0.35">
      <c r="A217">
        <f t="shared" si="11"/>
        <v>0</v>
      </c>
      <c r="B217" t="str">
        <f t="shared" si="9"/>
        <v>BA</v>
      </c>
      <c r="C217" s="15" t="s">
        <v>150</v>
      </c>
      <c r="D217" s="18">
        <f>VLOOKUP(C217,'DISTRIBUIÇÃO NF4267'!$E$3:$FQ$75,MATCH(B217,'DISTRIBUIÇÃO NF4267'!$E$3:$FQ$3,0)+1,0)</f>
        <v>0</v>
      </c>
      <c r="F217" s="28">
        <f t="shared" si="10"/>
        <v>5</v>
      </c>
    </row>
    <row r="218" spans="1:6" x14ac:dyDescent="0.35">
      <c r="A218">
        <f t="shared" si="11"/>
        <v>0</v>
      </c>
      <c r="B218">
        <v>35</v>
      </c>
      <c r="C218" s="7" t="s">
        <v>98</v>
      </c>
      <c r="D218" s="18">
        <f>VLOOKUP(C218,'DISTRIBUIÇÃO NF4267'!$E$3:$FQ$75,MATCH(B218,'DISTRIBUIÇÃO NF4267'!$E$3:$FQ$3,0)+1,0)</f>
        <v>0</v>
      </c>
      <c r="F218" s="28">
        <f t="shared" si="10"/>
        <v>5</v>
      </c>
    </row>
    <row r="219" spans="1:6" x14ac:dyDescent="0.35">
      <c r="A219">
        <f t="shared" si="11"/>
        <v>0</v>
      </c>
      <c r="B219">
        <f>B218</f>
        <v>35</v>
      </c>
      <c r="C219" s="7" t="s">
        <v>99</v>
      </c>
      <c r="D219" s="18">
        <f>VLOOKUP(C219,'DISTRIBUIÇÃO NF4267'!$E$3:$FQ$75,MATCH(B219,'DISTRIBUIÇÃO NF4267'!$E$3:$FQ$3,0)+1,0)</f>
        <v>4</v>
      </c>
      <c r="F219" s="28">
        <f t="shared" si="10"/>
        <v>5</v>
      </c>
    </row>
    <row r="220" spans="1:6" x14ac:dyDescent="0.35">
      <c r="A220">
        <f t="shared" si="11"/>
        <v>0</v>
      </c>
      <c r="B220">
        <f t="shared" ref="B220:B271" si="12">B219</f>
        <v>35</v>
      </c>
      <c r="C220" s="7" t="s">
        <v>100</v>
      </c>
      <c r="D220" s="18">
        <f>VLOOKUP(C220,'DISTRIBUIÇÃO NF4267'!$E$3:$FQ$75,MATCH(B220,'DISTRIBUIÇÃO NF4267'!$E$3:$FQ$3,0)+1,0)</f>
        <v>8</v>
      </c>
      <c r="F220" s="28">
        <f t="shared" si="10"/>
        <v>5</v>
      </c>
    </row>
    <row r="221" spans="1:6" x14ac:dyDescent="0.35">
      <c r="A221">
        <f t="shared" si="11"/>
        <v>0</v>
      </c>
      <c r="B221">
        <f t="shared" si="12"/>
        <v>35</v>
      </c>
      <c r="C221" s="7" t="s">
        <v>101</v>
      </c>
      <c r="D221" s="18">
        <f>VLOOKUP(C221,'DISTRIBUIÇÃO NF4267'!$E$3:$FQ$75,MATCH(B221,'DISTRIBUIÇÃO NF4267'!$E$3:$FQ$3,0)+1,0)</f>
        <v>4</v>
      </c>
      <c r="F221" s="28">
        <f t="shared" si="10"/>
        <v>5</v>
      </c>
    </row>
    <row r="222" spans="1:6" x14ac:dyDescent="0.35">
      <c r="A222">
        <f t="shared" si="11"/>
        <v>0</v>
      </c>
      <c r="B222">
        <f t="shared" si="12"/>
        <v>35</v>
      </c>
      <c r="C222" s="7" t="s">
        <v>102</v>
      </c>
      <c r="D222" s="18">
        <f>VLOOKUP(C222,'DISTRIBUIÇÃO NF4267'!$E$3:$FQ$75,MATCH(B222,'DISTRIBUIÇÃO NF4267'!$E$3:$FQ$3,0)+1,0)</f>
        <v>4</v>
      </c>
      <c r="F222" s="28">
        <f t="shared" si="10"/>
        <v>5</v>
      </c>
    </row>
    <row r="223" spans="1:6" x14ac:dyDescent="0.35">
      <c r="A223">
        <f t="shared" si="11"/>
        <v>0</v>
      </c>
      <c r="B223">
        <f t="shared" si="12"/>
        <v>35</v>
      </c>
      <c r="C223" s="7" t="s">
        <v>103</v>
      </c>
      <c r="D223" s="18">
        <f>VLOOKUP(C223,'DISTRIBUIÇÃO NF4267'!$E$3:$FQ$75,MATCH(B223,'DISTRIBUIÇÃO NF4267'!$E$3:$FQ$3,0)+1,0)</f>
        <v>0</v>
      </c>
      <c r="F223" s="28">
        <f t="shared" si="10"/>
        <v>5</v>
      </c>
    </row>
    <row r="224" spans="1:6" x14ac:dyDescent="0.35">
      <c r="A224">
        <f t="shared" si="11"/>
        <v>0</v>
      </c>
      <c r="B224">
        <f t="shared" si="12"/>
        <v>35</v>
      </c>
      <c r="C224" s="8" t="s">
        <v>107</v>
      </c>
      <c r="D224" s="18">
        <f>VLOOKUP(C224,'DISTRIBUIÇÃO NF4267'!$E$3:$FQ$75,MATCH(B224,'DISTRIBUIÇÃO NF4267'!$E$3:$FQ$3,0)+1,0)</f>
        <v>0</v>
      </c>
      <c r="F224" s="28">
        <f t="shared" si="10"/>
        <v>5</v>
      </c>
    </row>
    <row r="225" spans="1:6" x14ac:dyDescent="0.35">
      <c r="A225">
        <f t="shared" si="11"/>
        <v>0</v>
      </c>
      <c r="B225">
        <f t="shared" si="12"/>
        <v>35</v>
      </c>
      <c r="C225" s="8" t="s">
        <v>108</v>
      </c>
      <c r="D225" s="18">
        <f>VLOOKUP(C225,'DISTRIBUIÇÃO NF4267'!$E$3:$FQ$75,MATCH(B225,'DISTRIBUIÇÃO NF4267'!$E$3:$FQ$3,0)+1,0)</f>
        <v>6</v>
      </c>
      <c r="F225" s="28">
        <f t="shared" si="10"/>
        <v>5</v>
      </c>
    </row>
    <row r="226" spans="1:6" x14ac:dyDescent="0.35">
      <c r="A226">
        <f t="shared" si="11"/>
        <v>0</v>
      </c>
      <c r="B226">
        <f t="shared" si="12"/>
        <v>35</v>
      </c>
      <c r="C226" s="8" t="s">
        <v>109</v>
      </c>
      <c r="D226" s="18">
        <f>VLOOKUP(C226,'DISTRIBUIÇÃO NF4267'!$E$3:$FQ$75,MATCH(B226,'DISTRIBUIÇÃO NF4267'!$E$3:$FQ$3,0)+1,0)</f>
        <v>12</v>
      </c>
      <c r="F226" s="28">
        <f t="shared" si="10"/>
        <v>5</v>
      </c>
    </row>
    <row r="227" spans="1:6" x14ac:dyDescent="0.35">
      <c r="A227">
        <f t="shared" si="11"/>
        <v>0</v>
      </c>
      <c r="B227">
        <f t="shared" si="12"/>
        <v>35</v>
      </c>
      <c r="C227" s="8" t="s">
        <v>110</v>
      </c>
      <c r="D227" s="18">
        <f>VLOOKUP(C227,'DISTRIBUIÇÃO NF4267'!$E$3:$FQ$75,MATCH(B227,'DISTRIBUIÇÃO NF4267'!$E$3:$FQ$3,0)+1,0)</f>
        <v>6</v>
      </c>
      <c r="F227" s="28">
        <f t="shared" si="10"/>
        <v>5</v>
      </c>
    </row>
    <row r="228" spans="1:6" x14ac:dyDescent="0.35">
      <c r="A228">
        <f t="shared" si="11"/>
        <v>0</v>
      </c>
      <c r="B228">
        <f t="shared" si="12"/>
        <v>35</v>
      </c>
      <c r="C228" s="8" t="s">
        <v>111</v>
      </c>
      <c r="D228" s="18">
        <f>VLOOKUP(C228,'DISTRIBUIÇÃO NF4267'!$E$3:$FQ$75,MATCH(B228,'DISTRIBUIÇÃO NF4267'!$E$3:$FQ$3,0)+1,0)</f>
        <v>6</v>
      </c>
      <c r="F228" s="28">
        <f t="shared" si="10"/>
        <v>5</v>
      </c>
    </row>
    <row r="229" spans="1:6" x14ac:dyDescent="0.35">
      <c r="A229">
        <f t="shared" si="11"/>
        <v>0</v>
      </c>
      <c r="B229">
        <f t="shared" si="12"/>
        <v>35</v>
      </c>
      <c r="C229" s="8" t="s">
        <v>112</v>
      </c>
      <c r="D229" s="18">
        <f>VLOOKUP(C229,'DISTRIBUIÇÃO NF4267'!$E$3:$FQ$75,MATCH(B229,'DISTRIBUIÇÃO NF4267'!$E$3:$FQ$3,0)+1,0)</f>
        <v>0</v>
      </c>
      <c r="F229" s="28">
        <f t="shared" si="10"/>
        <v>5</v>
      </c>
    </row>
    <row r="230" spans="1:6" x14ac:dyDescent="0.35">
      <c r="A230">
        <f t="shared" si="11"/>
        <v>0</v>
      </c>
      <c r="B230">
        <f t="shared" si="12"/>
        <v>35</v>
      </c>
      <c r="C230" s="9" t="s">
        <v>113</v>
      </c>
      <c r="D230" s="18">
        <f>VLOOKUP(C230,'DISTRIBUIÇÃO NF4267'!$E$3:$FQ$75,MATCH(B230,'DISTRIBUIÇÃO NF4267'!$E$3:$FQ$3,0)+1,0)</f>
        <v>0</v>
      </c>
      <c r="F230" s="28">
        <f t="shared" si="10"/>
        <v>5</v>
      </c>
    </row>
    <row r="231" spans="1:6" x14ac:dyDescent="0.35">
      <c r="A231">
        <f t="shared" si="11"/>
        <v>0</v>
      </c>
      <c r="B231">
        <f t="shared" si="12"/>
        <v>35</v>
      </c>
      <c r="C231" s="9" t="s">
        <v>114</v>
      </c>
      <c r="D231" s="18">
        <f>VLOOKUP(C231,'DISTRIBUIÇÃO NF4267'!$E$3:$FQ$75,MATCH(B231,'DISTRIBUIÇÃO NF4267'!$E$3:$FQ$3,0)+1,0)</f>
        <v>9</v>
      </c>
      <c r="F231" s="28">
        <f t="shared" si="10"/>
        <v>5</v>
      </c>
    </row>
    <row r="232" spans="1:6" x14ac:dyDescent="0.35">
      <c r="A232">
        <f t="shared" si="11"/>
        <v>0</v>
      </c>
      <c r="B232">
        <f t="shared" si="12"/>
        <v>35</v>
      </c>
      <c r="C232" s="9" t="s">
        <v>115</v>
      </c>
      <c r="D232" s="18">
        <f>VLOOKUP(C232,'DISTRIBUIÇÃO NF4267'!$E$3:$FQ$75,MATCH(B232,'DISTRIBUIÇÃO NF4267'!$E$3:$FQ$3,0)+1,0)</f>
        <v>12</v>
      </c>
      <c r="F232" s="28">
        <f t="shared" si="10"/>
        <v>5</v>
      </c>
    </row>
    <row r="233" spans="1:6" x14ac:dyDescent="0.35">
      <c r="A233">
        <f t="shared" si="11"/>
        <v>0</v>
      </c>
      <c r="B233">
        <f t="shared" si="12"/>
        <v>35</v>
      </c>
      <c r="C233" s="9" t="s">
        <v>116</v>
      </c>
      <c r="D233" s="18">
        <f>VLOOKUP(C233,'DISTRIBUIÇÃO NF4267'!$E$3:$FQ$75,MATCH(B233,'DISTRIBUIÇÃO NF4267'!$E$3:$FQ$3,0)+1,0)</f>
        <v>6</v>
      </c>
      <c r="F233" s="28">
        <f t="shared" si="10"/>
        <v>5</v>
      </c>
    </row>
    <row r="234" spans="1:6" x14ac:dyDescent="0.35">
      <c r="A234">
        <f t="shared" si="11"/>
        <v>0</v>
      </c>
      <c r="B234">
        <f t="shared" si="12"/>
        <v>35</v>
      </c>
      <c r="C234" s="9" t="s">
        <v>117</v>
      </c>
      <c r="D234" s="18">
        <f>VLOOKUP(C234,'DISTRIBUIÇÃO NF4267'!$E$3:$FQ$75,MATCH(B234,'DISTRIBUIÇÃO NF4267'!$E$3:$FQ$3,0)+1,0)</f>
        <v>3</v>
      </c>
      <c r="F234" s="28">
        <f t="shared" si="10"/>
        <v>5</v>
      </c>
    </row>
    <row r="235" spans="1:6" x14ac:dyDescent="0.35">
      <c r="A235">
        <f t="shared" si="11"/>
        <v>0</v>
      </c>
      <c r="B235">
        <f t="shared" si="12"/>
        <v>35</v>
      </c>
      <c r="C235" s="9" t="s">
        <v>118</v>
      </c>
      <c r="D235" s="18">
        <f>VLOOKUP(C235,'DISTRIBUIÇÃO NF4267'!$E$3:$FQ$75,MATCH(B235,'DISTRIBUIÇÃO NF4267'!$E$3:$FQ$3,0)+1,0)</f>
        <v>0</v>
      </c>
      <c r="F235" s="28">
        <f t="shared" si="10"/>
        <v>5</v>
      </c>
    </row>
    <row r="236" spans="1:6" x14ac:dyDescent="0.35">
      <c r="A236">
        <f t="shared" si="11"/>
        <v>0</v>
      </c>
      <c r="B236">
        <f t="shared" si="12"/>
        <v>35</v>
      </c>
      <c r="C236" s="10" t="s">
        <v>119</v>
      </c>
      <c r="D236" s="18">
        <f>VLOOKUP(C236,'DISTRIBUIÇÃO NF4267'!$E$3:$FQ$75,MATCH(B236,'DISTRIBUIÇÃO NF4267'!$E$3:$FQ$3,0)+1,0)</f>
        <v>0</v>
      </c>
      <c r="F236" s="28">
        <f t="shared" si="10"/>
        <v>5</v>
      </c>
    </row>
    <row r="237" spans="1:6" x14ac:dyDescent="0.35">
      <c r="A237">
        <f t="shared" si="11"/>
        <v>0</v>
      </c>
      <c r="B237">
        <f t="shared" si="12"/>
        <v>35</v>
      </c>
      <c r="C237" s="10" t="s">
        <v>120</v>
      </c>
      <c r="D237" s="18">
        <f>VLOOKUP(C237,'DISTRIBUIÇÃO NF4267'!$E$3:$FQ$75,MATCH(B237,'DISTRIBUIÇÃO NF4267'!$E$3:$FQ$3,0)+1,0)</f>
        <v>60</v>
      </c>
      <c r="F237" s="28">
        <f t="shared" si="10"/>
        <v>5</v>
      </c>
    </row>
    <row r="238" spans="1:6" x14ac:dyDescent="0.35">
      <c r="A238">
        <f t="shared" si="11"/>
        <v>0</v>
      </c>
      <c r="B238">
        <f t="shared" si="12"/>
        <v>35</v>
      </c>
      <c r="C238" s="10" t="s">
        <v>121</v>
      </c>
      <c r="D238" s="18">
        <f>VLOOKUP(C238,'DISTRIBUIÇÃO NF4267'!$E$3:$FQ$75,MATCH(B238,'DISTRIBUIÇÃO NF4267'!$E$3:$FQ$3,0)+1,0)</f>
        <v>20</v>
      </c>
      <c r="F238" s="28">
        <f t="shared" si="10"/>
        <v>5</v>
      </c>
    </row>
    <row r="239" spans="1:6" x14ac:dyDescent="0.35">
      <c r="A239">
        <f t="shared" si="11"/>
        <v>0</v>
      </c>
      <c r="B239">
        <f t="shared" si="12"/>
        <v>35</v>
      </c>
      <c r="C239" s="10" t="s">
        <v>122</v>
      </c>
      <c r="D239" s="18">
        <f>VLOOKUP(C239,'DISTRIBUIÇÃO NF4267'!$E$3:$FQ$75,MATCH(B239,'DISTRIBUIÇÃO NF4267'!$E$3:$FQ$3,0)+1,0)</f>
        <v>20</v>
      </c>
      <c r="F239" s="28">
        <f t="shared" si="10"/>
        <v>5</v>
      </c>
    </row>
    <row r="240" spans="1:6" x14ac:dyDescent="0.35">
      <c r="A240">
        <f t="shared" si="11"/>
        <v>0</v>
      </c>
      <c r="B240">
        <f t="shared" si="12"/>
        <v>35</v>
      </c>
      <c r="C240" s="10" t="s">
        <v>123</v>
      </c>
      <c r="D240" s="18">
        <f>VLOOKUP(C240,'DISTRIBUIÇÃO NF4267'!$E$3:$FQ$75,MATCH(B240,'DISTRIBUIÇÃO NF4267'!$E$3:$FQ$3,0)+1,0)</f>
        <v>0</v>
      </c>
      <c r="F240" s="28">
        <f t="shared" si="10"/>
        <v>5</v>
      </c>
    </row>
    <row r="241" spans="1:6" x14ac:dyDescent="0.35">
      <c r="A241">
        <f t="shared" si="11"/>
        <v>0</v>
      </c>
      <c r="B241">
        <f t="shared" si="12"/>
        <v>35</v>
      </c>
      <c r="C241" s="10" t="s">
        <v>124</v>
      </c>
      <c r="D241" s="18">
        <f>VLOOKUP(C241,'DISTRIBUIÇÃO NF4267'!$E$3:$FQ$75,MATCH(B241,'DISTRIBUIÇÃO NF4267'!$E$3:$FQ$3,0)+1,0)</f>
        <v>0</v>
      </c>
      <c r="F241" s="28">
        <f t="shared" si="10"/>
        <v>5</v>
      </c>
    </row>
    <row r="242" spans="1:6" x14ac:dyDescent="0.35">
      <c r="A242">
        <f t="shared" si="11"/>
        <v>0</v>
      </c>
      <c r="B242">
        <f t="shared" si="12"/>
        <v>35</v>
      </c>
      <c r="C242" s="11" t="s">
        <v>16</v>
      </c>
      <c r="D242" s="18">
        <f>VLOOKUP(C242,'DISTRIBUIÇÃO NF4267'!$E$3:$FQ$75,MATCH(B242,'DISTRIBUIÇÃO NF4267'!$E$3:$FQ$3,0)+1,0)</f>
        <v>0</v>
      </c>
      <c r="F242" s="28">
        <f t="shared" si="10"/>
        <v>5</v>
      </c>
    </row>
    <row r="243" spans="1:6" x14ac:dyDescent="0.35">
      <c r="A243">
        <f t="shared" si="11"/>
        <v>0</v>
      </c>
      <c r="B243">
        <f t="shared" si="12"/>
        <v>35</v>
      </c>
      <c r="C243" s="11" t="s">
        <v>17</v>
      </c>
      <c r="D243" s="18">
        <f>VLOOKUP(C243,'DISTRIBUIÇÃO NF4267'!$E$3:$FQ$75,MATCH(B243,'DISTRIBUIÇÃO NF4267'!$E$3:$FQ$3,0)+1,0)</f>
        <v>12</v>
      </c>
      <c r="F243" s="28">
        <f t="shared" si="10"/>
        <v>5</v>
      </c>
    </row>
    <row r="244" spans="1:6" x14ac:dyDescent="0.35">
      <c r="A244">
        <f t="shared" si="11"/>
        <v>0</v>
      </c>
      <c r="B244">
        <f t="shared" si="12"/>
        <v>35</v>
      </c>
      <c r="C244" s="11" t="s">
        <v>18</v>
      </c>
      <c r="D244" s="18">
        <f>VLOOKUP(C244,'DISTRIBUIÇÃO NF4267'!$E$3:$FQ$75,MATCH(B244,'DISTRIBUIÇÃO NF4267'!$E$3:$FQ$3,0)+1,0)</f>
        <v>4</v>
      </c>
      <c r="F244" s="28">
        <f t="shared" si="10"/>
        <v>5</v>
      </c>
    </row>
    <row r="245" spans="1:6" x14ac:dyDescent="0.35">
      <c r="A245">
        <f t="shared" si="11"/>
        <v>0</v>
      </c>
      <c r="B245">
        <f t="shared" si="12"/>
        <v>35</v>
      </c>
      <c r="C245" s="11" t="s">
        <v>19</v>
      </c>
      <c r="D245" s="18">
        <f>VLOOKUP(C245,'DISTRIBUIÇÃO NF4267'!$E$3:$FQ$75,MATCH(B245,'DISTRIBUIÇÃO NF4267'!$E$3:$FQ$3,0)+1,0)</f>
        <v>4</v>
      </c>
      <c r="F245" s="28">
        <f t="shared" si="10"/>
        <v>5</v>
      </c>
    </row>
    <row r="246" spans="1:6" x14ac:dyDescent="0.35">
      <c r="A246">
        <f t="shared" si="11"/>
        <v>0</v>
      </c>
      <c r="B246">
        <f t="shared" si="12"/>
        <v>35</v>
      </c>
      <c r="C246" s="11" t="s">
        <v>20</v>
      </c>
      <c r="D246" s="18">
        <f>VLOOKUP(C246,'DISTRIBUIÇÃO NF4267'!$E$3:$FQ$75,MATCH(B246,'DISTRIBUIÇÃO NF4267'!$E$3:$FQ$3,0)+1,0)</f>
        <v>20</v>
      </c>
      <c r="F246" s="28">
        <f t="shared" si="10"/>
        <v>5</v>
      </c>
    </row>
    <row r="247" spans="1:6" x14ac:dyDescent="0.35">
      <c r="A247">
        <f t="shared" si="11"/>
        <v>0</v>
      </c>
      <c r="B247">
        <f t="shared" si="12"/>
        <v>35</v>
      </c>
      <c r="C247" s="11" t="s">
        <v>21</v>
      </c>
      <c r="D247" s="18">
        <f>VLOOKUP(C247,'DISTRIBUIÇÃO NF4267'!$E$3:$FQ$75,MATCH(B247,'DISTRIBUIÇÃO NF4267'!$E$3:$FQ$3,0)+1,0)</f>
        <v>0</v>
      </c>
      <c r="F247" s="28">
        <f t="shared" si="10"/>
        <v>5</v>
      </c>
    </row>
    <row r="248" spans="1:6" x14ac:dyDescent="0.35">
      <c r="A248">
        <f t="shared" si="11"/>
        <v>0</v>
      </c>
      <c r="B248">
        <f t="shared" si="12"/>
        <v>35</v>
      </c>
      <c r="C248" s="12" t="s">
        <v>130</v>
      </c>
      <c r="D248" s="18">
        <f>VLOOKUP(C248,'DISTRIBUIÇÃO NF4267'!$E$3:$FQ$75,MATCH(B248,'DISTRIBUIÇÃO NF4267'!$E$3:$FQ$3,0)+1,0)</f>
        <v>0</v>
      </c>
      <c r="F248" s="28">
        <f t="shared" ref="F248:F311" si="13">ROUNDUP(SUMIFS(D:D,B:B,B248)/80,0)</f>
        <v>5</v>
      </c>
    </row>
    <row r="249" spans="1:6" x14ac:dyDescent="0.35">
      <c r="A249">
        <f t="shared" si="11"/>
        <v>0</v>
      </c>
      <c r="B249">
        <f t="shared" si="12"/>
        <v>35</v>
      </c>
      <c r="C249" s="12" t="s">
        <v>131</v>
      </c>
      <c r="D249" s="18">
        <f>VLOOKUP(C249,'DISTRIBUIÇÃO NF4267'!$E$3:$FQ$75,MATCH(B249,'DISTRIBUIÇÃO NF4267'!$E$3:$FQ$3,0)+1,0)</f>
        <v>3</v>
      </c>
      <c r="F249" s="28">
        <f t="shared" si="13"/>
        <v>5</v>
      </c>
    </row>
    <row r="250" spans="1:6" x14ac:dyDescent="0.35">
      <c r="A250">
        <f t="shared" si="11"/>
        <v>0</v>
      </c>
      <c r="B250">
        <f t="shared" si="12"/>
        <v>35</v>
      </c>
      <c r="C250" s="12" t="s">
        <v>132</v>
      </c>
      <c r="D250" s="18">
        <f>VLOOKUP(C250,'DISTRIBUIÇÃO NF4267'!$E$3:$FQ$75,MATCH(B250,'DISTRIBUIÇÃO NF4267'!$E$3:$FQ$3,0)+1,0)</f>
        <v>12</v>
      </c>
      <c r="F250" s="28">
        <f t="shared" si="13"/>
        <v>5</v>
      </c>
    </row>
    <row r="251" spans="1:6" x14ac:dyDescent="0.35">
      <c r="A251">
        <f t="shared" si="11"/>
        <v>0</v>
      </c>
      <c r="B251">
        <f t="shared" si="12"/>
        <v>35</v>
      </c>
      <c r="C251" s="12" t="s">
        <v>133</v>
      </c>
      <c r="D251" s="18">
        <f>VLOOKUP(C251,'DISTRIBUIÇÃO NF4267'!$E$3:$FQ$75,MATCH(B251,'DISTRIBUIÇÃO NF4267'!$E$3:$FQ$3,0)+1,0)</f>
        <v>9</v>
      </c>
      <c r="F251" s="28">
        <f t="shared" si="13"/>
        <v>5</v>
      </c>
    </row>
    <row r="252" spans="1:6" x14ac:dyDescent="0.35">
      <c r="A252">
        <f t="shared" si="11"/>
        <v>0</v>
      </c>
      <c r="B252">
        <f t="shared" si="12"/>
        <v>35</v>
      </c>
      <c r="C252" s="12" t="s">
        <v>134</v>
      </c>
      <c r="D252" s="18">
        <f>VLOOKUP(C252,'DISTRIBUIÇÃO NF4267'!$E$3:$FQ$75,MATCH(B252,'DISTRIBUIÇÃO NF4267'!$E$3:$FQ$3,0)+1,0)</f>
        <v>6</v>
      </c>
      <c r="F252" s="28">
        <f t="shared" si="13"/>
        <v>5</v>
      </c>
    </row>
    <row r="253" spans="1:6" x14ac:dyDescent="0.35">
      <c r="A253">
        <f t="shared" si="11"/>
        <v>0</v>
      </c>
      <c r="B253">
        <f t="shared" si="12"/>
        <v>35</v>
      </c>
      <c r="C253" s="12" t="s">
        <v>135</v>
      </c>
      <c r="D253" s="18">
        <f>VLOOKUP(C253,'DISTRIBUIÇÃO NF4267'!$E$3:$FQ$75,MATCH(B253,'DISTRIBUIÇÃO NF4267'!$E$3:$FQ$3,0)+1,0)</f>
        <v>0</v>
      </c>
      <c r="F253" s="28">
        <f t="shared" si="13"/>
        <v>5</v>
      </c>
    </row>
    <row r="254" spans="1:6" x14ac:dyDescent="0.35">
      <c r="A254">
        <f t="shared" si="11"/>
        <v>0</v>
      </c>
      <c r="B254">
        <f t="shared" si="12"/>
        <v>35</v>
      </c>
      <c r="C254" s="13" t="s">
        <v>22</v>
      </c>
      <c r="D254" s="18">
        <f>VLOOKUP(C254,'DISTRIBUIÇÃO NF4267'!$E$3:$FQ$75,MATCH(B254,'DISTRIBUIÇÃO NF4267'!$E$3:$FQ$3,0)+1,0)</f>
        <v>0</v>
      </c>
      <c r="F254" s="28">
        <f t="shared" si="13"/>
        <v>5</v>
      </c>
    </row>
    <row r="255" spans="1:6" x14ac:dyDescent="0.35">
      <c r="A255">
        <f t="shared" si="11"/>
        <v>0</v>
      </c>
      <c r="B255">
        <f t="shared" si="12"/>
        <v>35</v>
      </c>
      <c r="C255" s="13" t="s">
        <v>23</v>
      </c>
      <c r="D255" s="18">
        <f>VLOOKUP(C255,'DISTRIBUIÇÃO NF4267'!$E$3:$FQ$75,MATCH(B255,'DISTRIBUIÇÃO NF4267'!$E$3:$FQ$3,0)+1,0)</f>
        <v>2</v>
      </c>
      <c r="F255" s="28">
        <f t="shared" si="13"/>
        <v>5</v>
      </c>
    </row>
    <row r="256" spans="1:6" x14ac:dyDescent="0.35">
      <c r="A256">
        <f t="shared" si="11"/>
        <v>0</v>
      </c>
      <c r="B256">
        <f t="shared" si="12"/>
        <v>35</v>
      </c>
      <c r="C256" s="13" t="s">
        <v>24</v>
      </c>
      <c r="D256" s="18">
        <f>VLOOKUP(C256,'DISTRIBUIÇÃO NF4267'!$E$3:$FQ$75,MATCH(B256,'DISTRIBUIÇÃO NF4267'!$E$3:$FQ$3,0)+1,0)</f>
        <v>12</v>
      </c>
      <c r="F256" s="28">
        <f t="shared" si="13"/>
        <v>5</v>
      </c>
    </row>
    <row r="257" spans="1:6" x14ac:dyDescent="0.35">
      <c r="A257">
        <f t="shared" si="11"/>
        <v>0</v>
      </c>
      <c r="B257">
        <f t="shared" si="12"/>
        <v>35</v>
      </c>
      <c r="C257" s="13" t="s">
        <v>25</v>
      </c>
      <c r="D257" s="18">
        <f>VLOOKUP(C257,'DISTRIBUIÇÃO NF4267'!$E$3:$FQ$75,MATCH(B257,'DISTRIBUIÇÃO NF4267'!$E$3:$FQ$3,0)+1,0)</f>
        <v>4</v>
      </c>
      <c r="F257" s="28">
        <f t="shared" si="13"/>
        <v>5</v>
      </c>
    </row>
    <row r="258" spans="1:6" x14ac:dyDescent="0.35">
      <c r="A258">
        <f t="shared" ref="A258:A321" si="14">IF(ISERROR(VLOOKUP(C258,I:I,1,0)),0,1)</f>
        <v>0</v>
      </c>
      <c r="B258">
        <f t="shared" si="12"/>
        <v>35</v>
      </c>
      <c r="C258" s="13" t="s">
        <v>26</v>
      </c>
      <c r="D258" s="18">
        <f>VLOOKUP(C258,'DISTRIBUIÇÃO NF4267'!$E$3:$FQ$75,MATCH(B258,'DISTRIBUIÇÃO NF4267'!$E$3:$FQ$3,0)+1,0)</f>
        <v>2</v>
      </c>
      <c r="F258" s="28">
        <f t="shared" si="13"/>
        <v>5</v>
      </c>
    </row>
    <row r="259" spans="1:6" x14ac:dyDescent="0.35">
      <c r="A259">
        <f t="shared" si="14"/>
        <v>0</v>
      </c>
      <c r="B259">
        <f t="shared" si="12"/>
        <v>35</v>
      </c>
      <c r="C259" s="13" t="s">
        <v>27</v>
      </c>
      <c r="D259" s="18">
        <f>VLOOKUP(C259,'DISTRIBUIÇÃO NF4267'!$E$3:$FQ$75,MATCH(B259,'DISTRIBUIÇÃO NF4267'!$E$3:$FQ$3,0)+1,0)</f>
        <v>0</v>
      </c>
      <c r="F259" s="28">
        <f t="shared" si="13"/>
        <v>5</v>
      </c>
    </row>
    <row r="260" spans="1:6" x14ac:dyDescent="0.35">
      <c r="A260">
        <f t="shared" si="14"/>
        <v>0</v>
      </c>
      <c r="B260">
        <f t="shared" si="12"/>
        <v>35</v>
      </c>
      <c r="C260" s="14" t="s">
        <v>138</v>
      </c>
      <c r="D260" s="18">
        <f>VLOOKUP(C260,'DISTRIBUIÇÃO NF4267'!$E$3:$FQ$75,MATCH(B260,'DISTRIBUIÇÃO NF4267'!$E$3:$FQ$3,0)+1,0)</f>
        <v>0</v>
      </c>
      <c r="F260" s="28">
        <f t="shared" si="13"/>
        <v>5</v>
      </c>
    </row>
    <row r="261" spans="1:6" x14ac:dyDescent="0.35">
      <c r="A261">
        <f t="shared" si="14"/>
        <v>0</v>
      </c>
      <c r="B261">
        <f t="shared" si="12"/>
        <v>35</v>
      </c>
      <c r="C261" s="14" t="s">
        <v>139</v>
      </c>
      <c r="D261" s="18">
        <f>VLOOKUP(C261,'DISTRIBUIÇÃO NF4267'!$E$3:$FQ$75,MATCH(B261,'DISTRIBUIÇÃO NF4267'!$E$3:$FQ$3,0)+1,0)</f>
        <v>10</v>
      </c>
      <c r="F261" s="28">
        <f t="shared" si="13"/>
        <v>5</v>
      </c>
    </row>
    <row r="262" spans="1:6" x14ac:dyDescent="0.35">
      <c r="A262">
        <f t="shared" si="14"/>
        <v>0</v>
      </c>
      <c r="B262">
        <f t="shared" si="12"/>
        <v>35</v>
      </c>
      <c r="C262" s="14" t="s">
        <v>140</v>
      </c>
      <c r="D262" s="18">
        <f>VLOOKUP(C262,'DISTRIBUIÇÃO NF4267'!$E$3:$FQ$75,MATCH(B262,'DISTRIBUIÇÃO NF4267'!$E$3:$FQ$3,0)+1,0)</f>
        <v>20</v>
      </c>
      <c r="F262" s="28">
        <f t="shared" si="13"/>
        <v>5</v>
      </c>
    </row>
    <row r="263" spans="1:6" x14ac:dyDescent="0.35">
      <c r="A263">
        <f t="shared" si="14"/>
        <v>0</v>
      </c>
      <c r="B263">
        <f t="shared" si="12"/>
        <v>35</v>
      </c>
      <c r="C263" s="14" t="s">
        <v>141</v>
      </c>
      <c r="D263" s="18">
        <f>VLOOKUP(C263,'DISTRIBUIÇÃO NF4267'!$E$3:$FQ$75,MATCH(B263,'DISTRIBUIÇÃO NF4267'!$E$3:$FQ$3,0)+1,0)</f>
        <v>10</v>
      </c>
      <c r="F263" s="28">
        <f t="shared" si="13"/>
        <v>5</v>
      </c>
    </row>
    <row r="264" spans="1:6" x14ac:dyDescent="0.35">
      <c r="A264">
        <f t="shared" si="14"/>
        <v>0</v>
      </c>
      <c r="B264">
        <f t="shared" si="12"/>
        <v>35</v>
      </c>
      <c r="C264" s="14" t="s">
        <v>142</v>
      </c>
      <c r="D264" s="18">
        <f>VLOOKUP(C264,'DISTRIBUIÇÃO NF4267'!$E$3:$FQ$75,MATCH(B264,'DISTRIBUIÇÃO NF4267'!$E$3:$FQ$3,0)+1,0)</f>
        <v>10</v>
      </c>
      <c r="F264" s="28">
        <f t="shared" si="13"/>
        <v>5</v>
      </c>
    </row>
    <row r="265" spans="1:6" x14ac:dyDescent="0.35">
      <c r="A265">
        <f t="shared" si="14"/>
        <v>0</v>
      </c>
      <c r="B265">
        <f t="shared" si="12"/>
        <v>35</v>
      </c>
      <c r="C265" s="14" t="s">
        <v>143</v>
      </c>
      <c r="D265" s="18">
        <f>VLOOKUP(C265,'DISTRIBUIÇÃO NF4267'!$E$3:$FQ$75,MATCH(B265,'DISTRIBUIÇÃO NF4267'!$E$3:$FQ$3,0)+1,0)</f>
        <v>0</v>
      </c>
      <c r="F265" s="28">
        <f t="shared" si="13"/>
        <v>5</v>
      </c>
    </row>
    <row r="266" spans="1:6" x14ac:dyDescent="0.35">
      <c r="A266">
        <f t="shared" si="14"/>
        <v>0</v>
      </c>
      <c r="B266">
        <f t="shared" si="12"/>
        <v>35</v>
      </c>
      <c r="C266" s="15" t="s">
        <v>145</v>
      </c>
      <c r="D266" s="18">
        <f>VLOOKUP(C266,'DISTRIBUIÇÃO NF4267'!$E$3:$FQ$75,MATCH(B266,'DISTRIBUIÇÃO NF4267'!$E$3:$FQ$3,0)+1,0)</f>
        <v>0</v>
      </c>
      <c r="F266" s="28">
        <f t="shared" si="13"/>
        <v>5</v>
      </c>
    </row>
    <row r="267" spans="1:6" x14ac:dyDescent="0.35">
      <c r="A267">
        <f t="shared" si="14"/>
        <v>0</v>
      </c>
      <c r="B267">
        <f t="shared" si="12"/>
        <v>35</v>
      </c>
      <c r="C267" s="15" t="s">
        <v>146</v>
      </c>
      <c r="D267" s="18">
        <f>VLOOKUP(C267,'DISTRIBUIÇÃO NF4267'!$E$3:$FQ$75,MATCH(B267,'DISTRIBUIÇÃO NF4267'!$E$3:$FQ$3,0)+1,0)</f>
        <v>10</v>
      </c>
      <c r="F267" s="28">
        <f t="shared" si="13"/>
        <v>5</v>
      </c>
    </row>
    <row r="268" spans="1:6" x14ac:dyDescent="0.35">
      <c r="A268">
        <f t="shared" si="14"/>
        <v>0</v>
      </c>
      <c r="B268">
        <f t="shared" si="12"/>
        <v>35</v>
      </c>
      <c r="C268" s="15" t="s">
        <v>147</v>
      </c>
      <c r="D268" s="18">
        <f>VLOOKUP(C268,'DISTRIBUIÇÃO NF4267'!$E$3:$FQ$75,MATCH(B268,'DISTRIBUIÇÃO NF4267'!$E$3:$FQ$3,0)+1,0)</f>
        <v>20</v>
      </c>
      <c r="F268" s="28">
        <f t="shared" si="13"/>
        <v>5</v>
      </c>
    </row>
    <row r="269" spans="1:6" x14ac:dyDescent="0.35">
      <c r="A269">
        <f t="shared" si="14"/>
        <v>0</v>
      </c>
      <c r="B269">
        <f t="shared" si="12"/>
        <v>35</v>
      </c>
      <c r="C269" s="15" t="s">
        <v>148</v>
      </c>
      <c r="D269" s="18">
        <f>VLOOKUP(C269,'DISTRIBUIÇÃO NF4267'!$E$3:$FQ$75,MATCH(B269,'DISTRIBUIÇÃO NF4267'!$E$3:$FQ$3,0)+1,0)</f>
        <v>10</v>
      </c>
      <c r="F269" s="28">
        <f t="shared" si="13"/>
        <v>5</v>
      </c>
    </row>
    <row r="270" spans="1:6" x14ac:dyDescent="0.35">
      <c r="A270">
        <f t="shared" si="14"/>
        <v>0</v>
      </c>
      <c r="B270">
        <f t="shared" si="12"/>
        <v>35</v>
      </c>
      <c r="C270" s="15" t="s">
        <v>149</v>
      </c>
      <c r="D270" s="18">
        <f>VLOOKUP(C270,'DISTRIBUIÇÃO NF4267'!$E$3:$FQ$75,MATCH(B270,'DISTRIBUIÇÃO NF4267'!$E$3:$FQ$3,0)+1,0)</f>
        <v>10</v>
      </c>
      <c r="F270" s="28">
        <f t="shared" si="13"/>
        <v>5</v>
      </c>
    </row>
    <row r="271" spans="1:6" x14ac:dyDescent="0.35">
      <c r="A271">
        <f t="shared" si="14"/>
        <v>0</v>
      </c>
      <c r="B271">
        <f t="shared" si="12"/>
        <v>35</v>
      </c>
      <c r="C271" s="15" t="s">
        <v>150</v>
      </c>
      <c r="D271" s="18">
        <f>VLOOKUP(C271,'DISTRIBUIÇÃO NF4267'!$E$3:$FQ$75,MATCH(B271,'DISTRIBUIÇÃO NF4267'!$E$3:$FQ$3,0)+1,0)</f>
        <v>0</v>
      </c>
      <c r="F271" s="28">
        <f t="shared" si="13"/>
        <v>5</v>
      </c>
    </row>
    <row r="272" spans="1:6" x14ac:dyDescent="0.35">
      <c r="A272">
        <f t="shared" si="14"/>
        <v>0</v>
      </c>
      <c r="B272">
        <v>25</v>
      </c>
      <c r="C272" s="7" t="s">
        <v>98</v>
      </c>
      <c r="D272" s="18">
        <f>VLOOKUP(C272,'DISTRIBUIÇÃO NF4267'!$E$3:$FQ$75,MATCH(B272,'DISTRIBUIÇÃO NF4267'!$E$3:$FQ$3,0)+1,0)</f>
        <v>0</v>
      </c>
      <c r="F272" s="28">
        <f t="shared" si="13"/>
        <v>5</v>
      </c>
    </row>
    <row r="273" spans="1:6" x14ac:dyDescent="0.35">
      <c r="A273">
        <f t="shared" si="14"/>
        <v>0</v>
      </c>
      <c r="B273">
        <f>B272</f>
        <v>25</v>
      </c>
      <c r="C273" s="7" t="s">
        <v>99</v>
      </c>
      <c r="D273" s="18">
        <f>VLOOKUP(C273,'DISTRIBUIÇÃO NF4267'!$E$3:$FQ$75,MATCH(B273,'DISTRIBUIÇÃO NF4267'!$E$3:$FQ$3,0)+1,0)</f>
        <v>4</v>
      </c>
      <c r="F273" s="28">
        <f t="shared" si="13"/>
        <v>5</v>
      </c>
    </row>
    <row r="274" spans="1:6" x14ac:dyDescent="0.35">
      <c r="A274">
        <f t="shared" si="14"/>
        <v>0</v>
      </c>
      <c r="B274">
        <f t="shared" ref="B274:B325" si="15">B273</f>
        <v>25</v>
      </c>
      <c r="C274" s="7" t="s">
        <v>100</v>
      </c>
      <c r="D274" s="18">
        <f>VLOOKUP(C274,'DISTRIBUIÇÃO NF4267'!$E$3:$FQ$75,MATCH(B274,'DISTRIBUIÇÃO NF4267'!$E$3:$FQ$3,0)+1,0)</f>
        <v>8</v>
      </c>
      <c r="F274" s="28">
        <f t="shared" si="13"/>
        <v>5</v>
      </c>
    </row>
    <row r="275" spans="1:6" x14ac:dyDescent="0.35">
      <c r="A275">
        <f t="shared" si="14"/>
        <v>0</v>
      </c>
      <c r="B275">
        <f t="shared" si="15"/>
        <v>25</v>
      </c>
      <c r="C275" s="7" t="s">
        <v>101</v>
      </c>
      <c r="D275" s="18">
        <f>VLOOKUP(C275,'DISTRIBUIÇÃO NF4267'!$E$3:$FQ$75,MATCH(B275,'DISTRIBUIÇÃO NF4267'!$E$3:$FQ$3,0)+1,0)</f>
        <v>4</v>
      </c>
      <c r="F275" s="28">
        <f t="shared" si="13"/>
        <v>5</v>
      </c>
    </row>
    <row r="276" spans="1:6" x14ac:dyDescent="0.35">
      <c r="A276">
        <f t="shared" si="14"/>
        <v>0</v>
      </c>
      <c r="B276">
        <f t="shared" si="15"/>
        <v>25</v>
      </c>
      <c r="C276" s="7" t="s">
        <v>102</v>
      </c>
      <c r="D276" s="18">
        <f>VLOOKUP(C276,'DISTRIBUIÇÃO NF4267'!$E$3:$FQ$75,MATCH(B276,'DISTRIBUIÇÃO NF4267'!$E$3:$FQ$3,0)+1,0)</f>
        <v>4</v>
      </c>
      <c r="F276" s="28">
        <f t="shared" si="13"/>
        <v>5</v>
      </c>
    </row>
    <row r="277" spans="1:6" x14ac:dyDescent="0.35">
      <c r="A277">
        <f t="shared" si="14"/>
        <v>0</v>
      </c>
      <c r="B277">
        <f t="shared" si="15"/>
        <v>25</v>
      </c>
      <c r="C277" s="7" t="s">
        <v>103</v>
      </c>
      <c r="D277" s="18">
        <f>VLOOKUP(C277,'DISTRIBUIÇÃO NF4267'!$E$3:$FQ$75,MATCH(B277,'DISTRIBUIÇÃO NF4267'!$E$3:$FQ$3,0)+1,0)</f>
        <v>0</v>
      </c>
      <c r="F277" s="28">
        <f t="shared" si="13"/>
        <v>5</v>
      </c>
    </row>
    <row r="278" spans="1:6" x14ac:dyDescent="0.35">
      <c r="A278">
        <f t="shared" si="14"/>
        <v>0</v>
      </c>
      <c r="B278">
        <f t="shared" si="15"/>
        <v>25</v>
      </c>
      <c r="C278" s="8" t="s">
        <v>107</v>
      </c>
      <c r="D278" s="18">
        <f>VLOOKUP(C278,'DISTRIBUIÇÃO NF4267'!$E$3:$FQ$75,MATCH(B278,'DISTRIBUIÇÃO NF4267'!$E$3:$FQ$3,0)+1,0)</f>
        <v>0</v>
      </c>
      <c r="F278" s="28">
        <f t="shared" si="13"/>
        <v>5</v>
      </c>
    </row>
    <row r="279" spans="1:6" x14ac:dyDescent="0.35">
      <c r="A279">
        <f t="shared" si="14"/>
        <v>0</v>
      </c>
      <c r="B279">
        <f t="shared" si="15"/>
        <v>25</v>
      </c>
      <c r="C279" s="8" t="s">
        <v>108</v>
      </c>
      <c r="D279" s="18">
        <f>VLOOKUP(C279,'DISTRIBUIÇÃO NF4267'!$E$3:$FQ$75,MATCH(B279,'DISTRIBUIÇÃO NF4267'!$E$3:$FQ$3,0)+1,0)</f>
        <v>6</v>
      </c>
      <c r="F279" s="28">
        <f t="shared" si="13"/>
        <v>5</v>
      </c>
    </row>
    <row r="280" spans="1:6" x14ac:dyDescent="0.35">
      <c r="A280">
        <f t="shared" si="14"/>
        <v>0</v>
      </c>
      <c r="B280">
        <f t="shared" si="15"/>
        <v>25</v>
      </c>
      <c r="C280" s="8" t="s">
        <v>109</v>
      </c>
      <c r="D280" s="18">
        <f>VLOOKUP(C280,'DISTRIBUIÇÃO NF4267'!$E$3:$FQ$75,MATCH(B280,'DISTRIBUIÇÃO NF4267'!$E$3:$FQ$3,0)+1,0)</f>
        <v>12</v>
      </c>
      <c r="F280" s="28">
        <f t="shared" si="13"/>
        <v>5</v>
      </c>
    </row>
    <row r="281" spans="1:6" x14ac:dyDescent="0.35">
      <c r="A281">
        <f t="shared" si="14"/>
        <v>0</v>
      </c>
      <c r="B281">
        <f t="shared" si="15"/>
        <v>25</v>
      </c>
      <c r="C281" s="8" t="s">
        <v>110</v>
      </c>
      <c r="D281" s="18">
        <f>VLOOKUP(C281,'DISTRIBUIÇÃO NF4267'!$E$3:$FQ$75,MATCH(B281,'DISTRIBUIÇÃO NF4267'!$E$3:$FQ$3,0)+1,0)</f>
        <v>6</v>
      </c>
      <c r="F281" s="28">
        <f t="shared" si="13"/>
        <v>5</v>
      </c>
    </row>
    <row r="282" spans="1:6" x14ac:dyDescent="0.35">
      <c r="A282">
        <f t="shared" si="14"/>
        <v>0</v>
      </c>
      <c r="B282">
        <f t="shared" si="15"/>
        <v>25</v>
      </c>
      <c r="C282" s="8" t="s">
        <v>111</v>
      </c>
      <c r="D282" s="18">
        <f>VLOOKUP(C282,'DISTRIBUIÇÃO NF4267'!$E$3:$FQ$75,MATCH(B282,'DISTRIBUIÇÃO NF4267'!$E$3:$FQ$3,0)+1,0)</f>
        <v>6</v>
      </c>
      <c r="F282" s="28">
        <f t="shared" si="13"/>
        <v>5</v>
      </c>
    </row>
    <row r="283" spans="1:6" x14ac:dyDescent="0.35">
      <c r="A283">
        <f t="shared" si="14"/>
        <v>0</v>
      </c>
      <c r="B283">
        <f t="shared" si="15"/>
        <v>25</v>
      </c>
      <c r="C283" s="8" t="s">
        <v>112</v>
      </c>
      <c r="D283" s="18">
        <f>VLOOKUP(C283,'DISTRIBUIÇÃO NF4267'!$E$3:$FQ$75,MATCH(B283,'DISTRIBUIÇÃO NF4267'!$E$3:$FQ$3,0)+1,0)</f>
        <v>0</v>
      </c>
      <c r="F283" s="28">
        <f t="shared" si="13"/>
        <v>5</v>
      </c>
    </row>
    <row r="284" spans="1:6" x14ac:dyDescent="0.35">
      <c r="A284">
        <f t="shared" si="14"/>
        <v>0</v>
      </c>
      <c r="B284">
        <f t="shared" si="15"/>
        <v>25</v>
      </c>
      <c r="C284" s="9" t="s">
        <v>113</v>
      </c>
      <c r="D284" s="18">
        <f>VLOOKUP(C284,'DISTRIBUIÇÃO NF4267'!$E$3:$FQ$75,MATCH(B284,'DISTRIBUIÇÃO NF4267'!$E$3:$FQ$3,0)+1,0)</f>
        <v>0</v>
      </c>
      <c r="F284" s="28">
        <f t="shared" si="13"/>
        <v>5</v>
      </c>
    </row>
    <row r="285" spans="1:6" x14ac:dyDescent="0.35">
      <c r="A285">
        <f t="shared" si="14"/>
        <v>0</v>
      </c>
      <c r="B285">
        <f t="shared" si="15"/>
        <v>25</v>
      </c>
      <c r="C285" s="9" t="s">
        <v>114</v>
      </c>
      <c r="D285" s="18">
        <f>VLOOKUP(C285,'DISTRIBUIÇÃO NF4267'!$E$3:$FQ$75,MATCH(B285,'DISTRIBUIÇÃO NF4267'!$E$3:$FQ$3,0)+1,0)</f>
        <v>9</v>
      </c>
      <c r="F285" s="28">
        <f t="shared" si="13"/>
        <v>5</v>
      </c>
    </row>
    <row r="286" spans="1:6" x14ac:dyDescent="0.35">
      <c r="A286">
        <f t="shared" si="14"/>
        <v>0</v>
      </c>
      <c r="B286">
        <f t="shared" si="15"/>
        <v>25</v>
      </c>
      <c r="C286" s="9" t="s">
        <v>115</v>
      </c>
      <c r="D286" s="18">
        <f>VLOOKUP(C286,'DISTRIBUIÇÃO NF4267'!$E$3:$FQ$75,MATCH(B286,'DISTRIBUIÇÃO NF4267'!$E$3:$FQ$3,0)+1,0)</f>
        <v>12</v>
      </c>
      <c r="F286" s="28">
        <f t="shared" si="13"/>
        <v>5</v>
      </c>
    </row>
    <row r="287" spans="1:6" x14ac:dyDescent="0.35">
      <c r="A287">
        <f t="shared" si="14"/>
        <v>0</v>
      </c>
      <c r="B287">
        <f t="shared" si="15"/>
        <v>25</v>
      </c>
      <c r="C287" s="9" t="s">
        <v>116</v>
      </c>
      <c r="D287" s="18">
        <f>VLOOKUP(C287,'DISTRIBUIÇÃO NF4267'!$E$3:$FQ$75,MATCH(B287,'DISTRIBUIÇÃO NF4267'!$E$3:$FQ$3,0)+1,0)</f>
        <v>6</v>
      </c>
      <c r="F287" s="28">
        <f t="shared" si="13"/>
        <v>5</v>
      </c>
    </row>
    <row r="288" spans="1:6" x14ac:dyDescent="0.35">
      <c r="A288">
        <f t="shared" si="14"/>
        <v>0</v>
      </c>
      <c r="B288">
        <f t="shared" si="15"/>
        <v>25</v>
      </c>
      <c r="C288" s="9" t="s">
        <v>117</v>
      </c>
      <c r="D288" s="18">
        <f>VLOOKUP(C288,'DISTRIBUIÇÃO NF4267'!$E$3:$FQ$75,MATCH(B288,'DISTRIBUIÇÃO NF4267'!$E$3:$FQ$3,0)+1,0)</f>
        <v>3</v>
      </c>
      <c r="F288" s="28">
        <f t="shared" si="13"/>
        <v>5</v>
      </c>
    </row>
    <row r="289" spans="1:6" x14ac:dyDescent="0.35">
      <c r="A289">
        <f t="shared" si="14"/>
        <v>0</v>
      </c>
      <c r="B289">
        <f t="shared" si="15"/>
        <v>25</v>
      </c>
      <c r="C289" s="9" t="s">
        <v>118</v>
      </c>
      <c r="D289" s="18">
        <f>VLOOKUP(C289,'DISTRIBUIÇÃO NF4267'!$E$3:$FQ$75,MATCH(B289,'DISTRIBUIÇÃO NF4267'!$E$3:$FQ$3,0)+1,0)</f>
        <v>0</v>
      </c>
      <c r="F289" s="28">
        <f t="shared" si="13"/>
        <v>5</v>
      </c>
    </row>
    <row r="290" spans="1:6" x14ac:dyDescent="0.35">
      <c r="A290">
        <f t="shared" si="14"/>
        <v>0</v>
      </c>
      <c r="B290">
        <f t="shared" si="15"/>
        <v>25</v>
      </c>
      <c r="C290" s="10" t="s">
        <v>119</v>
      </c>
      <c r="D290" s="18">
        <f>VLOOKUP(C290,'DISTRIBUIÇÃO NF4267'!$E$3:$FQ$75,MATCH(B290,'DISTRIBUIÇÃO NF4267'!$E$3:$FQ$3,0)+1,0)</f>
        <v>0</v>
      </c>
      <c r="F290" s="28">
        <f t="shared" si="13"/>
        <v>5</v>
      </c>
    </row>
    <row r="291" spans="1:6" x14ac:dyDescent="0.35">
      <c r="A291">
        <f t="shared" si="14"/>
        <v>0</v>
      </c>
      <c r="B291">
        <f t="shared" si="15"/>
        <v>25</v>
      </c>
      <c r="C291" s="10" t="s">
        <v>120</v>
      </c>
      <c r="D291" s="18">
        <f>VLOOKUP(C291,'DISTRIBUIÇÃO NF4267'!$E$3:$FQ$75,MATCH(B291,'DISTRIBUIÇÃO NF4267'!$E$3:$FQ$3,0)+1,0)</f>
        <v>60</v>
      </c>
      <c r="F291" s="28">
        <f t="shared" si="13"/>
        <v>5</v>
      </c>
    </row>
    <row r="292" spans="1:6" x14ac:dyDescent="0.35">
      <c r="A292">
        <f t="shared" si="14"/>
        <v>0</v>
      </c>
      <c r="B292">
        <f t="shared" si="15"/>
        <v>25</v>
      </c>
      <c r="C292" s="10" t="s">
        <v>121</v>
      </c>
      <c r="D292" s="18">
        <f>VLOOKUP(C292,'DISTRIBUIÇÃO NF4267'!$E$3:$FQ$75,MATCH(B292,'DISTRIBUIÇÃO NF4267'!$E$3:$FQ$3,0)+1,0)</f>
        <v>20</v>
      </c>
      <c r="F292" s="28">
        <f t="shared" si="13"/>
        <v>5</v>
      </c>
    </row>
    <row r="293" spans="1:6" x14ac:dyDescent="0.35">
      <c r="A293">
        <f t="shared" si="14"/>
        <v>0</v>
      </c>
      <c r="B293">
        <f t="shared" si="15"/>
        <v>25</v>
      </c>
      <c r="C293" s="10" t="s">
        <v>122</v>
      </c>
      <c r="D293" s="18">
        <f>VLOOKUP(C293,'DISTRIBUIÇÃO NF4267'!$E$3:$FQ$75,MATCH(B293,'DISTRIBUIÇÃO NF4267'!$E$3:$FQ$3,0)+1,0)</f>
        <v>20</v>
      </c>
      <c r="F293" s="28">
        <f t="shared" si="13"/>
        <v>5</v>
      </c>
    </row>
    <row r="294" spans="1:6" x14ac:dyDescent="0.35">
      <c r="A294">
        <f t="shared" si="14"/>
        <v>0</v>
      </c>
      <c r="B294">
        <f t="shared" si="15"/>
        <v>25</v>
      </c>
      <c r="C294" s="10" t="s">
        <v>123</v>
      </c>
      <c r="D294" s="18">
        <f>VLOOKUP(C294,'DISTRIBUIÇÃO NF4267'!$E$3:$FQ$75,MATCH(B294,'DISTRIBUIÇÃO NF4267'!$E$3:$FQ$3,0)+1,0)</f>
        <v>0</v>
      </c>
      <c r="F294" s="28">
        <f t="shared" si="13"/>
        <v>5</v>
      </c>
    </row>
    <row r="295" spans="1:6" x14ac:dyDescent="0.35">
      <c r="A295">
        <f t="shared" si="14"/>
        <v>0</v>
      </c>
      <c r="B295">
        <f t="shared" si="15"/>
        <v>25</v>
      </c>
      <c r="C295" s="10" t="s">
        <v>124</v>
      </c>
      <c r="D295" s="18">
        <f>VLOOKUP(C295,'DISTRIBUIÇÃO NF4267'!$E$3:$FQ$75,MATCH(B295,'DISTRIBUIÇÃO NF4267'!$E$3:$FQ$3,0)+1,0)</f>
        <v>0</v>
      </c>
      <c r="F295" s="28">
        <f t="shared" si="13"/>
        <v>5</v>
      </c>
    </row>
    <row r="296" spans="1:6" x14ac:dyDescent="0.35">
      <c r="A296">
        <f t="shared" si="14"/>
        <v>0</v>
      </c>
      <c r="B296">
        <f t="shared" si="15"/>
        <v>25</v>
      </c>
      <c r="C296" s="11" t="s">
        <v>16</v>
      </c>
      <c r="D296" s="18">
        <f>VLOOKUP(C296,'DISTRIBUIÇÃO NF4267'!$E$3:$FQ$75,MATCH(B296,'DISTRIBUIÇÃO NF4267'!$E$3:$FQ$3,0)+1,0)</f>
        <v>0</v>
      </c>
      <c r="F296" s="28">
        <f t="shared" si="13"/>
        <v>5</v>
      </c>
    </row>
    <row r="297" spans="1:6" x14ac:dyDescent="0.35">
      <c r="A297">
        <f t="shared" si="14"/>
        <v>0</v>
      </c>
      <c r="B297">
        <f t="shared" si="15"/>
        <v>25</v>
      </c>
      <c r="C297" s="11" t="s">
        <v>17</v>
      </c>
      <c r="D297" s="18">
        <f>VLOOKUP(C297,'DISTRIBUIÇÃO NF4267'!$E$3:$FQ$75,MATCH(B297,'DISTRIBUIÇÃO NF4267'!$E$3:$FQ$3,0)+1,0)</f>
        <v>12</v>
      </c>
      <c r="F297" s="28">
        <f t="shared" si="13"/>
        <v>5</v>
      </c>
    </row>
    <row r="298" spans="1:6" x14ac:dyDescent="0.35">
      <c r="A298">
        <f t="shared" si="14"/>
        <v>0</v>
      </c>
      <c r="B298">
        <f t="shared" si="15"/>
        <v>25</v>
      </c>
      <c r="C298" s="11" t="s">
        <v>18</v>
      </c>
      <c r="D298" s="18">
        <f>VLOOKUP(C298,'DISTRIBUIÇÃO NF4267'!$E$3:$FQ$75,MATCH(B298,'DISTRIBUIÇÃO NF4267'!$E$3:$FQ$3,0)+1,0)</f>
        <v>4</v>
      </c>
      <c r="F298" s="28">
        <f t="shared" si="13"/>
        <v>5</v>
      </c>
    </row>
    <row r="299" spans="1:6" x14ac:dyDescent="0.35">
      <c r="A299">
        <f t="shared" si="14"/>
        <v>0</v>
      </c>
      <c r="B299">
        <f t="shared" si="15"/>
        <v>25</v>
      </c>
      <c r="C299" s="11" t="s">
        <v>19</v>
      </c>
      <c r="D299" s="18">
        <f>VLOOKUP(C299,'DISTRIBUIÇÃO NF4267'!$E$3:$FQ$75,MATCH(B299,'DISTRIBUIÇÃO NF4267'!$E$3:$FQ$3,0)+1,0)</f>
        <v>4</v>
      </c>
      <c r="F299" s="28">
        <f t="shared" si="13"/>
        <v>5</v>
      </c>
    </row>
    <row r="300" spans="1:6" x14ac:dyDescent="0.35">
      <c r="A300">
        <f t="shared" si="14"/>
        <v>0</v>
      </c>
      <c r="B300">
        <f t="shared" si="15"/>
        <v>25</v>
      </c>
      <c r="C300" s="11" t="s">
        <v>20</v>
      </c>
      <c r="D300" s="18">
        <f>VLOOKUP(C300,'DISTRIBUIÇÃO NF4267'!$E$3:$FQ$75,MATCH(B300,'DISTRIBUIÇÃO NF4267'!$E$3:$FQ$3,0)+1,0)</f>
        <v>20</v>
      </c>
      <c r="F300" s="28">
        <f t="shared" si="13"/>
        <v>5</v>
      </c>
    </row>
    <row r="301" spans="1:6" x14ac:dyDescent="0.35">
      <c r="A301">
        <f t="shared" si="14"/>
        <v>0</v>
      </c>
      <c r="B301">
        <f t="shared" si="15"/>
        <v>25</v>
      </c>
      <c r="C301" s="11" t="s">
        <v>21</v>
      </c>
      <c r="D301" s="18">
        <f>VLOOKUP(C301,'DISTRIBUIÇÃO NF4267'!$E$3:$FQ$75,MATCH(B301,'DISTRIBUIÇÃO NF4267'!$E$3:$FQ$3,0)+1,0)</f>
        <v>0</v>
      </c>
      <c r="F301" s="28">
        <f t="shared" si="13"/>
        <v>5</v>
      </c>
    </row>
    <row r="302" spans="1:6" x14ac:dyDescent="0.35">
      <c r="A302">
        <f t="shared" si="14"/>
        <v>0</v>
      </c>
      <c r="B302">
        <f t="shared" si="15"/>
        <v>25</v>
      </c>
      <c r="C302" s="12" t="s">
        <v>130</v>
      </c>
      <c r="D302" s="18">
        <f>VLOOKUP(C302,'DISTRIBUIÇÃO NF4267'!$E$3:$FQ$75,MATCH(B302,'DISTRIBUIÇÃO NF4267'!$E$3:$FQ$3,0)+1,0)</f>
        <v>0</v>
      </c>
      <c r="F302" s="28">
        <f t="shared" si="13"/>
        <v>5</v>
      </c>
    </row>
    <row r="303" spans="1:6" x14ac:dyDescent="0.35">
      <c r="A303">
        <f t="shared" si="14"/>
        <v>0</v>
      </c>
      <c r="B303">
        <f t="shared" si="15"/>
        <v>25</v>
      </c>
      <c r="C303" s="12" t="s">
        <v>131</v>
      </c>
      <c r="D303" s="18">
        <f>VLOOKUP(C303,'DISTRIBUIÇÃO NF4267'!$E$3:$FQ$75,MATCH(B303,'DISTRIBUIÇÃO NF4267'!$E$3:$FQ$3,0)+1,0)</f>
        <v>3</v>
      </c>
      <c r="F303" s="28">
        <f t="shared" si="13"/>
        <v>5</v>
      </c>
    </row>
    <row r="304" spans="1:6" x14ac:dyDescent="0.35">
      <c r="A304">
        <f t="shared" si="14"/>
        <v>0</v>
      </c>
      <c r="B304">
        <f t="shared" si="15"/>
        <v>25</v>
      </c>
      <c r="C304" s="12" t="s">
        <v>132</v>
      </c>
      <c r="D304" s="18">
        <f>VLOOKUP(C304,'DISTRIBUIÇÃO NF4267'!$E$3:$FQ$75,MATCH(B304,'DISTRIBUIÇÃO NF4267'!$E$3:$FQ$3,0)+1,0)</f>
        <v>12</v>
      </c>
      <c r="F304" s="28">
        <f t="shared" si="13"/>
        <v>5</v>
      </c>
    </row>
    <row r="305" spans="1:6" x14ac:dyDescent="0.35">
      <c r="A305">
        <f t="shared" si="14"/>
        <v>0</v>
      </c>
      <c r="B305">
        <f t="shared" si="15"/>
        <v>25</v>
      </c>
      <c r="C305" s="12" t="s">
        <v>133</v>
      </c>
      <c r="D305" s="18">
        <f>VLOOKUP(C305,'DISTRIBUIÇÃO NF4267'!$E$3:$FQ$75,MATCH(B305,'DISTRIBUIÇÃO NF4267'!$E$3:$FQ$3,0)+1,0)</f>
        <v>9</v>
      </c>
      <c r="F305" s="28">
        <f t="shared" si="13"/>
        <v>5</v>
      </c>
    </row>
    <row r="306" spans="1:6" x14ac:dyDescent="0.35">
      <c r="A306">
        <f t="shared" si="14"/>
        <v>0</v>
      </c>
      <c r="B306">
        <f t="shared" si="15"/>
        <v>25</v>
      </c>
      <c r="C306" s="12" t="s">
        <v>134</v>
      </c>
      <c r="D306" s="18">
        <f>VLOOKUP(C306,'DISTRIBUIÇÃO NF4267'!$E$3:$FQ$75,MATCH(B306,'DISTRIBUIÇÃO NF4267'!$E$3:$FQ$3,0)+1,0)</f>
        <v>6</v>
      </c>
      <c r="F306" s="28">
        <f t="shared" si="13"/>
        <v>5</v>
      </c>
    </row>
    <row r="307" spans="1:6" x14ac:dyDescent="0.35">
      <c r="A307">
        <f t="shared" si="14"/>
        <v>0</v>
      </c>
      <c r="B307">
        <f t="shared" si="15"/>
        <v>25</v>
      </c>
      <c r="C307" s="12" t="s">
        <v>135</v>
      </c>
      <c r="D307" s="18">
        <f>VLOOKUP(C307,'DISTRIBUIÇÃO NF4267'!$E$3:$FQ$75,MATCH(B307,'DISTRIBUIÇÃO NF4267'!$E$3:$FQ$3,0)+1,0)</f>
        <v>0</v>
      </c>
      <c r="F307" s="28">
        <f t="shared" si="13"/>
        <v>5</v>
      </c>
    </row>
    <row r="308" spans="1:6" x14ac:dyDescent="0.35">
      <c r="A308">
        <f t="shared" si="14"/>
        <v>0</v>
      </c>
      <c r="B308">
        <f t="shared" si="15"/>
        <v>25</v>
      </c>
      <c r="C308" s="13" t="s">
        <v>22</v>
      </c>
      <c r="D308" s="18">
        <f>VLOOKUP(C308,'DISTRIBUIÇÃO NF4267'!$E$3:$FQ$75,MATCH(B308,'DISTRIBUIÇÃO NF4267'!$E$3:$FQ$3,0)+1,0)</f>
        <v>0</v>
      </c>
      <c r="F308" s="28">
        <f t="shared" si="13"/>
        <v>5</v>
      </c>
    </row>
    <row r="309" spans="1:6" x14ac:dyDescent="0.35">
      <c r="A309">
        <f t="shared" si="14"/>
        <v>0</v>
      </c>
      <c r="B309">
        <f t="shared" si="15"/>
        <v>25</v>
      </c>
      <c r="C309" s="13" t="s">
        <v>23</v>
      </c>
      <c r="D309" s="18">
        <f>VLOOKUP(C309,'DISTRIBUIÇÃO NF4267'!$E$3:$FQ$75,MATCH(B309,'DISTRIBUIÇÃO NF4267'!$E$3:$FQ$3,0)+1,0)</f>
        <v>2</v>
      </c>
      <c r="F309" s="28">
        <f t="shared" si="13"/>
        <v>5</v>
      </c>
    </row>
    <row r="310" spans="1:6" x14ac:dyDescent="0.35">
      <c r="A310">
        <f t="shared" si="14"/>
        <v>0</v>
      </c>
      <c r="B310">
        <f t="shared" si="15"/>
        <v>25</v>
      </c>
      <c r="C310" s="13" t="s">
        <v>24</v>
      </c>
      <c r="D310" s="18">
        <f>VLOOKUP(C310,'DISTRIBUIÇÃO NF4267'!$E$3:$FQ$75,MATCH(B310,'DISTRIBUIÇÃO NF4267'!$E$3:$FQ$3,0)+1,0)</f>
        <v>12</v>
      </c>
      <c r="F310" s="28">
        <f t="shared" si="13"/>
        <v>5</v>
      </c>
    </row>
    <row r="311" spans="1:6" x14ac:dyDescent="0.35">
      <c r="A311">
        <f t="shared" si="14"/>
        <v>0</v>
      </c>
      <c r="B311">
        <f t="shared" si="15"/>
        <v>25</v>
      </c>
      <c r="C311" s="13" t="s">
        <v>25</v>
      </c>
      <c r="D311" s="18">
        <f>VLOOKUP(C311,'DISTRIBUIÇÃO NF4267'!$E$3:$FQ$75,MATCH(B311,'DISTRIBUIÇÃO NF4267'!$E$3:$FQ$3,0)+1,0)</f>
        <v>4</v>
      </c>
      <c r="F311" s="28">
        <f t="shared" si="13"/>
        <v>5</v>
      </c>
    </row>
    <row r="312" spans="1:6" x14ac:dyDescent="0.35">
      <c r="A312">
        <f t="shared" si="14"/>
        <v>0</v>
      </c>
      <c r="B312">
        <f t="shared" si="15"/>
        <v>25</v>
      </c>
      <c r="C312" s="13" t="s">
        <v>26</v>
      </c>
      <c r="D312" s="18">
        <f>VLOOKUP(C312,'DISTRIBUIÇÃO NF4267'!$E$3:$FQ$75,MATCH(B312,'DISTRIBUIÇÃO NF4267'!$E$3:$FQ$3,0)+1,0)</f>
        <v>2</v>
      </c>
      <c r="F312" s="28">
        <f t="shared" ref="F312:F375" si="16">ROUNDUP(SUMIFS(D:D,B:B,B312)/80,0)</f>
        <v>5</v>
      </c>
    </row>
    <row r="313" spans="1:6" x14ac:dyDescent="0.35">
      <c r="A313">
        <f t="shared" si="14"/>
        <v>0</v>
      </c>
      <c r="B313">
        <f t="shared" si="15"/>
        <v>25</v>
      </c>
      <c r="C313" s="13" t="s">
        <v>27</v>
      </c>
      <c r="D313" s="18">
        <f>VLOOKUP(C313,'DISTRIBUIÇÃO NF4267'!$E$3:$FQ$75,MATCH(B313,'DISTRIBUIÇÃO NF4267'!$E$3:$FQ$3,0)+1,0)</f>
        <v>0</v>
      </c>
      <c r="F313" s="28">
        <f t="shared" si="16"/>
        <v>5</v>
      </c>
    </row>
    <row r="314" spans="1:6" x14ac:dyDescent="0.35">
      <c r="A314">
        <f t="shared" si="14"/>
        <v>0</v>
      </c>
      <c r="B314">
        <f t="shared" si="15"/>
        <v>25</v>
      </c>
      <c r="C314" s="14" t="s">
        <v>138</v>
      </c>
      <c r="D314" s="18">
        <f>VLOOKUP(C314,'DISTRIBUIÇÃO NF4267'!$E$3:$FQ$75,MATCH(B314,'DISTRIBUIÇÃO NF4267'!$E$3:$FQ$3,0)+1,0)</f>
        <v>0</v>
      </c>
      <c r="F314" s="28">
        <f t="shared" si="16"/>
        <v>5</v>
      </c>
    </row>
    <row r="315" spans="1:6" x14ac:dyDescent="0.35">
      <c r="A315">
        <f t="shared" si="14"/>
        <v>0</v>
      </c>
      <c r="B315">
        <f t="shared" si="15"/>
        <v>25</v>
      </c>
      <c r="C315" s="14" t="s">
        <v>139</v>
      </c>
      <c r="D315" s="18">
        <f>VLOOKUP(C315,'DISTRIBUIÇÃO NF4267'!$E$3:$FQ$75,MATCH(B315,'DISTRIBUIÇÃO NF4267'!$E$3:$FQ$3,0)+1,0)</f>
        <v>10</v>
      </c>
      <c r="F315" s="28">
        <f t="shared" si="16"/>
        <v>5</v>
      </c>
    </row>
    <row r="316" spans="1:6" x14ac:dyDescent="0.35">
      <c r="A316">
        <f t="shared" si="14"/>
        <v>0</v>
      </c>
      <c r="B316">
        <f t="shared" si="15"/>
        <v>25</v>
      </c>
      <c r="C316" s="14" t="s">
        <v>140</v>
      </c>
      <c r="D316" s="18">
        <f>VLOOKUP(C316,'DISTRIBUIÇÃO NF4267'!$E$3:$FQ$75,MATCH(B316,'DISTRIBUIÇÃO NF4267'!$E$3:$FQ$3,0)+1,0)</f>
        <v>20</v>
      </c>
      <c r="F316" s="28">
        <f t="shared" si="16"/>
        <v>5</v>
      </c>
    </row>
    <row r="317" spans="1:6" x14ac:dyDescent="0.35">
      <c r="A317">
        <f t="shared" si="14"/>
        <v>0</v>
      </c>
      <c r="B317">
        <f t="shared" si="15"/>
        <v>25</v>
      </c>
      <c r="C317" s="14" t="s">
        <v>141</v>
      </c>
      <c r="D317" s="18">
        <f>VLOOKUP(C317,'DISTRIBUIÇÃO NF4267'!$E$3:$FQ$75,MATCH(B317,'DISTRIBUIÇÃO NF4267'!$E$3:$FQ$3,0)+1,0)</f>
        <v>10</v>
      </c>
      <c r="F317" s="28">
        <f t="shared" si="16"/>
        <v>5</v>
      </c>
    </row>
    <row r="318" spans="1:6" x14ac:dyDescent="0.35">
      <c r="A318">
        <f t="shared" si="14"/>
        <v>0</v>
      </c>
      <c r="B318">
        <f t="shared" si="15"/>
        <v>25</v>
      </c>
      <c r="C318" s="14" t="s">
        <v>142</v>
      </c>
      <c r="D318" s="18">
        <f>VLOOKUP(C318,'DISTRIBUIÇÃO NF4267'!$E$3:$FQ$75,MATCH(B318,'DISTRIBUIÇÃO NF4267'!$E$3:$FQ$3,0)+1,0)</f>
        <v>10</v>
      </c>
      <c r="F318" s="28">
        <f t="shared" si="16"/>
        <v>5</v>
      </c>
    </row>
    <row r="319" spans="1:6" x14ac:dyDescent="0.35">
      <c r="A319">
        <f t="shared" si="14"/>
        <v>0</v>
      </c>
      <c r="B319">
        <f t="shared" si="15"/>
        <v>25</v>
      </c>
      <c r="C319" s="14" t="s">
        <v>143</v>
      </c>
      <c r="D319" s="18">
        <f>VLOOKUP(C319,'DISTRIBUIÇÃO NF4267'!$E$3:$FQ$75,MATCH(B319,'DISTRIBUIÇÃO NF4267'!$E$3:$FQ$3,0)+1,0)</f>
        <v>0</v>
      </c>
      <c r="F319" s="28">
        <f t="shared" si="16"/>
        <v>5</v>
      </c>
    </row>
    <row r="320" spans="1:6" x14ac:dyDescent="0.35">
      <c r="A320">
        <f t="shared" si="14"/>
        <v>0</v>
      </c>
      <c r="B320">
        <f t="shared" si="15"/>
        <v>25</v>
      </c>
      <c r="C320" s="15" t="s">
        <v>145</v>
      </c>
      <c r="D320" s="18">
        <f>VLOOKUP(C320,'DISTRIBUIÇÃO NF4267'!$E$3:$FQ$75,MATCH(B320,'DISTRIBUIÇÃO NF4267'!$E$3:$FQ$3,0)+1,0)</f>
        <v>0</v>
      </c>
      <c r="F320" s="28">
        <f t="shared" si="16"/>
        <v>5</v>
      </c>
    </row>
    <row r="321" spans="1:6" x14ac:dyDescent="0.35">
      <c r="A321">
        <f t="shared" si="14"/>
        <v>0</v>
      </c>
      <c r="B321">
        <f t="shared" si="15"/>
        <v>25</v>
      </c>
      <c r="C321" s="15" t="s">
        <v>146</v>
      </c>
      <c r="D321" s="18">
        <f>VLOOKUP(C321,'DISTRIBUIÇÃO NF4267'!$E$3:$FQ$75,MATCH(B321,'DISTRIBUIÇÃO NF4267'!$E$3:$FQ$3,0)+1,0)</f>
        <v>10</v>
      </c>
      <c r="F321" s="28">
        <f t="shared" si="16"/>
        <v>5</v>
      </c>
    </row>
    <row r="322" spans="1:6" x14ac:dyDescent="0.35">
      <c r="A322">
        <f t="shared" ref="A322:A385" si="17">IF(ISERROR(VLOOKUP(C322,I:I,1,0)),0,1)</f>
        <v>0</v>
      </c>
      <c r="B322">
        <f t="shared" si="15"/>
        <v>25</v>
      </c>
      <c r="C322" s="15" t="s">
        <v>147</v>
      </c>
      <c r="D322" s="18">
        <f>VLOOKUP(C322,'DISTRIBUIÇÃO NF4267'!$E$3:$FQ$75,MATCH(B322,'DISTRIBUIÇÃO NF4267'!$E$3:$FQ$3,0)+1,0)</f>
        <v>20</v>
      </c>
      <c r="F322" s="28">
        <f t="shared" si="16"/>
        <v>5</v>
      </c>
    </row>
    <row r="323" spans="1:6" x14ac:dyDescent="0.35">
      <c r="A323">
        <f t="shared" si="17"/>
        <v>0</v>
      </c>
      <c r="B323">
        <f t="shared" si="15"/>
        <v>25</v>
      </c>
      <c r="C323" s="15" t="s">
        <v>148</v>
      </c>
      <c r="D323" s="18">
        <f>VLOOKUP(C323,'DISTRIBUIÇÃO NF4267'!$E$3:$FQ$75,MATCH(B323,'DISTRIBUIÇÃO NF4267'!$E$3:$FQ$3,0)+1,0)</f>
        <v>10</v>
      </c>
      <c r="F323" s="28">
        <f t="shared" si="16"/>
        <v>5</v>
      </c>
    </row>
    <row r="324" spans="1:6" x14ac:dyDescent="0.35">
      <c r="A324">
        <f t="shared" si="17"/>
        <v>0</v>
      </c>
      <c r="B324">
        <f t="shared" si="15"/>
        <v>25</v>
      </c>
      <c r="C324" s="15" t="s">
        <v>149</v>
      </c>
      <c r="D324" s="18">
        <f>VLOOKUP(C324,'DISTRIBUIÇÃO NF4267'!$E$3:$FQ$75,MATCH(B324,'DISTRIBUIÇÃO NF4267'!$E$3:$FQ$3,0)+1,0)</f>
        <v>10</v>
      </c>
      <c r="F324" s="28">
        <f t="shared" si="16"/>
        <v>5</v>
      </c>
    </row>
    <row r="325" spans="1:6" x14ac:dyDescent="0.35">
      <c r="A325">
        <f t="shared" si="17"/>
        <v>0</v>
      </c>
      <c r="B325">
        <f t="shared" si="15"/>
        <v>25</v>
      </c>
      <c r="C325" s="15" t="s">
        <v>150</v>
      </c>
      <c r="D325" s="18">
        <f>VLOOKUP(C325,'DISTRIBUIÇÃO NF4267'!$E$3:$FQ$75,MATCH(B325,'DISTRIBUIÇÃO NF4267'!$E$3:$FQ$3,0)+1,0)</f>
        <v>0</v>
      </c>
      <c r="F325" s="28">
        <f t="shared" si="16"/>
        <v>5</v>
      </c>
    </row>
    <row r="326" spans="1:6" x14ac:dyDescent="0.35">
      <c r="A326">
        <f t="shared" si="17"/>
        <v>0</v>
      </c>
      <c r="B326">
        <v>48</v>
      </c>
      <c r="C326" s="7" t="s">
        <v>98</v>
      </c>
      <c r="D326" s="18">
        <f>VLOOKUP(C326,'DISTRIBUIÇÃO NF4267'!$E$3:$FQ$75,MATCH(B326,'DISTRIBUIÇÃO NF4267'!$E$3:$FQ$3,0)+1,0)</f>
        <v>0</v>
      </c>
      <c r="F326" s="28">
        <f t="shared" si="16"/>
        <v>5</v>
      </c>
    </row>
    <row r="327" spans="1:6" x14ac:dyDescent="0.35">
      <c r="A327">
        <f t="shared" si="17"/>
        <v>0</v>
      </c>
      <c r="B327">
        <f>B326</f>
        <v>48</v>
      </c>
      <c r="C327" s="7" t="s">
        <v>99</v>
      </c>
      <c r="D327" s="18">
        <f>VLOOKUP(C327,'DISTRIBUIÇÃO NF4267'!$E$3:$FQ$75,MATCH(B327,'DISTRIBUIÇÃO NF4267'!$E$3:$FQ$3,0)+1,0)</f>
        <v>4</v>
      </c>
      <c r="F327" s="28">
        <f t="shared" si="16"/>
        <v>5</v>
      </c>
    </row>
    <row r="328" spans="1:6" x14ac:dyDescent="0.35">
      <c r="A328">
        <f t="shared" si="17"/>
        <v>0</v>
      </c>
      <c r="B328">
        <f t="shared" ref="B328:B379" si="18">B327</f>
        <v>48</v>
      </c>
      <c r="C328" s="7" t="s">
        <v>100</v>
      </c>
      <c r="D328" s="18">
        <f>VLOOKUP(C328,'DISTRIBUIÇÃO NF4267'!$E$3:$FQ$75,MATCH(B328,'DISTRIBUIÇÃO NF4267'!$E$3:$FQ$3,0)+1,0)</f>
        <v>8</v>
      </c>
      <c r="F328" s="28">
        <f t="shared" si="16"/>
        <v>5</v>
      </c>
    </row>
    <row r="329" spans="1:6" x14ac:dyDescent="0.35">
      <c r="A329">
        <f t="shared" si="17"/>
        <v>0</v>
      </c>
      <c r="B329">
        <f t="shared" si="18"/>
        <v>48</v>
      </c>
      <c r="C329" s="7" t="s">
        <v>101</v>
      </c>
      <c r="D329" s="18">
        <f>VLOOKUP(C329,'DISTRIBUIÇÃO NF4267'!$E$3:$FQ$75,MATCH(B329,'DISTRIBUIÇÃO NF4267'!$E$3:$FQ$3,0)+1,0)</f>
        <v>4</v>
      </c>
      <c r="F329" s="28">
        <f t="shared" si="16"/>
        <v>5</v>
      </c>
    </row>
    <row r="330" spans="1:6" x14ac:dyDescent="0.35">
      <c r="A330">
        <f t="shared" si="17"/>
        <v>0</v>
      </c>
      <c r="B330">
        <f t="shared" si="18"/>
        <v>48</v>
      </c>
      <c r="C330" s="7" t="s">
        <v>102</v>
      </c>
      <c r="D330" s="18">
        <f>VLOOKUP(C330,'DISTRIBUIÇÃO NF4267'!$E$3:$FQ$75,MATCH(B330,'DISTRIBUIÇÃO NF4267'!$E$3:$FQ$3,0)+1,0)</f>
        <v>4</v>
      </c>
      <c r="F330" s="28">
        <f t="shared" si="16"/>
        <v>5</v>
      </c>
    </row>
    <row r="331" spans="1:6" x14ac:dyDescent="0.35">
      <c r="A331">
        <f t="shared" si="17"/>
        <v>0</v>
      </c>
      <c r="B331">
        <f t="shared" si="18"/>
        <v>48</v>
      </c>
      <c r="C331" s="7" t="s">
        <v>103</v>
      </c>
      <c r="D331" s="18">
        <f>VLOOKUP(C331,'DISTRIBUIÇÃO NF4267'!$E$3:$FQ$75,MATCH(B331,'DISTRIBUIÇÃO NF4267'!$E$3:$FQ$3,0)+1,0)</f>
        <v>0</v>
      </c>
      <c r="F331" s="28">
        <f t="shared" si="16"/>
        <v>5</v>
      </c>
    </row>
    <row r="332" spans="1:6" x14ac:dyDescent="0.35">
      <c r="A332">
        <f t="shared" si="17"/>
        <v>0</v>
      </c>
      <c r="B332">
        <f t="shared" si="18"/>
        <v>48</v>
      </c>
      <c r="C332" s="8" t="s">
        <v>107</v>
      </c>
      <c r="D332" s="18">
        <f>VLOOKUP(C332,'DISTRIBUIÇÃO NF4267'!$E$3:$FQ$75,MATCH(B332,'DISTRIBUIÇÃO NF4267'!$E$3:$FQ$3,0)+1,0)</f>
        <v>0</v>
      </c>
      <c r="F332" s="28">
        <f t="shared" si="16"/>
        <v>5</v>
      </c>
    </row>
    <row r="333" spans="1:6" x14ac:dyDescent="0.35">
      <c r="A333">
        <f t="shared" si="17"/>
        <v>0</v>
      </c>
      <c r="B333">
        <f t="shared" si="18"/>
        <v>48</v>
      </c>
      <c r="C333" s="8" t="s">
        <v>108</v>
      </c>
      <c r="D333" s="18">
        <f>VLOOKUP(C333,'DISTRIBUIÇÃO NF4267'!$E$3:$FQ$75,MATCH(B333,'DISTRIBUIÇÃO NF4267'!$E$3:$FQ$3,0)+1,0)</f>
        <v>6</v>
      </c>
      <c r="F333" s="28">
        <f t="shared" si="16"/>
        <v>5</v>
      </c>
    </row>
    <row r="334" spans="1:6" x14ac:dyDescent="0.35">
      <c r="A334">
        <f t="shared" si="17"/>
        <v>0</v>
      </c>
      <c r="B334">
        <f t="shared" si="18"/>
        <v>48</v>
      </c>
      <c r="C334" s="8" t="s">
        <v>109</v>
      </c>
      <c r="D334" s="18">
        <f>VLOOKUP(C334,'DISTRIBUIÇÃO NF4267'!$E$3:$FQ$75,MATCH(B334,'DISTRIBUIÇÃO NF4267'!$E$3:$FQ$3,0)+1,0)</f>
        <v>12</v>
      </c>
      <c r="F334" s="28">
        <f t="shared" si="16"/>
        <v>5</v>
      </c>
    </row>
    <row r="335" spans="1:6" x14ac:dyDescent="0.35">
      <c r="A335">
        <f t="shared" si="17"/>
        <v>0</v>
      </c>
      <c r="B335">
        <f t="shared" si="18"/>
        <v>48</v>
      </c>
      <c r="C335" s="8" t="s">
        <v>110</v>
      </c>
      <c r="D335" s="18">
        <f>VLOOKUP(C335,'DISTRIBUIÇÃO NF4267'!$E$3:$FQ$75,MATCH(B335,'DISTRIBUIÇÃO NF4267'!$E$3:$FQ$3,0)+1,0)</f>
        <v>6</v>
      </c>
      <c r="F335" s="28">
        <f t="shared" si="16"/>
        <v>5</v>
      </c>
    </row>
    <row r="336" spans="1:6" x14ac:dyDescent="0.35">
      <c r="A336">
        <f t="shared" si="17"/>
        <v>0</v>
      </c>
      <c r="B336">
        <f t="shared" si="18"/>
        <v>48</v>
      </c>
      <c r="C336" s="8" t="s">
        <v>111</v>
      </c>
      <c r="D336" s="18">
        <f>VLOOKUP(C336,'DISTRIBUIÇÃO NF4267'!$E$3:$FQ$75,MATCH(B336,'DISTRIBUIÇÃO NF4267'!$E$3:$FQ$3,0)+1,0)</f>
        <v>6</v>
      </c>
      <c r="F336" s="28">
        <f t="shared" si="16"/>
        <v>5</v>
      </c>
    </row>
    <row r="337" spans="1:6" x14ac:dyDescent="0.35">
      <c r="A337">
        <f t="shared" si="17"/>
        <v>0</v>
      </c>
      <c r="B337">
        <f t="shared" si="18"/>
        <v>48</v>
      </c>
      <c r="C337" s="8" t="s">
        <v>112</v>
      </c>
      <c r="D337" s="18">
        <f>VLOOKUP(C337,'DISTRIBUIÇÃO NF4267'!$E$3:$FQ$75,MATCH(B337,'DISTRIBUIÇÃO NF4267'!$E$3:$FQ$3,0)+1,0)</f>
        <v>0</v>
      </c>
      <c r="F337" s="28">
        <f t="shared" si="16"/>
        <v>5</v>
      </c>
    </row>
    <row r="338" spans="1:6" x14ac:dyDescent="0.35">
      <c r="A338">
        <f t="shared" si="17"/>
        <v>0</v>
      </c>
      <c r="B338">
        <f t="shared" si="18"/>
        <v>48</v>
      </c>
      <c r="C338" s="9" t="s">
        <v>113</v>
      </c>
      <c r="D338" s="18">
        <f>VLOOKUP(C338,'DISTRIBUIÇÃO NF4267'!$E$3:$FQ$75,MATCH(B338,'DISTRIBUIÇÃO NF4267'!$E$3:$FQ$3,0)+1,0)</f>
        <v>0</v>
      </c>
      <c r="F338" s="28">
        <f t="shared" si="16"/>
        <v>5</v>
      </c>
    </row>
    <row r="339" spans="1:6" x14ac:dyDescent="0.35">
      <c r="A339">
        <f t="shared" si="17"/>
        <v>0</v>
      </c>
      <c r="B339">
        <f t="shared" si="18"/>
        <v>48</v>
      </c>
      <c r="C339" s="9" t="s">
        <v>114</v>
      </c>
      <c r="D339" s="18">
        <f>VLOOKUP(C339,'DISTRIBUIÇÃO NF4267'!$E$3:$FQ$75,MATCH(B339,'DISTRIBUIÇÃO NF4267'!$E$3:$FQ$3,0)+1,0)</f>
        <v>9</v>
      </c>
      <c r="F339" s="28">
        <f t="shared" si="16"/>
        <v>5</v>
      </c>
    </row>
    <row r="340" spans="1:6" x14ac:dyDescent="0.35">
      <c r="A340">
        <f t="shared" si="17"/>
        <v>0</v>
      </c>
      <c r="B340">
        <f t="shared" si="18"/>
        <v>48</v>
      </c>
      <c r="C340" s="9" t="s">
        <v>115</v>
      </c>
      <c r="D340" s="18">
        <f>VLOOKUP(C340,'DISTRIBUIÇÃO NF4267'!$E$3:$FQ$75,MATCH(B340,'DISTRIBUIÇÃO NF4267'!$E$3:$FQ$3,0)+1,0)</f>
        <v>12</v>
      </c>
      <c r="F340" s="28">
        <f t="shared" si="16"/>
        <v>5</v>
      </c>
    </row>
    <row r="341" spans="1:6" x14ac:dyDescent="0.35">
      <c r="A341">
        <f t="shared" si="17"/>
        <v>0</v>
      </c>
      <c r="B341">
        <f t="shared" si="18"/>
        <v>48</v>
      </c>
      <c r="C341" s="9" t="s">
        <v>116</v>
      </c>
      <c r="D341" s="18">
        <f>VLOOKUP(C341,'DISTRIBUIÇÃO NF4267'!$E$3:$FQ$75,MATCH(B341,'DISTRIBUIÇÃO NF4267'!$E$3:$FQ$3,0)+1,0)</f>
        <v>6</v>
      </c>
      <c r="F341" s="28">
        <f t="shared" si="16"/>
        <v>5</v>
      </c>
    </row>
    <row r="342" spans="1:6" x14ac:dyDescent="0.35">
      <c r="A342">
        <f t="shared" si="17"/>
        <v>0</v>
      </c>
      <c r="B342">
        <f t="shared" si="18"/>
        <v>48</v>
      </c>
      <c r="C342" s="9" t="s">
        <v>117</v>
      </c>
      <c r="D342" s="18">
        <f>VLOOKUP(C342,'DISTRIBUIÇÃO NF4267'!$E$3:$FQ$75,MATCH(B342,'DISTRIBUIÇÃO NF4267'!$E$3:$FQ$3,0)+1,0)</f>
        <v>3</v>
      </c>
      <c r="F342" s="28">
        <f t="shared" si="16"/>
        <v>5</v>
      </c>
    </row>
    <row r="343" spans="1:6" x14ac:dyDescent="0.35">
      <c r="A343">
        <f t="shared" si="17"/>
        <v>0</v>
      </c>
      <c r="B343">
        <f t="shared" si="18"/>
        <v>48</v>
      </c>
      <c r="C343" s="9" t="s">
        <v>118</v>
      </c>
      <c r="D343" s="18">
        <f>VLOOKUP(C343,'DISTRIBUIÇÃO NF4267'!$E$3:$FQ$75,MATCH(B343,'DISTRIBUIÇÃO NF4267'!$E$3:$FQ$3,0)+1,0)</f>
        <v>0</v>
      </c>
      <c r="F343" s="28">
        <f t="shared" si="16"/>
        <v>5</v>
      </c>
    </row>
    <row r="344" spans="1:6" x14ac:dyDescent="0.35">
      <c r="A344">
        <f t="shared" si="17"/>
        <v>0</v>
      </c>
      <c r="B344">
        <f t="shared" si="18"/>
        <v>48</v>
      </c>
      <c r="C344" s="10" t="s">
        <v>119</v>
      </c>
      <c r="D344" s="18">
        <f>VLOOKUP(C344,'DISTRIBUIÇÃO NF4267'!$E$3:$FQ$75,MATCH(B344,'DISTRIBUIÇÃO NF4267'!$E$3:$FQ$3,0)+1,0)</f>
        <v>0</v>
      </c>
      <c r="F344" s="28">
        <f t="shared" si="16"/>
        <v>5</v>
      </c>
    </row>
    <row r="345" spans="1:6" x14ac:dyDescent="0.35">
      <c r="A345">
        <f t="shared" si="17"/>
        <v>0</v>
      </c>
      <c r="B345">
        <f t="shared" si="18"/>
        <v>48</v>
      </c>
      <c r="C345" s="10" t="s">
        <v>120</v>
      </c>
      <c r="D345" s="18">
        <f>VLOOKUP(C345,'DISTRIBUIÇÃO NF4267'!$E$3:$FQ$75,MATCH(B345,'DISTRIBUIÇÃO NF4267'!$E$3:$FQ$3,0)+1,0)</f>
        <v>60</v>
      </c>
      <c r="F345" s="28">
        <f t="shared" si="16"/>
        <v>5</v>
      </c>
    </row>
    <row r="346" spans="1:6" x14ac:dyDescent="0.35">
      <c r="A346">
        <f t="shared" si="17"/>
        <v>0</v>
      </c>
      <c r="B346">
        <f t="shared" si="18"/>
        <v>48</v>
      </c>
      <c r="C346" s="10" t="s">
        <v>121</v>
      </c>
      <c r="D346" s="18">
        <f>VLOOKUP(C346,'DISTRIBUIÇÃO NF4267'!$E$3:$FQ$75,MATCH(B346,'DISTRIBUIÇÃO NF4267'!$E$3:$FQ$3,0)+1,0)</f>
        <v>20</v>
      </c>
      <c r="F346" s="28">
        <f t="shared" si="16"/>
        <v>5</v>
      </c>
    </row>
    <row r="347" spans="1:6" x14ac:dyDescent="0.35">
      <c r="A347">
        <f t="shared" si="17"/>
        <v>0</v>
      </c>
      <c r="B347">
        <f t="shared" si="18"/>
        <v>48</v>
      </c>
      <c r="C347" s="10" t="s">
        <v>122</v>
      </c>
      <c r="D347" s="18">
        <f>VLOOKUP(C347,'DISTRIBUIÇÃO NF4267'!$E$3:$FQ$75,MATCH(B347,'DISTRIBUIÇÃO NF4267'!$E$3:$FQ$3,0)+1,0)</f>
        <v>20</v>
      </c>
      <c r="F347" s="28">
        <f t="shared" si="16"/>
        <v>5</v>
      </c>
    </row>
    <row r="348" spans="1:6" x14ac:dyDescent="0.35">
      <c r="A348">
        <f t="shared" si="17"/>
        <v>0</v>
      </c>
      <c r="B348">
        <f t="shared" si="18"/>
        <v>48</v>
      </c>
      <c r="C348" s="10" t="s">
        <v>123</v>
      </c>
      <c r="D348" s="18">
        <f>VLOOKUP(C348,'DISTRIBUIÇÃO NF4267'!$E$3:$FQ$75,MATCH(B348,'DISTRIBUIÇÃO NF4267'!$E$3:$FQ$3,0)+1,0)</f>
        <v>0</v>
      </c>
      <c r="F348" s="28">
        <f t="shared" si="16"/>
        <v>5</v>
      </c>
    </row>
    <row r="349" spans="1:6" x14ac:dyDescent="0.35">
      <c r="A349">
        <f t="shared" si="17"/>
        <v>0</v>
      </c>
      <c r="B349">
        <f t="shared" si="18"/>
        <v>48</v>
      </c>
      <c r="C349" s="10" t="s">
        <v>124</v>
      </c>
      <c r="D349" s="18">
        <f>VLOOKUP(C349,'DISTRIBUIÇÃO NF4267'!$E$3:$FQ$75,MATCH(B349,'DISTRIBUIÇÃO NF4267'!$E$3:$FQ$3,0)+1,0)</f>
        <v>0</v>
      </c>
      <c r="F349" s="28">
        <f t="shared" si="16"/>
        <v>5</v>
      </c>
    </row>
    <row r="350" spans="1:6" x14ac:dyDescent="0.35">
      <c r="A350">
        <f t="shared" si="17"/>
        <v>0</v>
      </c>
      <c r="B350">
        <f t="shared" si="18"/>
        <v>48</v>
      </c>
      <c r="C350" s="11" t="s">
        <v>16</v>
      </c>
      <c r="D350" s="18">
        <f>VLOOKUP(C350,'DISTRIBUIÇÃO NF4267'!$E$3:$FQ$75,MATCH(B350,'DISTRIBUIÇÃO NF4267'!$E$3:$FQ$3,0)+1,0)</f>
        <v>0</v>
      </c>
      <c r="F350" s="28">
        <f t="shared" si="16"/>
        <v>5</v>
      </c>
    </row>
    <row r="351" spans="1:6" x14ac:dyDescent="0.35">
      <c r="A351">
        <f t="shared" si="17"/>
        <v>0</v>
      </c>
      <c r="B351">
        <f t="shared" si="18"/>
        <v>48</v>
      </c>
      <c r="C351" s="11" t="s">
        <v>17</v>
      </c>
      <c r="D351" s="18">
        <f>VLOOKUP(C351,'DISTRIBUIÇÃO NF4267'!$E$3:$FQ$75,MATCH(B351,'DISTRIBUIÇÃO NF4267'!$E$3:$FQ$3,0)+1,0)</f>
        <v>12</v>
      </c>
      <c r="F351" s="28">
        <f t="shared" si="16"/>
        <v>5</v>
      </c>
    </row>
    <row r="352" spans="1:6" x14ac:dyDescent="0.35">
      <c r="A352">
        <f t="shared" si="17"/>
        <v>0</v>
      </c>
      <c r="B352">
        <f t="shared" si="18"/>
        <v>48</v>
      </c>
      <c r="C352" s="11" t="s">
        <v>18</v>
      </c>
      <c r="D352" s="18">
        <f>VLOOKUP(C352,'DISTRIBUIÇÃO NF4267'!$E$3:$FQ$75,MATCH(B352,'DISTRIBUIÇÃO NF4267'!$E$3:$FQ$3,0)+1,0)</f>
        <v>4</v>
      </c>
      <c r="F352" s="28">
        <f t="shared" si="16"/>
        <v>5</v>
      </c>
    </row>
    <row r="353" spans="1:6" x14ac:dyDescent="0.35">
      <c r="A353">
        <f t="shared" si="17"/>
        <v>0</v>
      </c>
      <c r="B353">
        <f t="shared" si="18"/>
        <v>48</v>
      </c>
      <c r="C353" s="11" t="s">
        <v>19</v>
      </c>
      <c r="D353" s="18">
        <f>VLOOKUP(C353,'DISTRIBUIÇÃO NF4267'!$E$3:$FQ$75,MATCH(B353,'DISTRIBUIÇÃO NF4267'!$E$3:$FQ$3,0)+1,0)</f>
        <v>4</v>
      </c>
      <c r="F353" s="28">
        <f t="shared" si="16"/>
        <v>5</v>
      </c>
    </row>
    <row r="354" spans="1:6" x14ac:dyDescent="0.35">
      <c r="A354">
        <f t="shared" si="17"/>
        <v>0</v>
      </c>
      <c r="B354">
        <f t="shared" si="18"/>
        <v>48</v>
      </c>
      <c r="C354" s="11" t="s">
        <v>20</v>
      </c>
      <c r="D354" s="18">
        <f>VLOOKUP(C354,'DISTRIBUIÇÃO NF4267'!$E$3:$FQ$75,MATCH(B354,'DISTRIBUIÇÃO NF4267'!$E$3:$FQ$3,0)+1,0)</f>
        <v>20</v>
      </c>
      <c r="F354" s="28">
        <f t="shared" si="16"/>
        <v>5</v>
      </c>
    </row>
    <row r="355" spans="1:6" x14ac:dyDescent="0.35">
      <c r="A355">
        <f t="shared" si="17"/>
        <v>0</v>
      </c>
      <c r="B355">
        <f t="shared" si="18"/>
        <v>48</v>
      </c>
      <c r="C355" s="11" t="s">
        <v>21</v>
      </c>
      <c r="D355" s="18">
        <f>VLOOKUP(C355,'DISTRIBUIÇÃO NF4267'!$E$3:$FQ$75,MATCH(B355,'DISTRIBUIÇÃO NF4267'!$E$3:$FQ$3,0)+1,0)</f>
        <v>0</v>
      </c>
      <c r="F355" s="28">
        <f t="shared" si="16"/>
        <v>5</v>
      </c>
    </row>
    <row r="356" spans="1:6" x14ac:dyDescent="0.35">
      <c r="A356">
        <f t="shared" si="17"/>
        <v>0</v>
      </c>
      <c r="B356">
        <f t="shared" si="18"/>
        <v>48</v>
      </c>
      <c r="C356" s="12" t="s">
        <v>130</v>
      </c>
      <c r="D356" s="18">
        <f>VLOOKUP(C356,'DISTRIBUIÇÃO NF4267'!$E$3:$FQ$75,MATCH(B356,'DISTRIBUIÇÃO NF4267'!$E$3:$FQ$3,0)+1,0)</f>
        <v>0</v>
      </c>
      <c r="F356" s="28">
        <f t="shared" si="16"/>
        <v>5</v>
      </c>
    </row>
    <row r="357" spans="1:6" x14ac:dyDescent="0.35">
      <c r="A357">
        <f t="shared" si="17"/>
        <v>0</v>
      </c>
      <c r="B357">
        <f t="shared" si="18"/>
        <v>48</v>
      </c>
      <c r="C357" s="12" t="s">
        <v>131</v>
      </c>
      <c r="D357" s="18">
        <f>VLOOKUP(C357,'DISTRIBUIÇÃO NF4267'!$E$3:$FQ$75,MATCH(B357,'DISTRIBUIÇÃO NF4267'!$E$3:$FQ$3,0)+1,0)</f>
        <v>2</v>
      </c>
      <c r="F357" s="28">
        <f t="shared" si="16"/>
        <v>5</v>
      </c>
    </row>
    <row r="358" spans="1:6" x14ac:dyDescent="0.35">
      <c r="A358">
        <f t="shared" si="17"/>
        <v>0</v>
      </c>
      <c r="B358">
        <f t="shared" si="18"/>
        <v>48</v>
      </c>
      <c r="C358" s="12" t="s">
        <v>132</v>
      </c>
      <c r="D358" s="18">
        <f>VLOOKUP(C358,'DISTRIBUIÇÃO NF4267'!$E$3:$FQ$75,MATCH(B358,'DISTRIBUIÇÃO NF4267'!$E$3:$FQ$3,0)+1,0)</f>
        <v>8</v>
      </c>
      <c r="F358" s="28">
        <f t="shared" si="16"/>
        <v>5</v>
      </c>
    </row>
    <row r="359" spans="1:6" x14ac:dyDescent="0.35">
      <c r="A359">
        <f t="shared" si="17"/>
        <v>0</v>
      </c>
      <c r="B359">
        <f t="shared" si="18"/>
        <v>48</v>
      </c>
      <c r="C359" s="12" t="s">
        <v>133</v>
      </c>
      <c r="D359" s="18">
        <f>VLOOKUP(C359,'DISTRIBUIÇÃO NF4267'!$E$3:$FQ$75,MATCH(B359,'DISTRIBUIÇÃO NF4267'!$E$3:$FQ$3,0)+1,0)</f>
        <v>6</v>
      </c>
      <c r="F359" s="28">
        <f t="shared" si="16"/>
        <v>5</v>
      </c>
    </row>
    <row r="360" spans="1:6" x14ac:dyDescent="0.35">
      <c r="A360">
        <f t="shared" si="17"/>
        <v>0</v>
      </c>
      <c r="B360">
        <f t="shared" si="18"/>
        <v>48</v>
      </c>
      <c r="C360" s="12" t="s">
        <v>134</v>
      </c>
      <c r="D360" s="18">
        <f>VLOOKUP(C360,'DISTRIBUIÇÃO NF4267'!$E$3:$FQ$75,MATCH(B360,'DISTRIBUIÇÃO NF4267'!$E$3:$FQ$3,0)+1,0)</f>
        <v>4</v>
      </c>
      <c r="F360" s="28">
        <f t="shared" si="16"/>
        <v>5</v>
      </c>
    </row>
    <row r="361" spans="1:6" x14ac:dyDescent="0.35">
      <c r="A361">
        <f t="shared" si="17"/>
        <v>0</v>
      </c>
      <c r="B361">
        <f t="shared" si="18"/>
        <v>48</v>
      </c>
      <c r="C361" s="12" t="s">
        <v>135</v>
      </c>
      <c r="D361" s="18">
        <f>VLOOKUP(C361,'DISTRIBUIÇÃO NF4267'!$E$3:$FQ$75,MATCH(B361,'DISTRIBUIÇÃO NF4267'!$E$3:$FQ$3,0)+1,0)</f>
        <v>0</v>
      </c>
      <c r="F361" s="28">
        <f t="shared" si="16"/>
        <v>5</v>
      </c>
    </row>
    <row r="362" spans="1:6" x14ac:dyDescent="0.35">
      <c r="A362">
        <f t="shared" si="17"/>
        <v>0</v>
      </c>
      <c r="B362">
        <f t="shared" si="18"/>
        <v>48</v>
      </c>
      <c r="C362" s="13" t="s">
        <v>22</v>
      </c>
      <c r="D362" s="18">
        <f>VLOOKUP(C362,'DISTRIBUIÇÃO NF4267'!$E$3:$FQ$75,MATCH(B362,'DISTRIBUIÇÃO NF4267'!$E$3:$FQ$3,0)+1,0)</f>
        <v>0</v>
      </c>
      <c r="F362" s="28">
        <f t="shared" si="16"/>
        <v>5</v>
      </c>
    </row>
    <row r="363" spans="1:6" x14ac:dyDescent="0.35">
      <c r="A363">
        <f t="shared" si="17"/>
        <v>0</v>
      </c>
      <c r="B363">
        <f t="shared" si="18"/>
        <v>48</v>
      </c>
      <c r="C363" s="13" t="s">
        <v>23</v>
      </c>
      <c r="D363" s="18">
        <f>VLOOKUP(C363,'DISTRIBUIÇÃO NF4267'!$E$3:$FQ$75,MATCH(B363,'DISTRIBUIÇÃO NF4267'!$E$3:$FQ$3,0)+1,0)</f>
        <v>2</v>
      </c>
      <c r="F363" s="28">
        <f t="shared" si="16"/>
        <v>5</v>
      </c>
    </row>
    <row r="364" spans="1:6" x14ac:dyDescent="0.35">
      <c r="A364">
        <f t="shared" si="17"/>
        <v>0</v>
      </c>
      <c r="B364">
        <f t="shared" si="18"/>
        <v>48</v>
      </c>
      <c r="C364" s="13" t="s">
        <v>24</v>
      </c>
      <c r="D364" s="18">
        <f>VLOOKUP(C364,'DISTRIBUIÇÃO NF4267'!$E$3:$FQ$75,MATCH(B364,'DISTRIBUIÇÃO NF4267'!$E$3:$FQ$3,0)+1,0)</f>
        <v>12</v>
      </c>
      <c r="F364" s="28">
        <f t="shared" si="16"/>
        <v>5</v>
      </c>
    </row>
    <row r="365" spans="1:6" x14ac:dyDescent="0.35">
      <c r="A365">
        <f t="shared" si="17"/>
        <v>0</v>
      </c>
      <c r="B365">
        <f t="shared" si="18"/>
        <v>48</v>
      </c>
      <c r="C365" s="13" t="s">
        <v>25</v>
      </c>
      <c r="D365" s="18">
        <f>VLOOKUP(C365,'DISTRIBUIÇÃO NF4267'!$E$3:$FQ$75,MATCH(B365,'DISTRIBUIÇÃO NF4267'!$E$3:$FQ$3,0)+1,0)</f>
        <v>4</v>
      </c>
      <c r="F365" s="28">
        <f t="shared" si="16"/>
        <v>5</v>
      </c>
    </row>
    <row r="366" spans="1:6" x14ac:dyDescent="0.35">
      <c r="A366">
        <f t="shared" si="17"/>
        <v>0</v>
      </c>
      <c r="B366">
        <f t="shared" si="18"/>
        <v>48</v>
      </c>
      <c r="C366" s="13" t="s">
        <v>26</v>
      </c>
      <c r="D366" s="18">
        <f>VLOOKUP(C366,'DISTRIBUIÇÃO NF4267'!$E$3:$FQ$75,MATCH(B366,'DISTRIBUIÇÃO NF4267'!$E$3:$FQ$3,0)+1,0)</f>
        <v>2</v>
      </c>
      <c r="F366" s="28">
        <f t="shared" si="16"/>
        <v>5</v>
      </c>
    </row>
    <row r="367" spans="1:6" x14ac:dyDescent="0.35">
      <c r="A367">
        <f t="shared" si="17"/>
        <v>0</v>
      </c>
      <c r="B367">
        <f t="shared" si="18"/>
        <v>48</v>
      </c>
      <c r="C367" s="13" t="s">
        <v>27</v>
      </c>
      <c r="D367" s="18">
        <f>VLOOKUP(C367,'DISTRIBUIÇÃO NF4267'!$E$3:$FQ$75,MATCH(B367,'DISTRIBUIÇÃO NF4267'!$E$3:$FQ$3,0)+1,0)</f>
        <v>0</v>
      </c>
      <c r="F367" s="28">
        <f t="shared" si="16"/>
        <v>5</v>
      </c>
    </row>
    <row r="368" spans="1:6" x14ac:dyDescent="0.35">
      <c r="A368">
        <f t="shared" si="17"/>
        <v>0</v>
      </c>
      <c r="B368">
        <f t="shared" si="18"/>
        <v>48</v>
      </c>
      <c r="C368" s="14" t="s">
        <v>138</v>
      </c>
      <c r="D368" s="18">
        <f>VLOOKUP(C368,'DISTRIBUIÇÃO NF4267'!$E$3:$FQ$75,MATCH(B368,'DISTRIBUIÇÃO NF4267'!$E$3:$FQ$3,0)+1,0)</f>
        <v>0</v>
      </c>
      <c r="F368" s="28">
        <f t="shared" si="16"/>
        <v>5</v>
      </c>
    </row>
    <row r="369" spans="1:6" x14ac:dyDescent="0.35">
      <c r="A369">
        <f t="shared" si="17"/>
        <v>0</v>
      </c>
      <c r="B369">
        <f t="shared" si="18"/>
        <v>48</v>
      </c>
      <c r="C369" s="14" t="s">
        <v>139</v>
      </c>
      <c r="D369" s="18">
        <f>VLOOKUP(C369,'DISTRIBUIÇÃO NF4267'!$E$3:$FQ$75,MATCH(B369,'DISTRIBUIÇÃO NF4267'!$E$3:$FQ$3,0)+1,0)</f>
        <v>10</v>
      </c>
      <c r="F369" s="28">
        <f t="shared" si="16"/>
        <v>5</v>
      </c>
    </row>
    <row r="370" spans="1:6" x14ac:dyDescent="0.35">
      <c r="A370">
        <f t="shared" si="17"/>
        <v>0</v>
      </c>
      <c r="B370">
        <f t="shared" si="18"/>
        <v>48</v>
      </c>
      <c r="C370" s="14" t="s">
        <v>140</v>
      </c>
      <c r="D370" s="18">
        <f>VLOOKUP(C370,'DISTRIBUIÇÃO NF4267'!$E$3:$FQ$75,MATCH(B370,'DISTRIBUIÇÃO NF4267'!$E$3:$FQ$3,0)+1,0)</f>
        <v>20</v>
      </c>
      <c r="F370" s="28">
        <f t="shared" si="16"/>
        <v>5</v>
      </c>
    </row>
    <row r="371" spans="1:6" x14ac:dyDescent="0.35">
      <c r="A371">
        <f t="shared" si="17"/>
        <v>0</v>
      </c>
      <c r="B371">
        <f t="shared" si="18"/>
        <v>48</v>
      </c>
      <c r="C371" s="14" t="s">
        <v>141</v>
      </c>
      <c r="D371" s="18">
        <f>VLOOKUP(C371,'DISTRIBUIÇÃO NF4267'!$E$3:$FQ$75,MATCH(B371,'DISTRIBUIÇÃO NF4267'!$E$3:$FQ$3,0)+1,0)</f>
        <v>10</v>
      </c>
      <c r="F371" s="28">
        <f t="shared" si="16"/>
        <v>5</v>
      </c>
    </row>
    <row r="372" spans="1:6" x14ac:dyDescent="0.35">
      <c r="A372">
        <f t="shared" si="17"/>
        <v>0</v>
      </c>
      <c r="B372">
        <f t="shared" si="18"/>
        <v>48</v>
      </c>
      <c r="C372" s="14" t="s">
        <v>142</v>
      </c>
      <c r="D372" s="18">
        <f>VLOOKUP(C372,'DISTRIBUIÇÃO NF4267'!$E$3:$FQ$75,MATCH(B372,'DISTRIBUIÇÃO NF4267'!$E$3:$FQ$3,0)+1,0)</f>
        <v>10</v>
      </c>
      <c r="F372" s="28">
        <f t="shared" si="16"/>
        <v>5</v>
      </c>
    </row>
    <row r="373" spans="1:6" x14ac:dyDescent="0.35">
      <c r="A373">
        <f t="shared" si="17"/>
        <v>0</v>
      </c>
      <c r="B373">
        <f t="shared" si="18"/>
        <v>48</v>
      </c>
      <c r="C373" s="14" t="s">
        <v>143</v>
      </c>
      <c r="D373" s="18">
        <f>VLOOKUP(C373,'DISTRIBUIÇÃO NF4267'!$E$3:$FQ$75,MATCH(B373,'DISTRIBUIÇÃO NF4267'!$E$3:$FQ$3,0)+1,0)</f>
        <v>0</v>
      </c>
      <c r="F373" s="28">
        <f t="shared" si="16"/>
        <v>5</v>
      </c>
    </row>
    <row r="374" spans="1:6" x14ac:dyDescent="0.35">
      <c r="A374">
        <f t="shared" si="17"/>
        <v>0</v>
      </c>
      <c r="B374">
        <f t="shared" si="18"/>
        <v>48</v>
      </c>
      <c r="C374" s="15" t="s">
        <v>145</v>
      </c>
      <c r="D374" s="18">
        <f>VLOOKUP(C374,'DISTRIBUIÇÃO NF4267'!$E$3:$FQ$75,MATCH(B374,'DISTRIBUIÇÃO NF4267'!$E$3:$FQ$3,0)+1,0)</f>
        <v>0</v>
      </c>
      <c r="F374" s="28">
        <f t="shared" si="16"/>
        <v>5</v>
      </c>
    </row>
    <row r="375" spans="1:6" x14ac:dyDescent="0.35">
      <c r="A375">
        <f t="shared" si="17"/>
        <v>0</v>
      </c>
      <c r="B375">
        <f t="shared" si="18"/>
        <v>48</v>
      </c>
      <c r="C375" s="15" t="s">
        <v>146</v>
      </c>
      <c r="D375" s="18">
        <f>VLOOKUP(C375,'DISTRIBUIÇÃO NF4267'!$E$3:$FQ$75,MATCH(B375,'DISTRIBUIÇÃO NF4267'!$E$3:$FQ$3,0)+1,0)</f>
        <v>10</v>
      </c>
      <c r="F375" s="28">
        <f t="shared" si="16"/>
        <v>5</v>
      </c>
    </row>
    <row r="376" spans="1:6" x14ac:dyDescent="0.35">
      <c r="A376">
        <f t="shared" si="17"/>
        <v>0</v>
      </c>
      <c r="B376">
        <f t="shared" si="18"/>
        <v>48</v>
      </c>
      <c r="C376" s="15" t="s">
        <v>147</v>
      </c>
      <c r="D376" s="18">
        <f>VLOOKUP(C376,'DISTRIBUIÇÃO NF4267'!$E$3:$FQ$75,MATCH(B376,'DISTRIBUIÇÃO NF4267'!$E$3:$FQ$3,0)+1,0)</f>
        <v>20</v>
      </c>
      <c r="F376" s="28">
        <f t="shared" ref="F376:F439" si="19">ROUNDUP(SUMIFS(D:D,B:B,B376)/80,0)</f>
        <v>5</v>
      </c>
    </row>
    <row r="377" spans="1:6" x14ac:dyDescent="0.35">
      <c r="A377">
        <f t="shared" si="17"/>
        <v>0</v>
      </c>
      <c r="B377">
        <f t="shared" si="18"/>
        <v>48</v>
      </c>
      <c r="C377" s="15" t="s">
        <v>148</v>
      </c>
      <c r="D377" s="18">
        <f>VLOOKUP(C377,'DISTRIBUIÇÃO NF4267'!$E$3:$FQ$75,MATCH(B377,'DISTRIBUIÇÃO NF4267'!$E$3:$FQ$3,0)+1,0)</f>
        <v>10</v>
      </c>
      <c r="F377" s="28">
        <f t="shared" si="19"/>
        <v>5</v>
      </c>
    </row>
    <row r="378" spans="1:6" x14ac:dyDescent="0.35">
      <c r="A378">
        <f t="shared" si="17"/>
        <v>0</v>
      </c>
      <c r="B378">
        <f t="shared" si="18"/>
        <v>48</v>
      </c>
      <c r="C378" s="15" t="s">
        <v>149</v>
      </c>
      <c r="D378" s="18">
        <f>VLOOKUP(C378,'DISTRIBUIÇÃO NF4267'!$E$3:$FQ$75,MATCH(B378,'DISTRIBUIÇÃO NF4267'!$E$3:$FQ$3,0)+1,0)</f>
        <v>10</v>
      </c>
      <c r="F378" s="28">
        <f t="shared" si="19"/>
        <v>5</v>
      </c>
    </row>
    <row r="379" spans="1:6" x14ac:dyDescent="0.35">
      <c r="A379">
        <f t="shared" si="17"/>
        <v>0</v>
      </c>
      <c r="B379">
        <f t="shared" si="18"/>
        <v>48</v>
      </c>
      <c r="C379" s="15" t="s">
        <v>150</v>
      </c>
      <c r="D379" s="18">
        <f>VLOOKUP(C379,'DISTRIBUIÇÃO NF4267'!$E$3:$FQ$75,MATCH(B379,'DISTRIBUIÇÃO NF4267'!$E$3:$FQ$3,0)+1,0)</f>
        <v>0</v>
      </c>
      <c r="F379" s="28">
        <f t="shared" si="19"/>
        <v>5</v>
      </c>
    </row>
    <row r="380" spans="1:6" x14ac:dyDescent="0.35">
      <c r="A380">
        <f t="shared" si="17"/>
        <v>0</v>
      </c>
      <c r="B380" t="s">
        <v>37</v>
      </c>
      <c r="C380" s="7" t="s">
        <v>98</v>
      </c>
      <c r="D380" s="18">
        <f>VLOOKUP(C380,'DISTRIBUIÇÃO NF4267'!$E$3:$FQ$75,MATCH(B380,'DISTRIBUIÇÃO NF4267'!$E$3:$FQ$3,0)+1,0)</f>
        <v>0</v>
      </c>
      <c r="F380" s="28">
        <f t="shared" si="19"/>
        <v>5</v>
      </c>
    </row>
    <row r="381" spans="1:6" x14ac:dyDescent="0.35">
      <c r="A381">
        <f t="shared" si="17"/>
        <v>0</v>
      </c>
      <c r="B381" t="str">
        <f>B380</f>
        <v>I2</v>
      </c>
      <c r="C381" s="7" t="s">
        <v>99</v>
      </c>
      <c r="D381" s="18">
        <f>VLOOKUP(C381,'DISTRIBUIÇÃO NF4267'!$E$3:$FQ$75,MATCH(B381,'DISTRIBUIÇÃO NF4267'!$E$3:$FQ$3,0)+1,0)</f>
        <v>4</v>
      </c>
      <c r="F381" s="28">
        <f t="shared" si="19"/>
        <v>5</v>
      </c>
    </row>
    <row r="382" spans="1:6" x14ac:dyDescent="0.35">
      <c r="A382">
        <f t="shared" si="17"/>
        <v>0</v>
      </c>
      <c r="B382" t="str">
        <f t="shared" ref="B382:B433" si="20">B381</f>
        <v>I2</v>
      </c>
      <c r="C382" s="7" t="s">
        <v>100</v>
      </c>
      <c r="D382" s="18">
        <f>VLOOKUP(C382,'DISTRIBUIÇÃO NF4267'!$E$3:$FQ$75,MATCH(B382,'DISTRIBUIÇÃO NF4267'!$E$3:$FQ$3,0)+1,0)</f>
        <v>8</v>
      </c>
      <c r="F382" s="28">
        <f t="shared" si="19"/>
        <v>5</v>
      </c>
    </row>
    <row r="383" spans="1:6" x14ac:dyDescent="0.35">
      <c r="A383">
        <f t="shared" si="17"/>
        <v>0</v>
      </c>
      <c r="B383" t="str">
        <f t="shared" si="20"/>
        <v>I2</v>
      </c>
      <c r="C383" s="7" t="s">
        <v>101</v>
      </c>
      <c r="D383" s="18">
        <f>VLOOKUP(C383,'DISTRIBUIÇÃO NF4267'!$E$3:$FQ$75,MATCH(B383,'DISTRIBUIÇÃO NF4267'!$E$3:$FQ$3,0)+1,0)</f>
        <v>4</v>
      </c>
      <c r="F383" s="28">
        <f t="shared" si="19"/>
        <v>5</v>
      </c>
    </row>
    <row r="384" spans="1:6" x14ac:dyDescent="0.35">
      <c r="A384">
        <f t="shared" si="17"/>
        <v>0</v>
      </c>
      <c r="B384" t="str">
        <f t="shared" si="20"/>
        <v>I2</v>
      </c>
      <c r="C384" s="7" t="s">
        <v>102</v>
      </c>
      <c r="D384" s="18">
        <f>VLOOKUP(C384,'DISTRIBUIÇÃO NF4267'!$E$3:$FQ$75,MATCH(B384,'DISTRIBUIÇÃO NF4267'!$E$3:$FQ$3,0)+1,0)</f>
        <v>4</v>
      </c>
      <c r="F384" s="28">
        <f t="shared" si="19"/>
        <v>5</v>
      </c>
    </row>
    <row r="385" spans="1:6" x14ac:dyDescent="0.35">
      <c r="A385">
        <f t="shared" si="17"/>
        <v>0</v>
      </c>
      <c r="B385" t="str">
        <f t="shared" si="20"/>
        <v>I2</v>
      </c>
      <c r="C385" s="7" t="s">
        <v>103</v>
      </c>
      <c r="D385" s="18">
        <f>VLOOKUP(C385,'DISTRIBUIÇÃO NF4267'!$E$3:$FQ$75,MATCH(B385,'DISTRIBUIÇÃO NF4267'!$E$3:$FQ$3,0)+1,0)</f>
        <v>0</v>
      </c>
      <c r="F385" s="28">
        <f t="shared" si="19"/>
        <v>5</v>
      </c>
    </row>
    <row r="386" spans="1:6" x14ac:dyDescent="0.35">
      <c r="A386">
        <f t="shared" ref="A386:A449" si="21">IF(ISERROR(VLOOKUP(C386,I:I,1,0)),0,1)</f>
        <v>0</v>
      </c>
      <c r="B386" t="str">
        <f t="shared" si="20"/>
        <v>I2</v>
      </c>
      <c r="C386" s="8" t="s">
        <v>107</v>
      </c>
      <c r="D386" s="18">
        <f>VLOOKUP(C386,'DISTRIBUIÇÃO NF4267'!$E$3:$FQ$75,MATCH(B386,'DISTRIBUIÇÃO NF4267'!$E$3:$FQ$3,0)+1,0)</f>
        <v>0</v>
      </c>
      <c r="F386" s="28">
        <f t="shared" si="19"/>
        <v>5</v>
      </c>
    </row>
    <row r="387" spans="1:6" x14ac:dyDescent="0.35">
      <c r="A387">
        <f t="shared" si="21"/>
        <v>0</v>
      </c>
      <c r="B387" t="str">
        <f t="shared" si="20"/>
        <v>I2</v>
      </c>
      <c r="C387" s="8" t="s">
        <v>108</v>
      </c>
      <c r="D387" s="18">
        <f>VLOOKUP(C387,'DISTRIBUIÇÃO NF4267'!$E$3:$FQ$75,MATCH(B387,'DISTRIBUIÇÃO NF4267'!$E$3:$FQ$3,0)+1,0)</f>
        <v>6</v>
      </c>
      <c r="F387" s="28">
        <f t="shared" si="19"/>
        <v>5</v>
      </c>
    </row>
    <row r="388" spans="1:6" x14ac:dyDescent="0.35">
      <c r="A388">
        <f t="shared" si="21"/>
        <v>0</v>
      </c>
      <c r="B388" t="str">
        <f t="shared" si="20"/>
        <v>I2</v>
      </c>
      <c r="C388" s="8" t="s">
        <v>109</v>
      </c>
      <c r="D388" s="18">
        <f>VLOOKUP(C388,'DISTRIBUIÇÃO NF4267'!$E$3:$FQ$75,MATCH(B388,'DISTRIBUIÇÃO NF4267'!$E$3:$FQ$3,0)+1,0)</f>
        <v>12</v>
      </c>
      <c r="F388" s="28">
        <f t="shared" si="19"/>
        <v>5</v>
      </c>
    </row>
    <row r="389" spans="1:6" x14ac:dyDescent="0.35">
      <c r="A389">
        <f t="shared" si="21"/>
        <v>0</v>
      </c>
      <c r="B389" t="str">
        <f t="shared" si="20"/>
        <v>I2</v>
      </c>
      <c r="C389" s="8" t="s">
        <v>110</v>
      </c>
      <c r="D389" s="18">
        <f>VLOOKUP(C389,'DISTRIBUIÇÃO NF4267'!$E$3:$FQ$75,MATCH(B389,'DISTRIBUIÇÃO NF4267'!$E$3:$FQ$3,0)+1,0)</f>
        <v>6</v>
      </c>
      <c r="F389" s="28">
        <f t="shared" si="19"/>
        <v>5</v>
      </c>
    </row>
    <row r="390" spans="1:6" x14ac:dyDescent="0.35">
      <c r="A390">
        <f t="shared" si="21"/>
        <v>0</v>
      </c>
      <c r="B390" t="str">
        <f t="shared" si="20"/>
        <v>I2</v>
      </c>
      <c r="C390" s="8" t="s">
        <v>111</v>
      </c>
      <c r="D390" s="18">
        <f>VLOOKUP(C390,'DISTRIBUIÇÃO NF4267'!$E$3:$FQ$75,MATCH(B390,'DISTRIBUIÇÃO NF4267'!$E$3:$FQ$3,0)+1,0)</f>
        <v>6</v>
      </c>
      <c r="F390" s="28">
        <f t="shared" si="19"/>
        <v>5</v>
      </c>
    </row>
    <row r="391" spans="1:6" x14ac:dyDescent="0.35">
      <c r="A391">
        <f t="shared" si="21"/>
        <v>0</v>
      </c>
      <c r="B391" t="str">
        <f t="shared" si="20"/>
        <v>I2</v>
      </c>
      <c r="C391" s="8" t="s">
        <v>112</v>
      </c>
      <c r="D391" s="18">
        <f>VLOOKUP(C391,'DISTRIBUIÇÃO NF4267'!$E$3:$FQ$75,MATCH(B391,'DISTRIBUIÇÃO NF4267'!$E$3:$FQ$3,0)+1,0)</f>
        <v>0</v>
      </c>
      <c r="F391" s="28">
        <f t="shared" si="19"/>
        <v>5</v>
      </c>
    </row>
    <row r="392" spans="1:6" x14ac:dyDescent="0.35">
      <c r="A392">
        <f t="shared" si="21"/>
        <v>0</v>
      </c>
      <c r="B392" t="str">
        <f t="shared" si="20"/>
        <v>I2</v>
      </c>
      <c r="C392" s="9" t="s">
        <v>113</v>
      </c>
      <c r="D392" s="18">
        <f>VLOOKUP(C392,'DISTRIBUIÇÃO NF4267'!$E$3:$FQ$75,MATCH(B392,'DISTRIBUIÇÃO NF4267'!$E$3:$FQ$3,0)+1,0)</f>
        <v>0</v>
      </c>
      <c r="F392" s="28">
        <f t="shared" si="19"/>
        <v>5</v>
      </c>
    </row>
    <row r="393" spans="1:6" x14ac:dyDescent="0.35">
      <c r="A393">
        <f t="shared" si="21"/>
        <v>0</v>
      </c>
      <c r="B393" t="str">
        <f t="shared" si="20"/>
        <v>I2</v>
      </c>
      <c r="C393" s="9" t="s">
        <v>114</v>
      </c>
      <c r="D393" s="18">
        <f>VLOOKUP(C393,'DISTRIBUIÇÃO NF4267'!$E$3:$FQ$75,MATCH(B393,'DISTRIBUIÇÃO NF4267'!$E$3:$FQ$3,0)+1,0)</f>
        <v>9</v>
      </c>
      <c r="F393" s="28">
        <f t="shared" si="19"/>
        <v>5</v>
      </c>
    </row>
    <row r="394" spans="1:6" x14ac:dyDescent="0.35">
      <c r="A394">
        <f t="shared" si="21"/>
        <v>0</v>
      </c>
      <c r="B394" t="str">
        <f t="shared" si="20"/>
        <v>I2</v>
      </c>
      <c r="C394" s="9" t="s">
        <v>115</v>
      </c>
      <c r="D394" s="18">
        <f>VLOOKUP(C394,'DISTRIBUIÇÃO NF4267'!$E$3:$FQ$75,MATCH(B394,'DISTRIBUIÇÃO NF4267'!$E$3:$FQ$3,0)+1,0)</f>
        <v>12</v>
      </c>
      <c r="F394" s="28">
        <f t="shared" si="19"/>
        <v>5</v>
      </c>
    </row>
    <row r="395" spans="1:6" x14ac:dyDescent="0.35">
      <c r="A395">
        <f t="shared" si="21"/>
        <v>0</v>
      </c>
      <c r="B395" t="str">
        <f t="shared" si="20"/>
        <v>I2</v>
      </c>
      <c r="C395" s="9" t="s">
        <v>116</v>
      </c>
      <c r="D395" s="18">
        <f>VLOOKUP(C395,'DISTRIBUIÇÃO NF4267'!$E$3:$FQ$75,MATCH(B395,'DISTRIBUIÇÃO NF4267'!$E$3:$FQ$3,0)+1,0)</f>
        <v>6</v>
      </c>
      <c r="F395" s="28">
        <f t="shared" si="19"/>
        <v>5</v>
      </c>
    </row>
    <row r="396" spans="1:6" x14ac:dyDescent="0.35">
      <c r="A396">
        <f t="shared" si="21"/>
        <v>0</v>
      </c>
      <c r="B396" t="str">
        <f t="shared" si="20"/>
        <v>I2</v>
      </c>
      <c r="C396" s="9" t="s">
        <v>117</v>
      </c>
      <c r="D396" s="18">
        <f>VLOOKUP(C396,'DISTRIBUIÇÃO NF4267'!$E$3:$FQ$75,MATCH(B396,'DISTRIBUIÇÃO NF4267'!$E$3:$FQ$3,0)+1,0)</f>
        <v>3</v>
      </c>
      <c r="F396" s="28">
        <f t="shared" si="19"/>
        <v>5</v>
      </c>
    </row>
    <row r="397" spans="1:6" x14ac:dyDescent="0.35">
      <c r="A397">
        <f t="shared" si="21"/>
        <v>0</v>
      </c>
      <c r="B397" t="str">
        <f t="shared" si="20"/>
        <v>I2</v>
      </c>
      <c r="C397" s="9" t="s">
        <v>118</v>
      </c>
      <c r="D397" s="18">
        <f>VLOOKUP(C397,'DISTRIBUIÇÃO NF4267'!$E$3:$FQ$75,MATCH(B397,'DISTRIBUIÇÃO NF4267'!$E$3:$FQ$3,0)+1,0)</f>
        <v>0</v>
      </c>
      <c r="F397" s="28">
        <f t="shared" si="19"/>
        <v>5</v>
      </c>
    </row>
    <row r="398" spans="1:6" x14ac:dyDescent="0.35">
      <c r="A398">
        <f t="shared" si="21"/>
        <v>0</v>
      </c>
      <c r="B398" t="str">
        <f t="shared" si="20"/>
        <v>I2</v>
      </c>
      <c r="C398" s="10" t="s">
        <v>119</v>
      </c>
      <c r="D398" s="18">
        <f>VLOOKUP(C398,'DISTRIBUIÇÃO NF4267'!$E$3:$FQ$75,MATCH(B398,'DISTRIBUIÇÃO NF4267'!$E$3:$FQ$3,0)+1,0)</f>
        <v>0</v>
      </c>
      <c r="F398" s="28">
        <f t="shared" si="19"/>
        <v>5</v>
      </c>
    </row>
    <row r="399" spans="1:6" x14ac:dyDescent="0.35">
      <c r="A399">
        <f t="shared" si="21"/>
        <v>0</v>
      </c>
      <c r="B399" t="str">
        <f t="shared" si="20"/>
        <v>I2</v>
      </c>
      <c r="C399" s="10" t="s">
        <v>120</v>
      </c>
      <c r="D399" s="18">
        <f>VLOOKUP(C399,'DISTRIBUIÇÃO NF4267'!$E$3:$FQ$75,MATCH(B399,'DISTRIBUIÇÃO NF4267'!$E$3:$FQ$3,0)+1,0)</f>
        <v>60</v>
      </c>
      <c r="F399" s="28">
        <f t="shared" si="19"/>
        <v>5</v>
      </c>
    </row>
    <row r="400" spans="1:6" x14ac:dyDescent="0.35">
      <c r="A400">
        <f t="shared" si="21"/>
        <v>0</v>
      </c>
      <c r="B400" t="str">
        <f t="shared" si="20"/>
        <v>I2</v>
      </c>
      <c r="C400" s="10" t="s">
        <v>121</v>
      </c>
      <c r="D400" s="18">
        <f>VLOOKUP(C400,'DISTRIBUIÇÃO NF4267'!$E$3:$FQ$75,MATCH(B400,'DISTRIBUIÇÃO NF4267'!$E$3:$FQ$3,0)+1,0)</f>
        <v>20</v>
      </c>
      <c r="F400" s="28">
        <f t="shared" si="19"/>
        <v>5</v>
      </c>
    </row>
    <row r="401" spans="1:6" x14ac:dyDescent="0.35">
      <c r="A401">
        <f t="shared" si="21"/>
        <v>0</v>
      </c>
      <c r="B401" t="str">
        <f t="shared" si="20"/>
        <v>I2</v>
      </c>
      <c r="C401" s="10" t="s">
        <v>122</v>
      </c>
      <c r="D401" s="18">
        <f>VLOOKUP(C401,'DISTRIBUIÇÃO NF4267'!$E$3:$FQ$75,MATCH(B401,'DISTRIBUIÇÃO NF4267'!$E$3:$FQ$3,0)+1,0)</f>
        <v>20</v>
      </c>
      <c r="F401" s="28">
        <f t="shared" si="19"/>
        <v>5</v>
      </c>
    </row>
    <row r="402" spans="1:6" x14ac:dyDescent="0.35">
      <c r="A402">
        <f t="shared" si="21"/>
        <v>0</v>
      </c>
      <c r="B402" t="str">
        <f t="shared" si="20"/>
        <v>I2</v>
      </c>
      <c r="C402" s="10" t="s">
        <v>123</v>
      </c>
      <c r="D402" s="18">
        <f>VLOOKUP(C402,'DISTRIBUIÇÃO NF4267'!$E$3:$FQ$75,MATCH(B402,'DISTRIBUIÇÃO NF4267'!$E$3:$FQ$3,0)+1,0)</f>
        <v>0</v>
      </c>
      <c r="F402" s="28">
        <f t="shared" si="19"/>
        <v>5</v>
      </c>
    </row>
    <row r="403" spans="1:6" x14ac:dyDescent="0.35">
      <c r="A403">
        <f t="shared" si="21"/>
        <v>0</v>
      </c>
      <c r="B403" t="str">
        <f t="shared" si="20"/>
        <v>I2</v>
      </c>
      <c r="C403" s="10" t="s">
        <v>124</v>
      </c>
      <c r="D403" s="18">
        <f>VLOOKUP(C403,'DISTRIBUIÇÃO NF4267'!$E$3:$FQ$75,MATCH(B403,'DISTRIBUIÇÃO NF4267'!$E$3:$FQ$3,0)+1,0)</f>
        <v>0</v>
      </c>
      <c r="F403" s="28">
        <f t="shared" si="19"/>
        <v>5</v>
      </c>
    </row>
    <row r="404" spans="1:6" x14ac:dyDescent="0.35">
      <c r="A404">
        <f t="shared" si="21"/>
        <v>0</v>
      </c>
      <c r="B404" t="str">
        <f t="shared" si="20"/>
        <v>I2</v>
      </c>
      <c r="C404" s="11" t="s">
        <v>16</v>
      </c>
      <c r="D404" s="18">
        <f>VLOOKUP(C404,'DISTRIBUIÇÃO NF4267'!$E$3:$FQ$75,MATCH(B404,'DISTRIBUIÇÃO NF4267'!$E$3:$FQ$3,0)+1,0)</f>
        <v>0</v>
      </c>
      <c r="F404" s="28">
        <f t="shared" si="19"/>
        <v>5</v>
      </c>
    </row>
    <row r="405" spans="1:6" x14ac:dyDescent="0.35">
      <c r="A405">
        <f t="shared" si="21"/>
        <v>0</v>
      </c>
      <c r="B405" t="str">
        <f t="shared" si="20"/>
        <v>I2</v>
      </c>
      <c r="C405" s="11" t="s">
        <v>17</v>
      </c>
      <c r="D405" s="18">
        <f>VLOOKUP(C405,'DISTRIBUIÇÃO NF4267'!$E$3:$FQ$75,MATCH(B405,'DISTRIBUIÇÃO NF4267'!$E$3:$FQ$3,0)+1,0)</f>
        <v>12</v>
      </c>
      <c r="F405" s="28">
        <f t="shared" si="19"/>
        <v>5</v>
      </c>
    </row>
    <row r="406" spans="1:6" x14ac:dyDescent="0.35">
      <c r="A406">
        <f t="shared" si="21"/>
        <v>0</v>
      </c>
      <c r="B406" t="str">
        <f t="shared" si="20"/>
        <v>I2</v>
      </c>
      <c r="C406" s="11" t="s">
        <v>18</v>
      </c>
      <c r="D406" s="18">
        <f>VLOOKUP(C406,'DISTRIBUIÇÃO NF4267'!$E$3:$FQ$75,MATCH(B406,'DISTRIBUIÇÃO NF4267'!$E$3:$FQ$3,0)+1,0)</f>
        <v>4</v>
      </c>
      <c r="F406" s="28">
        <f t="shared" si="19"/>
        <v>5</v>
      </c>
    </row>
    <row r="407" spans="1:6" x14ac:dyDescent="0.35">
      <c r="A407">
        <f t="shared" si="21"/>
        <v>0</v>
      </c>
      <c r="B407" t="str">
        <f t="shared" si="20"/>
        <v>I2</v>
      </c>
      <c r="C407" s="11" t="s">
        <v>19</v>
      </c>
      <c r="D407" s="18">
        <f>VLOOKUP(C407,'DISTRIBUIÇÃO NF4267'!$E$3:$FQ$75,MATCH(B407,'DISTRIBUIÇÃO NF4267'!$E$3:$FQ$3,0)+1,0)</f>
        <v>4</v>
      </c>
      <c r="F407" s="28">
        <f t="shared" si="19"/>
        <v>5</v>
      </c>
    </row>
    <row r="408" spans="1:6" x14ac:dyDescent="0.35">
      <c r="A408">
        <f t="shared" si="21"/>
        <v>0</v>
      </c>
      <c r="B408" t="str">
        <f t="shared" si="20"/>
        <v>I2</v>
      </c>
      <c r="C408" s="11" t="s">
        <v>20</v>
      </c>
      <c r="D408" s="18">
        <f>VLOOKUP(C408,'DISTRIBUIÇÃO NF4267'!$E$3:$FQ$75,MATCH(B408,'DISTRIBUIÇÃO NF4267'!$E$3:$FQ$3,0)+1,0)</f>
        <v>20</v>
      </c>
      <c r="F408" s="28">
        <f t="shared" si="19"/>
        <v>5</v>
      </c>
    </row>
    <row r="409" spans="1:6" x14ac:dyDescent="0.35">
      <c r="A409">
        <f t="shared" si="21"/>
        <v>0</v>
      </c>
      <c r="B409" t="str">
        <f t="shared" si="20"/>
        <v>I2</v>
      </c>
      <c r="C409" s="11" t="s">
        <v>21</v>
      </c>
      <c r="D409" s="18">
        <f>VLOOKUP(C409,'DISTRIBUIÇÃO NF4267'!$E$3:$FQ$75,MATCH(B409,'DISTRIBUIÇÃO NF4267'!$E$3:$FQ$3,0)+1,0)</f>
        <v>0</v>
      </c>
      <c r="F409" s="28">
        <f t="shared" si="19"/>
        <v>5</v>
      </c>
    </row>
    <row r="410" spans="1:6" x14ac:dyDescent="0.35">
      <c r="A410">
        <f t="shared" si="21"/>
        <v>0</v>
      </c>
      <c r="B410" t="str">
        <f t="shared" si="20"/>
        <v>I2</v>
      </c>
      <c r="C410" s="12" t="s">
        <v>130</v>
      </c>
      <c r="D410" s="18">
        <f>VLOOKUP(C410,'DISTRIBUIÇÃO NF4267'!$E$3:$FQ$75,MATCH(B410,'DISTRIBUIÇÃO NF4267'!$E$3:$FQ$3,0)+1,0)</f>
        <v>0</v>
      </c>
      <c r="F410" s="28">
        <f t="shared" si="19"/>
        <v>5</v>
      </c>
    </row>
    <row r="411" spans="1:6" x14ac:dyDescent="0.35">
      <c r="A411">
        <f t="shared" si="21"/>
        <v>0</v>
      </c>
      <c r="B411" t="str">
        <f t="shared" si="20"/>
        <v>I2</v>
      </c>
      <c r="C411" s="12" t="s">
        <v>131</v>
      </c>
      <c r="D411" s="18">
        <f>VLOOKUP(C411,'DISTRIBUIÇÃO NF4267'!$E$3:$FQ$75,MATCH(B411,'DISTRIBUIÇÃO NF4267'!$E$3:$FQ$3,0)+1,0)</f>
        <v>2</v>
      </c>
      <c r="F411" s="28">
        <f t="shared" si="19"/>
        <v>5</v>
      </c>
    </row>
    <row r="412" spans="1:6" x14ac:dyDescent="0.35">
      <c r="A412">
        <f t="shared" si="21"/>
        <v>0</v>
      </c>
      <c r="B412" t="str">
        <f t="shared" si="20"/>
        <v>I2</v>
      </c>
      <c r="C412" s="12" t="s">
        <v>132</v>
      </c>
      <c r="D412" s="18">
        <f>VLOOKUP(C412,'DISTRIBUIÇÃO NF4267'!$E$3:$FQ$75,MATCH(B412,'DISTRIBUIÇÃO NF4267'!$E$3:$FQ$3,0)+1,0)</f>
        <v>8</v>
      </c>
      <c r="F412" s="28">
        <f t="shared" si="19"/>
        <v>5</v>
      </c>
    </row>
    <row r="413" spans="1:6" x14ac:dyDescent="0.35">
      <c r="A413">
        <f t="shared" si="21"/>
        <v>0</v>
      </c>
      <c r="B413" t="str">
        <f t="shared" si="20"/>
        <v>I2</v>
      </c>
      <c r="C413" s="12" t="s">
        <v>133</v>
      </c>
      <c r="D413" s="18">
        <f>VLOOKUP(C413,'DISTRIBUIÇÃO NF4267'!$E$3:$FQ$75,MATCH(B413,'DISTRIBUIÇÃO NF4267'!$E$3:$FQ$3,0)+1,0)</f>
        <v>6</v>
      </c>
      <c r="F413" s="28">
        <f t="shared" si="19"/>
        <v>5</v>
      </c>
    </row>
    <row r="414" spans="1:6" x14ac:dyDescent="0.35">
      <c r="A414">
        <f t="shared" si="21"/>
        <v>0</v>
      </c>
      <c r="B414" t="str">
        <f t="shared" si="20"/>
        <v>I2</v>
      </c>
      <c r="C414" s="12" t="s">
        <v>134</v>
      </c>
      <c r="D414" s="18">
        <f>VLOOKUP(C414,'DISTRIBUIÇÃO NF4267'!$E$3:$FQ$75,MATCH(B414,'DISTRIBUIÇÃO NF4267'!$E$3:$FQ$3,0)+1,0)</f>
        <v>4</v>
      </c>
      <c r="F414" s="28">
        <f t="shared" si="19"/>
        <v>5</v>
      </c>
    </row>
    <row r="415" spans="1:6" x14ac:dyDescent="0.35">
      <c r="A415">
        <f t="shared" si="21"/>
        <v>0</v>
      </c>
      <c r="B415" t="str">
        <f t="shared" si="20"/>
        <v>I2</v>
      </c>
      <c r="C415" s="12" t="s">
        <v>135</v>
      </c>
      <c r="D415" s="18">
        <f>VLOOKUP(C415,'DISTRIBUIÇÃO NF4267'!$E$3:$FQ$75,MATCH(B415,'DISTRIBUIÇÃO NF4267'!$E$3:$FQ$3,0)+1,0)</f>
        <v>0</v>
      </c>
      <c r="F415" s="28">
        <f t="shared" si="19"/>
        <v>5</v>
      </c>
    </row>
    <row r="416" spans="1:6" x14ac:dyDescent="0.35">
      <c r="A416">
        <f t="shared" si="21"/>
        <v>0</v>
      </c>
      <c r="B416" t="str">
        <f t="shared" si="20"/>
        <v>I2</v>
      </c>
      <c r="C416" s="13" t="s">
        <v>22</v>
      </c>
      <c r="D416" s="18">
        <f>VLOOKUP(C416,'DISTRIBUIÇÃO NF4267'!$E$3:$FQ$75,MATCH(B416,'DISTRIBUIÇÃO NF4267'!$E$3:$FQ$3,0)+1,0)</f>
        <v>0</v>
      </c>
      <c r="F416" s="28">
        <f t="shared" si="19"/>
        <v>5</v>
      </c>
    </row>
    <row r="417" spans="1:6" x14ac:dyDescent="0.35">
      <c r="A417">
        <f t="shared" si="21"/>
        <v>0</v>
      </c>
      <c r="B417" t="str">
        <f t="shared" si="20"/>
        <v>I2</v>
      </c>
      <c r="C417" s="13" t="s">
        <v>23</v>
      </c>
      <c r="D417" s="18">
        <f>VLOOKUP(C417,'DISTRIBUIÇÃO NF4267'!$E$3:$FQ$75,MATCH(B417,'DISTRIBUIÇÃO NF4267'!$E$3:$FQ$3,0)+1,0)</f>
        <v>2</v>
      </c>
      <c r="F417" s="28">
        <f t="shared" si="19"/>
        <v>5</v>
      </c>
    </row>
    <row r="418" spans="1:6" x14ac:dyDescent="0.35">
      <c r="A418">
        <f t="shared" si="21"/>
        <v>0</v>
      </c>
      <c r="B418" t="str">
        <f t="shared" si="20"/>
        <v>I2</v>
      </c>
      <c r="C418" s="13" t="s">
        <v>24</v>
      </c>
      <c r="D418" s="18">
        <f>VLOOKUP(C418,'DISTRIBUIÇÃO NF4267'!$E$3:$FQ$75,MATCH(B418,'DISTRIBUIÇÃO NF4267'!$E$3:$FQ$3,0)+1,0)</f>
        <v>12</v>
      </c>
      <c r="F418" s="28">
        <f t="shared" si="19"/>
        <v>5</v>
      </c>
    </row>
    <row r="419" spans="1:6" x14ac:dyDescent="0.35">
      <c r="A419">
        <f t="shared" si="21"/>
        <v>0</v>
      </c>
      <c r="B419" t="str">
        <f t="shared" si="20"/>
        <v>I2</v>
      </c>
      <c r="C419" s="13" t="s">
        <v>25</v>
      </c>
      <c r="D419" s="18">
        <f>VLOOKUP(C419,'DISTRIBUIÇÃO NF4267'!$E$3:$FQ$75,MATCH(B419,'DISTRIBUIÇÃO NF4267'!$E$3:$FQ$3,0)+1,0)</f>
        <v>4</v>
      </c>
      <c r="F419" s="28">
        <f t="shared" si="19"/>
        <v>5</v>
      </c>
    </row>
    <row r="420" spans="1:6" x14ac:dyDescent="0.35">
      <c r="A420">
        <f t="shared" si="21"/>
        <v>0</v>
      </c>
      <c r="B420" t="str">
        <f t="shared" si="20"/>
        <v>I2</v>
      </c>
      <c r="C420" s="13" t="s">
        <v>26</v>
      </c>
      <c r="D420" s="18">
        <f>VLOOKUP(C420,'DISTRIBUIÇÃO NF4267'!$E$3:$FQ$75,MATCH(B420,'DISTRIBUIÇÃO NF4267'!$E$3:$FQ$3,0)+1,0)</f>
        <v>2</v>
      </c>
      <c r="F420" s="28">
        <f t="shared" si="19"/>
        <v>5</v>
      </c>
    </row>
    <row r="421" spans="1:6" x14ac:dyDescent="0.35">
      <c r="A421">
        <f t="shared" si="21"/>
        <v>0</v>
      </c>
      <c r="B421" t="str">
        <f t="shared" si="20"/>
        <v>I2</v>
      </c>
      <c r="C421" s="13" t="s">
        <v>27</v>
      </c>
      <c r="D421" s="18">
        <f>VLOOKUP(C421,'DISTRIBUIÇÃO NF4267'!$E$3:$FQ$75,MATCH(B421,'DISTRIBUIÇÃO NF4267'!$E$3:$FQ$3,0)+1,0)</f>
        <v>0</v>
      </c>
      <c r="F421" s="28">
        <f t="shared" si="19"/>
        <v>5</v>
      </c>
    </row>
    <row r="422" spans="1:6" x14ac:dyDescent="0.35">
      <c r="A422">
        <f t="shared" si="21"/>
        <v>0</v>
      </c>
      <c r="B422" t="str">
        <f t="shared" si="20"/>
        <v>I2</v>
      </c>
      <c r="C422" s="14" t="s">
        <v>138</v>
      </c>
      <c r="D422" s="18">
        <f>VLOOKUP(C422,'DISTRIBUIÇÃO NF4267'!$E$3:$FQ$75,MATCH(B422,'DISTRIBUIÇÃO NF4267'!$E$3:$FQ$3,0)+1,0)</f>
        <v>0</v>
      </c>
      <c r="F422" s="28">
        <f t="shared" si="19"/>
        <v>5</v>
      </c>
    </row>
    <row r="423" spans="1:6" x14ac:dyDescent="0.35">
      <c r="A423">
        <f t="shared" si="21"/>
        <v>0</v>
      </c>
      <c r="B423" t="str">
        <f t="shared" si="20"/>
        <v>I2</v>
      </c>
      <c r="C423" s="14" t="s">
        <v>139</v>
      </c>
      <c r="D423" s="18">
        <f>VLOOKUP(C423,'DISTRIBUIÇÃO NF4267'!$E$3:$FQ$75,MATCH(B423,'DISTRIBUIÇÃO NF4267'!$E$3:$FQ$3,0)+1,0)</f>
        <v>10</v>
      </c>
      <c r="F423" s="28">
        <f t="shared" si="19"/>
        <v>5</v>
      </c>
    </row>
    <row r="424" spans="1:6" x14ac:dyDescent="0.35">
      <c r="A424">
        <f t="shared" si="21"/>
        <v>0</v>
      </c>
      <c r="B424" t="str">
        <f t="shared" si="20"/>
        <v>I2</v>
      </c>
      <c r="C424" s="14" t="s">
        <v>140</v>
      </c>
      <c r="D424" s="18">
        <f>VLOOKUP(C424,'DISTRIBUIÇÃO NF4267'!$E$3:$FQ$75,MATCH(B424,'DISTRIBUIÇÃO NF4267'!$E$3:$FQ$3,0)+1,0)</f>
        <v>20</v>
      </c>
      <c r="F424" s="28">
        <f t="shared" si="19"/>
        <v>5</v>
      </c>
    </row>
    <row r="425" spans="1:6" x14ac:dyDescent="0.35">
      <c r="A425">
        <f t="shared" si="21"/>
        <v>0</v>
      </c>
      <c r="B425" t="str">
        <f t="shared" si="20"/>
        <v>I2</v>
      </c>
      <c r="C425" s="14" t="s">
        <v>141</v>
      </c>
      <c r="D425" s="18">
        <f>VLOOKUP(C425,'DISTRIBUIÇÃO NF4267'!$E$3:$FQ$75,MATCH(B425,'DISTRIBUIÇÃO NF4267'!$E$3:$FQ$3,0)+1,0)</f>
        <v>10</v>
      </c>
      <c r="F425" s="28">
        <f t="shared" si="19"/>
        <v>5</v>
      </c>
    </row>
    <row r="426" spans="1:6" x14ac:dyDescent="0.35">
      <c r="A426">
        <f t="shared" si="21"/>
        <v>0</v>
      </c>
      <c r="B426" t="str">
        <f t="shared" si="20"/>
        <v>I2</v>
      </c>
      <c r="C426" s="14" t="s">
        <v>142</v>
      </c>
      <c r="D426" s="18">
        <f>VLOOKUP(C426,'DISTRIBUIÇÃO NF4267'!$E$3:$FQ$75,MATCH(B426,'DISTRIBUIÇÃO NF4267'!$E$3:$FQ$3,0)+1,0)</f>
        <v>10</v>
      </c>
      <c r="F426" s="28">
        <f t="shared" si="19"/>
        <v>5</v>
      </c>
    </row>
    <row r="427" spans="1:6" x14ac:dyDescent="0.35">
      <c r="A427">
        <f t="shared" si="21"/>
        <v>0</v>
      </c>
      <c r="B427" t="str">
        <f t="shared" si="20"/>
        <v>I2</v>
      </c>
      <c r="C427" s="14" t="s">
        <v>143</v>
      </c>
      <c r="D427" s="18">
        <f>VLOOKUP(C427,'DISTRIBUIÇÃO NF4267'!$E$3:$FQ$75,MATCH(B427,'DISTRIBUIÇÃO NF4267'!$E$3:$FQ$3,0)+1,0)</f>
        <v>0</v>
      </c>
      <c r="F427" s="28">
        <f t="shared" si="19"/>
        <v>5</v>
      </c>
    </row>
    <row r="428" spans="1:6" x14ac:dyDescent="0.35">
      <c r="A428">
        <f t="shared" si="21"/>
        <v>0</v>
      </c>
      <c r="B428" t="str">
        <f t="shared" si="20"/>
        <v>I2</v>
      </c>
      <c r="C428" s="15" t="s">
        <v>145</v>
      </c>
      <c r="D428" s="18">
        <f>VLOOKUP(C428,'DISTRIBUIÇÃO NF4267'!$E$3:$FQ$75,MATCH(B428,'DISTRIBUIÇÃO NF4267'!$E$3:$FQ$3,0)+1,0)</f>
        <v>0</v>
      </c>
      <c r="F428" s="28">
        <f t="shared" si="19"/>
        <v>5</v>
      </c>
    </row>
    <row r="429" spans="1:6" x14ac:dyDescent="0.35">
      <c r="A429">
        <f t="shared" si="21"/>
        <v>0</v>
      </c>
      <c r="B429" t="str">
        <f t="shared" si="20"/>
        <v>I2</v>
      </c>
      <c r="C429" s="15" t="s">
        <v>146</v>
      </c>
      <c r="D429" s="18">
        <f>VLOOKUP(C429,'DISTRIBUIÇÃO NF4267'!$E$3:$FQ$75,MATCH(B429,'DISTRIBUIÇÃO NF4267'!$E$3:$FQ$3,0)+1,0)</f>
        <v>10</v>
      </c>
      <c r="F429" s="28">
        <f t="shared" si="19"/>
        <v>5</v>
      </c>
    </row>
    <row r="430" spans="1:6" x14ac:dyDescent="0.35">
      <c r="A430">
        <f t="shared" si="21"/>
        <v>0</v>
      </c>
      <c r="B430" t="str">
        <f t="shared" si="20"/>
        <v>I2</v>
      </c>
      <c r="C430" s="15" t="s">
        <v>147</v>
      </c>
      <c r="D430" s="18">
        <f>VLOOKUP(C430,'DISTRIBUIÇÃO NF4267'!$E$3:$FQ$75,MATCH(B430,'DISTRIBUIÇÃO NF4267'!$E$3:$FQ$3,0)+1,0)</f>
        <v>20</v>
      </c>
      <c r="F430" s="28">
        <f t="shared" si="19"/>
        <v>5</v>
      </c>
    </row>
    <row r="431" spans="1:6" x14ac:dyDescent="0.35">
      <c r="A431">
        <f t="shared" si="21"/>
        <v>0</v>
      </c>
      <c r="B431" t="str">
        <f t="shared" si="20"/>
        <v>I2</v>
      </c>
      <c r="C431" s="15" t="s">
        <v>148</v>
      </c>
      <c r="D431" s="18">
        <f>VLOOKUP(C431,'DISTRIBUIÇÃO NF4267'!$E$3:$FQ$75,MATCH(B431,'DISTRIBUIÇÃO NF4267'!$E$3:$FQ$3,0)+1,0)</f>
        <v>10</v>
      </c>
      <c r="F431" s="28">
        <f t="shared" si="19"/>
        <v>5</v>
      </c>
    </row>
    <row r="432" spans="1:6" x14ac:dyDescent="0.35">
      <c r="A432">
        <f t="shared" si="21"/>
        <v>0</v>
      </c>
      <c r="B432" t="str">
        <f t="shared" si="20"/>
        <v>I2</v>
      </c>
      <c r="C432" s="15" t="s">
        <v>149</v>
      </c>
      <c r="D432" s="18">
        <f>VLOOKUP(C432,'DISTRIBUIÇÃO NF4267'!$E$3:$FQ$75,MATCH(B432,'DISTRIBUIÇÃO NF4267'!$E$3:$FQ$3,0)+1,0)</f>
        <v>10</v>
      </c>
      <c r="F432" s="28">
        <f t="shared" si="19"/>
        <v>5</v>
      </c>
    </row>
    <row r="433" spans="1:6" x14ac:dyDescent="0.35">
      <c r="A433">
        <f t="shared" si="21"/>
        <v>0</v>
      </c>
      <c r="B433" t="str">
        <f t="shared" si="20"/>
        <v>I2</v>
      </c>
      <c r="C433" s="15" t="s">
        <v>150</v>
      </c>
      <c r="D433" s="18">
        <f>VLOOKUP(C433,'DISTRIBUIÇÃO NF4267'!$E$3:$FQ$75,MATCH(B433,'DISTRIBUIÇÃO NF4267'!$E$3:$FQ$3,0)+1,0)</f>
        <v>0</v>
      </c>
      <c r="F433" s="28">
        <f t="shared" si="19"/>
        <v>5</v>
      </c>
    </row>
    <row r="434" spans="1:6" x14ac:dyDescent="0.35">
      <c r="A434">
        <f t="shared" si="21"/>
        <v>0</v>
      </c>
      <c r="B434" t="s">
        <v>38</v>
      </c>
      <c r="C434" s="7" t="s">
        <v>98</v>
      </c>
      <c r="D434" s="18">
        <f>VLOOKUP(C434,'DISTRIBUIÇÃO NF4267'!$E$3:$FQ$75,MATCH(B434,'DISTRIBUIÇÃO NF4267'!$E$3:$FQ$3,0)+1,0)</f>
        <v>0</v>
      </c>
      <c r="F434" s="28">
        <f t="shared" si="19"/>
        <v>5</v>
      </c>
    </row>
    <row r="435" spans="1:6" x14ac:dyDescent="0.35">
      <c r="A435">
        <f t="shared" si="21"/>
        <v>0</v>
      </c>
      <c r="B435" t="str">
        <f>B434</f>
        <v>J5</v>
      </c>
      <c r="C435" s="7" t="s">
        <v>99</v>
      </c>
      <c r="D435" s="18">
        <f>VLOOKUP(C435,'DISTRIBUIÇÃO NF4267'!$E$3:$FQ$75,MATCH(B435,'DISTRIBUIÇÃO NF4267'!$E$3:$FQ$3,0)+1,0)</f>
        <v>4</v>
      </c>
      <c r="F435" s="28">
        <f t="shared" si="19"/>
        <v>5</v>
      </c>
    </row>
    <row r="436" spans="1:6" x14ac:dyDescent="0.35">
      <c r="A436">
        <f t="shared" si="21"/>
        <v>0</v>
      </c>
      <c r="B436" t="str">
        <f t="shared" ref="B436:B487" si="22">B435</f>
        <v>J5</v>
      </c>
      <c r="C436" s="7" t="s">
        <v>100</v>
      </c>
      <c r="D436" s="18">
        <f>VLOOKUP(C436,'DISTRIBUIÇÃO NF4267'!$E$3:$FQ$75,MATCH(B436,'DISTRIBUIÇÃO NF4267'!$E$3:$FQ$3,0)+1,0)</f>
        <v>8</v>
      </c>
      <c r="F436" s="28">
        <f t="shared" si="19"/>
        <v>5</v>
      </c>
    </row>
    <row r="437" spans="1:6" x14ac:dyDescent="0.35">
      <c r="A437">
        <f t="shared" si="21"/>
        <v>0</v>
      </c>
      <c r="B437" t="str">
        <f t="shared" si="22"/>
        <v>J5</v>
      </c>
      <c r="C437" s="7" t="s">
        <v>101</v>
      </c>
      <c r="D437" s="18">
        <f>VLOOKUP(C437,'DISTRIBUIÇÃO NF4267'!$E$3:$FQ$75,MATCH(B437,'DISTRIBUIÇÃO NF4267'!$E$3:$FQ$3,0)+1,0)</f>
        <v>4</v>
      </c>
      <c r="F437" s="28">
        <f t="shared" si="19"/>
        <v>5</v>
      </c>
    </row>
    <row r="438" spans="1:6" x14ac:dyDescent="0.35">
      <c r="A438">
        <f t="shared" si="21"/>
        <v>0</v>
      </c>
      <c r="B438" t="str">
        <f t="shared" si="22"/>
        <v>J5</v>
      </c>
      <c r="C438" s="7" t="s">
        <v>102</v>
      </c>
      <c r="D438" s="18">
        <f>VLOOKUP(C438,'DISTRIBUIÇÃO NF4267'!$E$3:$FQ$75,MATCH(B438,'DISTRIBUIÇÃO NF4267'!$E$3:$FQ$3,0)+1,0)</f>
        <v>4</v>
      </c>
      <c r="F438" s="28">
        <f t="shared" si="19"/>
        <v>5</v>
      </c>
    </row>
    <row r="439" spans="1:6" x14ac:dyDescent="0.35">
      <c r="A439">
        <f t="shared" si="21"/>
        <v>0</v>
      </c>
      <c r="B439" t="str">
        <f t="shared" si="22"/>
        <v>J5</v>
      </c>
      <c r="C439" s="7" t="s">
        <v>103</v>
      </c>
      <c r="D439" s="18">
        <f>VLOOKUP(C439,'DISTRIBUIÇÃO NF4267'!$E$3:$FQ$75,MATCH(B439,'DISTRIBUIÇÃO NF4267'!$E$3:$FQ$3,0)+1,0)</f>
        <v>0</v>
      </c>
      <c r="F439" s="28">
        <f t="shared" si="19"/>
        <v>5</v>
      </c>
    </row>
    <row r="440" spans="1:6" x14ac:dyDescent="0.35">
      <c r="A440">
        <f t="shared" si="21"/>
        <v>0</v>
      </c>
      <c r="B440" t="str">
        <f t="shared" si="22"/>
        <v>J5</v>
      </c>
      <c r="C440" s="8" t="s">
        <v>107</v>
      </c>
      <c r="D440" s="18">
        <f>VLOOKUP(C440,'DISTRIBUIÇÃO NF4267'!$E$3:$FQ$75,MATCH(B440,'DISTRIBUIÇÃO NF4267'!$E$3:$FQ$3,0)+1,0)</f>
        <v>0</v>
      </c>
      <c r="F440" s="28">
        <f t="shared" ref="F440:F503" si="23">ROUNDUP(SUMIFS(D:D,B:B,B440)/80,0)</f>
        <v>5</v>
      </c>
    </row>
    <row r="441" spans="1:6" x14ac:dyDescent="0.35">
      <c r="A441">
        <f t="shared" si="21"/>
        <v>0</v>
      </c>
      <c r="B441" t="str">
        <f t="shared" si="22"/>
        <v>J5</v>
      </c>
      <c r="C441" s="8" t="s">
        <v>108</v>
      </c>
      <c r="D441" s="18">
        <f>VLOOKUP(C441,'DISTRIBUIÇÃO NF4267'!$E$3:$FQ$75,MATCH(B441,'DISTRIBUIÇÃO NF4267'!$E$3:$FQ$3,0)+1,0)</f>
        <v>6</v>
      </c>
      <c r="F441" s="28">
        <f t="shared" si="23"/>
        <v>5</v>
      </c>
    </row>
    <row r="442" spans="1:6" x14ac:dyDescent="0.35">
      <c r="A442">
        <f t="shared" si="21"/>
        <v>0</v>
      </c>
      <c r="B442" t="str">
        <f t="shared" si="22"/>
        <v>J5</v>
      </c>
      <c r="C442" s="8" t="s">
        <v>109</v>
      </c>
      <c r="D442" s="18">
        <f>VLOOKUP(C442,'DISTRIBUIÇÃO NF4267'!$E$3:$FQ$75,MATCH(B442,'DISTRIBUIÇÃO NF4267'!$E$3:$FQ$3,0)+1,0)</f>
        <v>12</v>
      </c>
      <c r="F442" s="28">
        <f t="shared" si="23"/>
        <v>5</v>
      </c>
    </row>
    <row r="443" spans="1:6" x14ac:dyDescent="0.35">
      <c r="A443">
        <f t="shared" si="21"/>
        <v>0</v>
      </c>
      <c r="B443" t="str">
        <f t="shared" si="22"/>
        <v>J5</v>
      </c>
      <c r="C443" s="8" t="s">
        <v>110</v>
      </c>
      <c r="D443" s="18">
        <f>VLOOKUP(C443,'DISTRIBUIÇÃO NF4267'!$E$3:$FQ$75,MATCH(B443,'DISTRIBUIÇÃO NF4267'!$E$3:$FQ$3,0)+1,0)</f>
        <v>6</v>
      </c>
      <c r="F443" s="28">
        <f t="shared" si="23"/>
        <v>5</v>
      </c>
    </row>
    <row r="444" spans="1:6" x14ac:dyDescent="0.35">
      <c r="A444">
        <f t="shared" si="21"/>
        <v>0</v>
      </c>
      <c r="B444" t="str">
        <f t="shared" si="22"/>
        <v>J5</v>
      </c>
      <c r="C444" s="8" t="s">
        <v>111</v>
      </c>
      <c r="D444" s="18">
        <f>VLOOKUP(C444,'DISTRIBUIÇÃO NF4267'!$E$3:$FQ$75,MATCH(B444,'DISTRIBUIÇÃO NF4267'!$E$3:$FQ$3,0)+1,0)</f>
        <v>6</v>
      </c>
      <c r="F444" s="28">
        <f t="shared" si="23"/>
        <v>5</v>
      </c>
    </row>
    <row r="445" spans="1:6" x14ac:dyDescent="0.35">
      <c r="A445">
        <f t="shared" si="21"/>
        <v>0</v>
      </c>
      <c r="B445" t="str">
        <f t="shared" si="22"/>
        <v>J5</v>
      </c>
      <c r="C445" s="8" t="s">
        <v>112</v>
      </c>
      <c r="D445" s="18">
        <f>VLOOKUP(C445,'DISTRIBUIÇÃO NF4267'!$E$3:$FQ$75,MATCH(B445,'DISTRIBUIÇÃO NF4267'!$E$3:$FQ$3,0)+1,0)</f>
        <v>0</v>
      </c>
      <c r="F445" s="28">
        <f t="shared" si="23"/>
        <v>5</v>
      </c>
    </row>
    <row r="446" spans="1:6" x14ac:dyDescent="0.35">
      <c r="A446">
        <f t="shared" si="21"/>
        <v>0</v>
      </c>
      <c r="B446" t="str">
        <f t="shared" si="22"/>
        <v>J5</v>
      </c>
      <c r="C446" s="9" t="s">
        <v>113</v>
      </c>
      <c r="D446" s="18">
        <f>VLOOKUP(C446,'DISTRIBUIÇÃO NF4267'!$E$3:$FQ$75,MATCH(B446,'DISTRIBUIÇÃO NF4267'!$E$3:$FQ$3,0)+1,0)</f>
        <v>0</v>
      </c>
      <c r="F446" s="28">
        <f t="shared" si="23"/>
        <v>5</v>
      </c>
    </row>
    <row r="447" spans="1:6" x14ac:dyDescent="0.35">
      <c r="A447">
        <f t="shared" si="21"/>
        <v>0</v>
      </c>
      <c r="B447" t="str">
        <f t="shared" si="22"/>
        <v>J5</v>
      </c>
      <c r="C447" s="9" t="s">
        <v>114</v>
      </c>
      <c r="D447" s="18">
        <f>VLOOKUP(C447,'DISTRIBUIÇÃO NF4267'!$E$3:$FQ$75,MATCH(B447,'DISTRIBUIÇÃO NF4267'!$E$3:$FQ$3,0)+1,0)</f>
        <v>9</v>
      </c>
      <c r="F447" s="28">
        <f t="shared" si="23"/>
        <v>5</v>
      </c>
    </row>
    <row r="448" spans="1:6" x14ac:dyDescent="0.35">
      <c r="A448">
        <f t="shared" si="21"/>
        <v>0</v>
      </c>
      <c r="B448" t="str">
        <f t="shared" si="22"/>
        <v>J5</v>
      </c>
      <c r="C448" s="9" t="s">
        <v>115</v>
      </c>
      <c r="D448" s="18">
        <f>VLOOKUP(C448,'DISTRIBUIÇÃO NF4267'!$E$3:$FQ$75,MATCH(B448,'DISTRIBUIÇÃO NF4267'!$E$3:$FQ$3,0)+1,0)</f>
        <v>12</v>
      </c>
      <c r="F448" s="28">
        <f t="shared" si="23"/>
        <v>5</v>
      </c>
    </row>
    <row r="449" spans="1:6" x14ac:dyDescent="0.35">
      <c r="A449">
        <f t="shared" si="21"/>
        <v>0</v>
      </c>
      <c r="B449" t="str">
        <f t="shared" si="22"/>
        <v>J5</v>
      </c>
      <c r="C449" s="9" t="s">
        <v>116</v>
      </c>
      <c r="D449" s="18">
        <f>VLOOKUP(C449,'DISTRIBUIÇÃO NF4267'!$E$3:$FQ$75,MATCH(B449,'DISTRIBUIÇÃO NF4267'!$E$3:$FQ$3,0)+1,0)</f>
        <v>6</v>
      </c>
      <c r="F449" s="28">
        <f t="shared" si="23"/>
        <v>5</v>
      </c>
    </row>
    <row r="450" spans="1:6" x14ac:dyDescent="0.35">
      <c r="A450">
        <f t="shared" ref="A450:A513" si="24">IF(ISERROR(VLOOKUP(C450,I:I,1,0)),0,1)</f>
        <v>0</v>
      </c>
      <c r="B450" t="str">
        <f t="shared" si="22"/>
        <v>J5</v>
      </c>
      <c r="C450" s="9" t="s">
        <v>117</v>
      </c>
      <c r="D450" s="18">
        <f>VLOOKUP(C450,'DISTRIBUIÇÃO NF4267'!$E$3:$FQ$75,MATCH(B450,'DISTRIBUIÇÃO NF4267'!$E$3:$FQ$3,0)+1,0)</f>
        <v>3</v>
      </c>
      <c r="F450" s="28">
        <f t="shared" si="23"/>
        <v>5</v>
      </c>
    </row>
    <row r="451" spans="1:6" x14ac:dyDescent="0.35">
      <c r="A451">
        <f t="shared" si="24"/>
        <v>0</v>
      </c>
      <c r="B451" t="str">
        <f t="shared" si="22"/>
        <v>J5</v>
      </c>
      <c r="C451" s="9" t="s">
        <v>118</v>
      </c>
      <c r="D451" s="18">
        <f>VLOOKUP(C451,'DISTRIBUIÇÃO NF4267'!$E$3:$FQ$75,MATCH(B451,'DISTRIBUIÇÃO NF4267'!$E$3:$FQ$3,0)+1,0)</f>
        <v>0</v>
      </c>
      <c r="F451" s="28">
        <f t="shared" si="23"/>
        <v>5</v>
      </c>
    </row>
    <row r="452" spans="1:6" x14ac:dyDescent="0.35">
      <c r="A452">
        <f t="shared" si="24"/>
        <v>0</v>
      </c>
      <c r="B452" t="str">
        <f t="shared" si="22"/>
        <v>J5</v>
      </c>
      <c r="C452" s="10" t="s">
        <v>119</v>
      </c>
      <c r="D452" s="18">
        <f>VLOOKUP(C452,'DISTRIBUIÇÃO NF4267'!$E$3:$FQ$75,MATCH(B452,'DISTRIBUIÇÃO NF4267'!$E$3:$FQ$3,0)+1,0)</f>
        <v>0</v>
      </c>
      <c r="F452" s="28">
        <f t="shared" si="23"/>
        <v>5</v>
      </c>
    </row>
    <row r="453" spans="1:6" x14ac:dyDescent="0.35">
      <c r="A453">
        <f t="shared" si="24"/>
        <v>0</v>
      </c>
      <c r="B453" t="str">
        <f t="shared" si="22"/>
        <v>J5</v>
      </c>
      <c r="C453" s="10" t="s">
        <v>120</v>
      </c>
      <c r="D453" s="18">
        <f>VLOOKUP(C453,'DISTRIBUIÇÃO NF4267'!$E$3:$FQ$75,MATCH(B453,'DISTRIBUIÇÃO NF4267'!$E$3:$FQ$3,0)+1,0)</f>
        <v>60</v>
      </c>
      <c r="F453" s="28">
        <f t="shared" si="23"/>
        <v>5</v>
      </c>
    </row>
    <row r="454" spans="1:6" x14ac:dyDescent="0.35">
      <c r="A454">
        <f t="shared" si="24"/>
        <v>0</v>
      </c>
      <c r="B454" t="str">
        <f t="shared" si="22"/>
        <v>J5</v>
      </c>
      <c r="C454" s="10" t="s">
        <v>121</v>
      </c>
      <c r="D454" s="18">
        <f>VLOOKUP(C454,'DISTRIBUIÇÃO NF4267'!$E$3:$FQ$75,MATCH(B454,'DISTRIBUIÇÃO NF4267'!$E$3:$FQ$3,0)+1,0)</f>
        <v>20</v>
      </c>
      <c r="F454" s="28">
        <f t="shared" si="23"/>
        <v>5</v>
      </c>
    </row>
    <row r="455" spans="1:6" x14ac:dyDescent="0.35">
      <c r="A455">
        <f t="shared" si="24"/>
        <v>0</v>
      </c>
      <c r="B455" t="str">
        <f t="shared" si="22"/>
        <v>J5</v>
      </c>
      <c r="C455" s="10" t="s">
        <v>122</v>
      </c>
      <c r="D455" s="18">
        <f>VLOOKUP(C455,'DISTRIBUIÇÃO NF4267'!$E$3:$FQ$75,MATCH(B455,'DISTRIBUIÇÃO NF4267'!$E$3:$FQ$3,0)+1,0)</f>
        <v>20</v>
      </c>
      <c r="F455" s="28">
        <f t="shared" si="23"/>
        <v>5</v>
      </c>
    </row>
    <row r="456" spans="1:6" x14ac:dyDescent="0.35">
      <c r="A456">
        <f t="shared" si="24"/>
        <v>0</v>
      </c>
      <c r="B456" t="str">
        <f t="shared" si="22"/>
        <v>J5</v>
      </c>
      <c r="C456" s="10" t="s">
        <v>123</v>
      </c>
      <c r="D456" s="18">
        <f>VLOOKUP(C456,'DISTRIBUIÇÃO NF4267'!$E$3:$FQ$75,MATCH(B456,'DISTRIBUIÇÃO NF4267'!$E$3:$FQ$3,0)+1,0)</f>
        <v>0</v>
      </c>
      <c r="F456" s="28">
        <f t="shared" si="23"/>
        <v>5</v>
      </c>
    </row>
    <row r="457" spans="1:6" x14ac:dyDescent="0.35">
      <c r="A457">
        <f t="shared" si="24"/>
        <v>0</v>
      </c>
      <c r="B457" t="str">
        <f t="shared" si="22"/>
        <v>J5</v>
      </c>
      <c r="C457" s="10" t="s">
        <v>124</v>
      </c>
      <c r="D457" s="18">
        <f>VLOOKUP(C457,'DISTRIBUIÇÃO NF4267'!$E$3:$FQ$75,MATCH(B457,'DISTRIBUIÇÃO NF4267'!$E$3:$FQ$3,0)+1,0)</f>
        <v>0</v>
      </c>
      <c r="F457" s="28">
        <f t="shared" si="23"/>
        <v>5</v>
      </c>
    </row>
    <row r="458" spans="1:6" x14ac:dyDescent="0.35">
      <c r="A458">
        <f t="shared" si="24"/>
        <v>0</v>
      </c>
      <c r="B458" t="str">
        <f t="shared" si="22"/>
        <v>J5</v>
      </c>
      <c r="C458" s="11" t="s">
        <v>16</v>
      </c>
      <c r="D458" s="18">
        <f>VLOOKUP(C458,'DISTRIBUIÇÃO NF4267'!$E$3:$FQ$75,MATCH(B458,'DISTRIBUIÇÃO NF4267'!$E$3:$FQ$3,0)+1,0)</f>
        <v>0</v>
      </c>
      <c r="F458" s="28">
        <f t="shared" si="23"/>
        <v>5</v>
      </c>
    </row>
    <row r="459" spans="1:6" x14ac:dyDescent="0.35">
      <c r="A459">
        <f t="shared" si="24"/>
        <v>0</v>
      </c>
      <c r="B459" t="str">
        <f t="shared" si="22"/>
        <v>J5</v>
      </c>
      <c r="C459" s="11" t="s">
        <v>17</v>
      </c>
      <c r="D459" s="18">
        <f>VLOOKUP(C459,'DISTRIBUIÇÃO NF4267'!$E$3:$FQ$75,MATCH(B459,'DISTRIBUIÇÃO NF4267'!$E$3:$FQ$3,0)+1,0)</f>
        <v>12</v>
      </c>
      <c r="F459" s="28">
        <f t="shared" si="23"/>
        <v>5</v>
      </c>
    </row>
    <row r="460" spans="1:6" x14ac:dyDescent="0.35">
      <c r="A460">
        <f t="shared" si="24"/>
        <v>0</v>
      </c>
      <c r="B460" t="str">
        <f t="shared" si="22"/>
        <v>J5</v>
      </c>
      <c r="C460" s="11" t="s">
        <v>18</v>
      </c>
      <c r="D460" s="18">
        <f>VLOOKUP(C460,'DISTRIBUIÇÃO NF4267'!$E$3:$FQ$75,MATCH(B460,'DISTRIBUIÇÃO NF4267'!$E$3:$FQ$3,0)+1,0)</f>
        <v>4</v>
      </c>
      <c r="F460" s="28">
        <f t="shared" si="23"/>
        <v>5</v>
      </c>
    </row>
    <row r="461" spans="1:6" x14ac:dyDescent="0.35">
      <c r="A461">
        <f t="shared" si="24"/>
        <v>0</v>
      </c>
      <c r="B461" t="str">
        <f t="shared" si="22"/>
        <v>J5</v>
      </c>
      <c r="C461" s="11" t="s">
        <v>19</v>
      </c>
      <c r="D461" s="18">
        <f>VLOOKUP(C461,'DISTRIBUIÇÃO NF4267'!$E$3:$FQ$75,MATCH(B461,'DISTRIBUIÇÃO NF4267'!$E$3:$FQ$3,0)+1,0)</f>
        <v>4</v>
      </c>
      <c r="F461" s="28">
        <f t="shared" si="23"/>
        <v>5</v>
      </c>
    </row>
    <row r="462" spans="1:6" x14ac:dyDescent="0.35">
      <c r="A462">
        <f t="shared" si="24"/>
        <v>0</v>
      </c>
      <c r="B462" t="str">
        <f t="shared" si="22"/>
        <v>J5</v>
      </c>
      <c r="C462" s="11" t="s">
        <v>20</v>
      </c>
      <c r="D462" s="18">
        <f>VLOOKUP(C462,'DISTRIBUIÇÃO NF4267'!$E$3:$FQ$75,MATCH(B462,'DISTRIBUIÇÃO NF4267'!$E$3:$FQ$3,0)+1,0)</f>
        <v>20</v>
      </c>
      <c r="F462" s="28">
        <f t="shared" si="23"/>
        <v>5</v>
      </c>
    </row>
    <row r="463" spans="1:6" x14ac:dyDescent="0.35">
      <c r="A463">
        <f t="shared" si="24"/>
        <v>0</v>
      </c>
      <c r="B463" t="str">
        <f t="shared" si="22"/>
        <v>J5</v>
      </c>
      <c r="C463" s="11" t="s">
        <v>21</v>
      </c>
      <c r="D463" s="18">
        <f>VLOOKUP(C463,'DISTRIBUIÇÃO NF4267'!$E$3:$FQ$75,MATCH(B463,'DISTRIBUIÇÃO NF4267'!$E$3:$FQ$3,0)+1,0)</f>
        <v>0</v>
      </c>
      <c r="F463" s="28">
        <f t="shared" si="23"/>
        <v>5</v>
      </c>
    </row>
    <row r="464" spans="1:6" x14ac:dyDescent="0.35">
      <c r="A464">
        <f t="shared" si="24"/>
        <v>0</v>
      </c>
      <c r="B464" t="str">
        <f t="shared" si="22"/>
        <v>J5</v>
      </c>
      <c r="C464" s="12" t="s">
        <v>130</v>
      </c>
      <c r="D464" s="18">
        <f>VLOOKUP(C464,'DISTRIBUIÇÃO NF4267'!$E$3:$FQ$75,MATCH(B464,'DISTRIBUIÇÃO NF4267'!$E$3:$FQ$3,0)+1,0)</f>
        <v>0</v>
      </c>
      <c r="F464" s="28">
        <f t="shared" si="23"/>
        <v>5</v>
      </c>
    </row>
    <row r="465" spans="1:6" x14ac:dyDescent="0.35">
      <c r="A465">
        <f t="shared" si="24"/>
        <v>0</v>
      </c>
      <c r="B465" t="str">
        <f t="shared" si="22"/>
        <v>J5</v>
      </c>
      <c r="C465" s="12" t="s">
        <v>131</v>
      </c>
      <c r="D465" s="18">
        <f>VLOOKUP(C465,'DISTRIBUIÇÃO NF4267'!$E$3:$FQ$75,MATCH(B465,'DISTRIBUIÇÃO NF4267'!$E$3:$FQ$3,0)+1,0)</f>
        <v>2</v>
      </c>
      <c r="F465" s="28">
        <f t="shared" si="23"/>
        <v>5</v>
      </c>
    </row>
    <row r="466" spans="1:6" x14ac:dyDescent="0.35">
      <c r="A466">
        <f t="shared" si="24"/>
        <v>0</v>
      </c>
      <c r="B466" t="str">
        <f t="shared" si="22"/>
        <v>J5</v>
      </c>
      <c r="C466" s="12" t="s">
        <v>132</v>
      </c>
      <c r="D466" s="18">
        <f>VLOOKUP(C466,'DISTRIBUIÇÃO NF4267'!$E$3:$FQ$75,MATCH(B466,'DISTRIBUIÇÃO NF4267'!$E$3:$FQ$3,0)+1,0)</f>
        <v>8</v>
      </c>
      <c r="F466" s="28">
        <f t="shared" si="23"/>
        <v>5</v>
      </c>
    </row>
    <row r="467" spans="1:6" x14ac:dyDescent="0.35">
      <c r="A467">
        <f t="shared" si="24"/>
        <v>0</v>
      </c>
      <c r="B467" t="str">
        <f t="shared" si="22"/>
        <v>J5</v>
      </c>
      <c r="C467" s="12" t="s">
        <v>133</v>
      </c>
      <c r="D467" s="18">
        <f>VLOOKUP(C467,'DISTRIBUIÇÃO NF4267'!$E$3:$FQ$75,MATCH(B467,'DISTRIBUIÇÃO NF4267'!$E$3:$FQ$3,0)+1,0)</f>
        <v>6</v>
      </c>
      <c r="F467" s="28">
        <f t="shared" si="23"/>
        <v>5</v>
      </c>
    </row>
    <row r="468" spans="1:6" x14ac:dyDescent="0.35">
      <c r="A468">
        <f t="shared" si="24"/>
        <v>0</v>
      </c>
      <c r="B468" t="str">
        <f t="shared" si="22"/>
        <v>J5</v>
      </c>
      <c r="C468" s="12" t="s">
        <v>134</v>
      </c>
      <c r="D468" s="18">
        <f>VLOOKUP(C468,'DISTRIBUIÇÃO NF4267'!$E$3:$FQ$75,MATCH(B468,'DISTRIBUIÇÃO NF4267'!$E$3:$FQ$3,0)+1,0)</f>
        <v>4</v>
      </c>
      <c r="F468" s="28">
        <f t="shared" si="23"/>
        <v>5</v>
      </c>
    </row>
    <row r="469" spans="1:6" x14ac:dyDescent="0.35">
      <c r="A469">
        <f t="shared" si="24"/>
        <v>0</v>
      </c>
      <c r="B469" t="str">
        <f t="shared" si="22"/>
        <v>J5</v>
      </c>
      <c r="C469" s="12" t="s">
        <v>135</v>
      </c>
      <c r="D469" s="18">
        <f>VLOOKUP(C469,'DISTRIBUIÇÃO NF4267'!$E$3:$FQ$75,MATCH(B469,'DISTRIBUIÇÃO NF4267'!$E$3:$FQ$3,0)+1,0)</f>
        <v>0</v>
      </c>
      <c r="F469" s="28">
        <f t="shared" si="23"/>
        <v>5</v>
      </c>
    </row>
    <row r="470" spans="1:6" x14ac:dyDescent="0.35">
      <c r="A470">
        <f t="shared" si="24"/>
        <v>0</v>
      </c>
      <c r="B470" t="str">
        <f t="shared" si="22"/>
        <v>J5</v>
      </c>
      <c r="C470" s="13" t="s">
        <v>22</v>
      </c>
      <c r="D470" s="18">
        <f>VLOOKUP(C470,'DISTRIBUIÇÃO NF4267'!$E$3:$FQ$75,MATCH(B470,'DISTRIBUIÇÃO NF4267'!$E$3:$FQ$3,0)+1,0)</f>
        <v>0</v>
      </c>
      <c r="F470" s="28">
        <f t="shared" si="23"/>
        <v>5</v>
      </c>
    </row>
    <row r="471" spans="1:6" x14ac:dyDescent="0.35">
      <c r="A471">
        <f t="shared" si="24"/>
        <v>0</v>
      </c>
      <c r="B471" t="str">
        <f t="shared" si="22"/>
        <v>J5</v>
      </c>
      <c r="C471" s="13" t="s">
        <v>23</v>
      </c>
      <c r="D471" s="18">
        <f>VLOOKUP(C471,'DISTRIBUIÇÃO NF4267'!$E$3:$FQ$75,MATCH(B471,'DISTRIBUIÇÃO NF4267'!$E$3:$FQ$3,0)+1,0)</f>
        <v>2</v>
      </c>
      <c r="F471" s="28">
        <f t="shared" si="23"/>
        <v>5</v>
      </c>
    </row>
    <row r="472" spans="1:6" x14ac:dyDescent="0.35">
      <c r="A472">
        <f t="shared" si="24"/>
        <v>0</v>
      </c>
      <c r="B472" t="str">
        <f t="shared" si="22"/>
        <v>J5</v>
      </c>
      <c r="C472" s="13" t="s">
        <v>24</v>
      </c>
      <c r="D472" s="18">
        <f>VLOOKUP(C472,'DISTRIBUIÇÃO NF4267'!$E$3:$FQ$75,MATCH(B472,'DISTRIBUIÇÃO NF4267'!$E$3:$FQ$3,0)+1,0)</f>
        <v>12</v>
      </c>
      <c r="F472" s="28">
        <f t="shared" si="23"/>
        <v>5</v>
      </c>
    </row>
    <row r="473" spans="1:6" x14ac:dyDescent="0.35">
      <c r="A473">
        <f t="shared" si="24"/>
        <v>0</v>
      </c>
      <c r="B473" t="str">
        <f t="shared" si="22"/>
        <v>J5</v>
      </c>
      <c r="C473" s="13" t="s">
        <v>25</v>
      </c>
      <c r="D473" s="18">
        <f>VLOOKUP(C473,'DISTRIBUIÇÃO NF4267'!$E$3:$FQ$75,MATCH(B473,'DISTRIBUIÇÃO NF4267'!$E$3:$FQ$3,0)+1,0)</f>
        <v>4</v>
      </c>
      <c r="F473" s="28">
        <f t="shared" si="23"/>
        <v>5</v>
      </c>
    </row>
    <row r="474" spans="1:6" x14ac:dyDescent="0.35">
      <c r="A474">
        <f t="shared" si="24"/>
        <v>0</v>
      </c>
      <c r="B474" t="str">
        <f t="shared" si="22"/>
        <v>J5</v>
      </c>
      <c r="C474" s="13" t="s">
        <v>26</v>
      </c>
      <c r="D474" s="18">
        <f>VLOOKUP(C474,'DISTRIBUIÇÃO NF4267'!$E$3:$FQ$75,MATCH(B474,'DISTRIBUIÇÃO NF4267'!$E$3:$FQ$3,0)+1,0)</f>
        <v>2</v>
      </c>
      <c r="F474" s="28">
        <f t="shared" si="23"/>
        <v>5</v>
      </c>
    </row>
    <row r="475" spans="1:6" x14ac:dyDescent="0.35">
      <c r="A475">
        <f t="shared" si="24"/>
        <v>0</v>
      </c>
      <c r="B475" t="str">
        <f t="shared" si="22"/>
        <v>J5</v>
      </c>
      <c r="C475" s="13" t="s">
        <v>27</v>
      </c>
      <c r="D475" s="18">
        <f>VLOOKUP(C475,'DISTRIBUIÇÃO NF4267'!$E$3:$FQ$75,MATCH(B475,'DISTRIBUIÇÃO NF4267'!$E$3:$FQ$3,0)+1,0)</f>
        <v>0</v>
      </c>
      <c r="F475" s="28">
        <f t="shared" si="23"/>
        <v>5</v>
      </c>
    </row>
    <row r="476" spans="1:6" x14ac:dyDescent="0.35">
      <c r="A476">
        <f t="shared" si="24"/>
        <v>0</v>
      </c>
      <c r="B476" t="str">
        <f t="shared" si="22"/>
        <v>J5</v>
      </c>
      <c r="C476" s="14" t="s">
        <v>138</v>
      </c>
      <c r="D476" s="18">
        <f>VLOOKUP(C476,'DISTRIBUIÇÃO NF4267'!$E$3:$FQ$75,MATCH(B476,'DISTRIBUIÇÃO NF4267'!$E$3:$FQ$3,0)+1,0)</f>
        <v>0</v>
      </c>
      <c r="F476" s="28">
        <f t="shared" si="23"/>
        <v>5</v>
      </c>
    </row>
    <row r="477" spans="1:6" x14ac:dyDescent="0.35">
      <c r="A477">
        <f t="shared" si="24"/>
        <v>0</v>
      </c>
      <c r="B477" t="str">
        <f t="shared" si="22"/>
        <v>J5</v>
      </c>
      <c r="C477" s="14" t="s">
        <v>139</v>
      </c>
      <c r="D477" s="18">
        <f>VLOOKUP(C477,'DISTRIBUIÇÃO NF4267'!$E$3:$FQ$75,MATCH(B477,'DISTRIBUIÇÃO NF4267'!$E$3:$FQ$3,0)+1,0)</f>
        <v>10</v>
      </c>
      <c r="F477" s="28">
        <f t="shared" si="23"/>
        <v>5</v>
      </c>
    </row>
    <row r="478" spans="1:6" x14ac:dyDescent="0.35">
      <c r="A478">
        <f t="shared" si="24"/>
        <v>0</v>
      </c>
      <c r="B478" t="str">
        <f t="shared" si="22"/>
        <v>J5</v>
      </c>
      <c r="C478" s="14" t="s">
        <v>140</v>
      </c>
      <c r="D478" s="18">
        <f>VLOOKUP(C478,'DISTRIBUIÇÃO NF4267'!$E$3:$FQ$75,MATCH(B478,'DISTRIBUIÇÃO NF4267'!$E$3:$FQ$3,0)+1,0)</f>
        <v>20</v>
      </c>
      <c r="F478" s="28">
        <f t="shared" si="23"/>
        <v>5</v>
      </c>
    </row>
    <row r="479" spans="1:6" x14ac:dyDescent="0.35">
      <c r="A479">
        <f t="shared" si="24"/>
        <v>0</v>
      </c>
      <c r="B479" t="str">
        <f t="shared" si="22"/>
        <v>J5</v>
      </c>
      <c r="C479" s="14" t="s">
        <v>141</v>
      </c>
      <c r="D479" s="18">
        <f>VLOOKUP(C479,'DISTRIBUIÇÃO NF4267'!$E$3:$FQ$75,MATCH(B479,'DISTRIBUIÇÃO NF4267'!$E$3:$FQ$3,0)+1,0)</f>
        <v>10</v>
      </c>
      <c r="F479" s="28">
        <f t="shared" si="23"/>
        <v>5</v>
      </c>
    </row>
    <row r="480" spans="1:6" x14ac:dyDescent="0.35">
      <c r="A480">
        <f t="shared" si="24"/>
        <v>0</v>
      </c>
      <c r="B480" t="str">
        <f t="shared" si="22"/>
        <v>J5</v>
      </c>
      <c r="C480" s="14" t="s">
        <v>142</v>
      </c>
      <c r="D480" s="18">
        <f>VLOOKUP(C480,'DISTRIBUIÇÃO NF4267'!$E$3:$FQ$75,MATCH(B480,'DISTRIBUIÇÃO NF4267'!$E$3:$FQ$3,0)+1,0)</f>
        <v>10</v>
      </c>
      <c r="F480" s="28">
        <f t="shared" si="23"/>
        <v>5</v>
      </c>
    </row>
    <row r="481" spans="1:6" x14ac:dyDescent="0.35">
      <c r="A481">
        <f t="shared" si="24"/>
        <v>0</v>
      </c>
      <c r="B481" t="str">
        <f t="shared" si="22"/>
        <v>J5</v>
      </c>
      <c r="C481" s="14" t="s">
        <v>143</v>
      </c>
      <c r="D481" s="18">
        <f>VLOOKUP(C481,'DISTRIBUIÇÃO NF4267'!$E$3:$FQ$75,MATCH(B481,'DISTRIBUIÇÃO NF4267'!$E$3:$FQ$3,0)+1,0)</f>
        <v>0</v>
      </c>
      <c r="F481" s="28">
        <f t="shared" si="23"/>
        <v>5</v>
      </c>
    </row>
    <row r="482" spans="1:6" x14ac:dyDescent="0.35">
      <c r="A482">
        <f t="shared" si="24"/>
        <v>0</v>
      </c>
      <c r="B482" t="str">
        <f t="shared" si="22"/>
        <v>J5</v>
      </c>
      <c r="C482" s="15" t="s">
        <v>145</v>
      </c>
      <c r="D482" s="18">
        <f>VLOOKUP(C482,'DISTRIBUIÇÃO NF4267'!$E$3:$FQ$75,MATCH(B482,'DISTRIBUIÇÃO NF4267'!$E$3:$FQ$3,0)+1,0)</f>
        <v>0</v>
      </c>
      <c r="F482" s="28">
        <f t="shared" si="23"/>
        <v>5</v>
      </c>
    </row>
    <row r="483" spans="1:6" x14ac:dyDescent="0.35">
      <c r="A483">
        <f t="shared" si="24"/>
        <v>0</v>
      </c>
      <c r="B483" t="str">
        <f t="shared" si="22"/>
        <v>J5</v>
      </c>
      <c r="C483" s="15" t="s">
        <v>146</v>
      </c>
      <c r="D483" s="18">
        <f>VLOOKUP(C483,'DISTRIBUIÇÃO NF4267'!$E$3:$FQ$75,MATCH(B483,'DISTRIBUIÇÃO NF4267'!$E$3:$FQ$3,0)+1,0)</f>
        <v>10</v>
      </c>
      <c r="F483" s="28">
        <f t="shared" si="23"/>
        <v>5</v>
      </c>
    </row>
    <row r="484" spans="1:6" x14ac:dyDescent="0.35">
      <c r="A484">
        <f t="shared" si="24"/>
        <v>0</v>
      </c>
      <c r="B484" t="str">
        <f t="shared" si="22"/>
        <v>J5</v>
      </c>
      <c r="C484" s="15" t="s">
        <v>147</v>
      </c>
      <c r="D484" s="18">
        <f>VLOOKUP(C484,'DISTRIBUIÇÃO NF4267'!$E$3:$FQ$75,MATCH(B484,'DISTRIBUIÇÃO NF4267'!$E$3:$FQ$3,0)+1,0)</f>
        <v>20</v>
      </c>
      <c r="F484" s="28">
        <f t="shared" si="23"/>
        <v>5</v>
      </c>
    </row>
    <row r="485" spans="1:6" x14ac:dyDescent="0.35">
      <c r="A485">
        <f t="shared" si="24"/>
        <v>0</v>
      </c>
      <c r="B485" t="str">
        <f t="shared" si="22"/>
        <v>J5</v>
      </c>
      <c r="C485" s="15" t="s">
        <v>148</v>
      </c>
      <c r="D485" s="18">
        <f>VLOOKUP(C485,'DISTRIBUIÇÃO NF4267'!$E$3:$FQ$75,MATCH(B485,'DISTRIBUIÇÃO NF4267'!$E$3:$FQ$3,0)+1,0)</f>
        <v>10</v>
      </c>
      <c r="F485" s="28">
        <f t="shared" si="23"/>
        <v>5</v>
      </c>
    </row>
    <row r="486" spans="1:6" x14ac:dyDescent="0.35">
      <c r="A486">
        <f t="shared" si="24"/>
        <v>0</v>
      </c>
      <c r="B486" t="str">
        <f t="shared" si="22"/>
        <v>J5</v>
      </c>
      <c r="C486" s="15" t="s">
        <v>149</v>
      </c>
      <c r="D486" s="18">
        <f>VLOOKUP(C486,'DISTRIBUIÇÃO NF4267'!$E$3:$FQ$75,MATCH(B486,'DISTRIBUIÇÃO NF4267'!$E$3:$FQ$3,0)+1,0)</f>
        <v>10</v>
      </c>
      <c r="F486" s="28">
        <f t="shared" si="23"/>
        <v>5</v>
      </c>
    </row>
    <row r="487" spans="1:6" x14ac:dyDescent="0.35">
      <c r="A487">
        <f t="shared" si="24"/>
        <v>0</v>
      </c>
      <c r="B487" t="str">
        <f t="shared" si="22"/>
        <v>J5</v>
      </c>
      <c r="C487" s="15" t="s">
        <v>150</v>
      </c>
      <c r="D487" s="18">
        <f>VLOOKUP(C487,'DISTRIBUIÇÃO NF4267'!$E$3:$FQ$75,MATCH(B487,'DISTRIBUIÇÃO NF4267'!$E$3:$FQ$3,0)+1,0)</f>
        <v>0</v>
      </c>
      <c r="F487" s="28">
        <f t="shared" si="23"/>
        <v>5</v>
      </c>
    </row>
    <row r="488" spans="1:6" x14ac:dyDescent="0.35">
      <c r="A488">
        <f t="shared" si="24"/>
        <v>0</v>
      </c>
      <c r="B488">
        <v>88</v>
      </c>
      <c r="C488" s="7" t="s">
        <v>98</v>
      </c>
      <c r="D488" s="18">
        <f>VLOOKUP(C488,'DISTRIBUIÇÃO NF4267'!$E$3:$FQ$75,MATCH(B488,'DISTRIBUIÇÃO NF4267'!$E$3:$FQ$3,0)+1,0)</f>
        <v>0</v>
      </c>
      <c r="F488" s="28">
        <f t="shared" si="23"/>
        <v>5</v>
      </c>
    </row>
    <row r="489" spans="1:6" x14ac:dyDescent="0.35">
      <c r="A489">
        <f t="shared" si="24"/>
        <v>0</v>
      </c>
      <c r="B489">
        <f>B488</f>
        <v>88</v>
      </c>
      <c r="C489" s="7" t="s">
        <v>99</v>
      </c>
      <c r="D489" s="18">
        <f>VLOOKUP(C489,'DISTRIBUIÇÃO NF4267'!$E$3:$FQ$75,MATCH(B489,'DISTRIBUIÇÃO NF4267'!$E$3:$FQ$3,0)+1,0)</f>
        <v>4</v>
      </c>
      <c r="F489" s="28">
        <f t="shared" si="23"/>
        <v>5</v>
      </c>
    </row>
    <row r="490" spans="1:6" x14ac:dyDescent="0.35">
      <c r="A490">
        <f t="shared" si="24"/>
        <v>0</v>
      </c>
      <c r="B490">
        <f t="shared" ref="B490:B541" si="25">B489</f>
        <v>88</v>
      </c>
      <c r="C490" s="7" t="s">
        <v>100</v>
      </c>
      <c r="D490" s="18">
        <f>VLOOKUP(C490,'DISTRIBUIÇÃO NF4267'!$E$3:$FQ$75,MATCH(B490,'DISTRIBUIÇÃO NF4267'!$E$3:$FQ$3,0)+1,0)</f>
        <v>8</v>
      </c>
      <c r="F490" s="28">
        <f t="shared" si="23"/>
        <v>5</v>
      </c>
    </row>
    <row r="491" spans="1:6" x14ac:dyDescent="0.35">
      <c r="A491">
        <f t="shared" si="24"/>
        <v>0</v>
      </c>
      <c r="B491">
        <f t="shared" si="25"/>
        <v>88</v>
      </c>
      <c r="C491" s="7" t="s">
        <v>101</v>
      </c>
      <c r="D491" s="18">
        <f>VLOOKUP(C491,'DISTRIBUIÇÃO NF4267'!$E$3:$FQ$75,MATCH(B491,'DISTRIBUIÇÃO NF4267'!$E$3:$FQ$3,0)+1,0)</f>
        <v>4</v>
      </c>
      <c r="F491" s="28">
        <f t="shared" si="23"/>
        <v>5</v>
      </c>
    </row>
    <row r="492" spans="1:6" x14ac:dyDescent="0.35">
      <c r="A492">
        <f t="shared" si="24"/>
        <v>0</v>
      </c>
      <c r="B492">
        <f t="shared" si="25"/>
        <v>88</v>
      </c>
      <c r="C492" s="7" t="s">
        <v>102</v>
      </c>
      <c r="D492" s="18">
        <f>VLOOKUP(C492,'DISTRIBUIÇÃO NF4267'!$E$3:$FQ$75,MATCH(B492,'DISTRIBUIÇÃO NF4267'!$E$3:$FQ$3,0)+1,0)</f>
        <v>4</v>
      </c>
      <c r="F492" s="28">
        <f t="shared" si="23"/>
        <v>5</v>
      </c>
    </row>
    <row r="493" spans="1:6" x14ac:dyDescent="0.35">
      <c r="A493">
        <f t="shared" si="24"/>
        <v>0</v>
      </c>
      <c r="B493">
        <f t="shared" si="25"/>
        <v>88</v>
      </c>
      <c r="C493" s="7" t="s">
        <v>103</v>
      </c>
      <c r="D493" s="18">
        <f>VLOOKUP(C493,'DISTRIBUIÇÃO NF4267'!$E$3:$FQ$75,MATCH(B493,'DISTRIBUIÇÃO NF4267'!$E$3:$FQ$3,0)+1,0)</f>
        <v>0</v>
      </c>
      <c r="F493" s="28">
        <f t="shared" si="23"/>
        <v>5</v>
      </c>
    </row>
    <row r="494" spans="1:6" x14ac:dyDescent="0.35">
      <c r="A494">
        <f t="shared" si="24"/>
        <v>0</v>
      </c>
      <c r="B494">
        <f t="shared" si="25"/>
        <v>88</v>
      </c>
      <c r="C494" s="8" t="s">
        <v>107</v>
      </c>
      <c r="D494" s="18">
        <f>VLOOKUP(C494,'DISTRIBUIÇÃO NF4267'!$E$3:$FQ$75,MATCH(B494,'DISTRIBUIÇÃO NF4267'!$E$3:$FQ$3,0)+1,0)</f>
        <v>0</v>
      </c>
      <c r="F494" s="28">
        <f t="shared" si="23"/>
        <v>5</v>
      </c>
    </row>
    <row r="495" spans="1:6" x14ac:dyDescent="0.35">
      <c r="A495">
        <f t="shared" si="24"/>
        <v>0</v>
      </c>
      <c r="B495">
        <f t="shared" si="25"/>
        <v>88</v>
      </c>
      <c r="C495" s="8" t="s">
        <v>108</v>
      </c>
      <c r="D495" s="18">
        <f>VLOOKUP(C495,'DISTRIBUIÇÃO NF4267'!$E$3:$FQ$75,MATCH(B495,'DISTRIBUIÇÃO NF4267'!$E$3:$FQ$3,0)+1,0)</f>
        <v>6</v>
      </c>
      <c r="F495" s="28">
        <f t="shared" si="23"/>
        <v>5</v>
      </c>
    </row>
    <row r="496" spans="1:6" x14ac:dyDescent="0.35">
      <c r="A496">
        <f t="shared" si="24"/>
        <v>0</v>
      </c>
      <c r="B496">
        <f t="shared" si="25"/>
        <v>88</v>
      </c>
      <c r="C496" s="8" t="s">
        <v>109</v>
      </c>
      <c r="D496" s="18">
        <f>VLOOKUP(C496,'DISTRIBUIÇÃO NF4267'!$E$3:$FQ$75,MATCH(B496,'DISTRIBUIÇÃO NF4267'!$E$3:$FQ$3,0)+1,0)</f>
        <v>12</v>
      </c>
      <c r="F496" s="28">
        <f t="shared" si="23"/>
        <v>5</v>
      </c>
    </row>
    <row r="497" spans="1:6" x14ac:dyDescent="0.35">
      <c r="A497">
        <f t="shared" si="24"/>
        <v>0</v>
      </c>
      <c r="B497">
        <f t="shared" si="25"/>
        <v>88</v>
      </c>
      <c r="C497" s="8" t="s">
        <v>110</v>
      </c>
      <c r="D497" s="18">
        <f>VLOOKUP(C497,'DISTRIBUIÇÃO NF4267'!$E$3:$FQ$75,MATCH(B497,'DISTRIBUIÇÃO NF4267'!$E$3:$FQ$3,0)+1,0)</f>
        <v>6</v>
      </c>
      <c r="F497" s="28">
        <f t="shared" si="23"/>
        <v>5</v>
      </c>
    </row>
    <row r="498" spans="1:6" x14ac:dyDescent="0.35">
      <c r="A498">
        <f t="shared" si="24"/>
        <v>0</v>
      </c>
      <c r="B498">
        <f t="shared" si="25"/>
        <v>88</v>
      </c>
      <c r="C498" s="8" t="s">
        <v>111</v>
      </c>
      <c r="D498" s="18">
        <f>VLOOKUP(C498,'DISTRIBUIÇÃO NF4267'!$E$3:$FQ$75,MATCH(B498,'DISTRIBUIÇÃO NF4267'!$E$3:$FQ$3,0)+1,0)</f>
        <v>6</v>
      </c>
      <c r="F498" s="28">
        <f t="shared" si="23"/>
        <v>5</v>
      </c>
    </row>
    <row r="499" spans="1:6" x14ac:dyDescent="0.35">
      <c r="A499">
        <f t="shared" si="24"/>
        <v>0</v>
      </c>
      <c r="B499">
        <f t="shared" si="25"/>
        <v>88</v>
      </c>
      <c r="C499" s="8" t="s">
        <v>112</v>
      </c>
      <c r="D499" s="18">
        <f>VLOOKUP(C499,'DISTRIBUIÇÃO NF4267'!$E$3:$FQ$75,MATCH(B499,'DISTRIBUIÇÃO NF4267'!$E$3:$FQ$3,0)+1,0)</f>
        <v>0</v>
      </c>
      <c r="F499" s="28">
        <f t="shared" si="23"/>
        <v>5</v>
      </c>
    </row>
    <row r="500" spans="1:6" x14ac:dyDescent="0.35">
      <c r="A500">
        <f t="shared" si="24"/>
        <v>0</v>
      </c>
      <c r="B500">
        <f t="shared" si="25"/>
        <v>88</v>
      </c>
      <c r="C500" s="9" t="s">
        <v>113</v>
      </c>
      <c r="D500" s="18">
        <f>VLOOKUP(C500,'DISTRIBUIÇÃO NF4267'!$E$3:$FQ$75,MATCH(B500,'DISTRIBUIÇÃO NF4267'!$E$3:$FQ$3,0)+1,0)</f>
        <v>0</v>
      </c>
      <c r="F500" s="28">
        <f t="shared" si="23"/>
        <v>5</v>
      </c>
    </row>
    <row r="501" spans="1:6" x14ac:dyDescent="0.35">
      <c r="A501">
        <f t="shared" si="24"/>
        <v>0</v>
      </c>
      <c r="B501">
        <f t="shared" si="25"/>
        <v>88</v>
      </c>
      <c r="C501" s="9" t="s">
        <v>114</v>
      </c>
      <c r="D501" s="18">
        <f>VLOOKUP(C501,'DISTRIBUIÇÃO NF4267'!$E$3:$FQ$75,MATCH(B501,'DISTRIBUIÇÃO NF4267'!$E$3:$FQ$3,0)+1,0)</f>
        <v>9</v>
      </c>
      <c r="F501" s="28">
        <f t="shared" si="23"/>
        <v>5</v>
      </c>
    </row>
    <row r="502" spans="1:6" x14ac:dyDescent="0.35">
      <c r="A502">
        <f t="shared" si="24"/>
        <v>0</v>
      </c>
      <c r="B502">
        <f t="shared" si="25"/>
        <v>88</v>
      </c>
      <c r="C502" s="9" t="s">
        <v>115</v>
      </c>
      <c r="D502" s="18">
        <f>VLOOKUP(C502,'DISTRIBUIÇÃO NF4267'!$E$3:$FQ$75,MATCH(B502,'DISTRIBUIÇÃO NF4267'!$E$3:$FQ$3,0)+1,0)</f>
        <v>12</v>
      </c>
      <c r="F502" s="28">
        <f t="shared" si="23"/>
        <v>5</v>
      </c>
    </row>
    <row r="503" spans="1:6" x14ac:dyDescent="0.35">
      <c r="A503">
        <f t="shared" si="24"/>
        <v>0</v>
      </c>
      <c r="B503">
        <f t="shared" si="25"/>
        <v>88</v>
      </c>
      <c r="C503" s="9" t="s">
        <v>116</v>
      </c>
      <c r="D503" s="18">
        <f>VLOOKUP(C503,'DISTRIBUIÇÃO NF4267'!$E$3:$FQ$75,MATCH(B503,'DISTRIBUIÇÃO NF4267'!$E$3:$FQ$3,0)+1,0)</f>
        <v>6</v>
      </c>
      <c r="F503" s="28">
        <f t="shared" si="23"/>
        <v>5</v>
      </c>
    </row>
    <row r="504" spans="1:6" x14ac:dyDescent="0.35">
      <c r="A504">
        <f t="shared" si="24"/>
        <v>0</v>
      </c>
      <c r="B504">
        <f t="shared" si="25"/>
        <v>88</v>
      </c>
      <c r="C504" s="9" t="s">
        <v>117</v>
      </c>
      <c r="D504" s="18">
        <f>VLOOKUP(C504,'DISTRIBUIÇÃO NF4267'!$E$3:$FQ$75,MATCH(B504,'DISTRIBUIÇÃO NF4267'!$E$3:$FQ$3,0)+1,0)</f>
        <v>3</v>
      </c>
      <c r="F504" s="28">
        <f t="shared" ref="F504:F567" si="26">ROUNDUP(SUMIFS(D:D,B:B,B504)/80,0)</f>
        <v>5</v>
      </c>
    </row>
    <row r="505" spans="1:6" x14ac:dyDescent="0.35">
      <c r="A505">
        <f t="shared" si="24"/>
        <v>0</v>
      </c>
      <c r="B505">
        <f t="shared" si="25"/>
        <v>88</v>
      </c>
      <c r="C505" s="9" t="s">
        <v>118</v>
      </c>
      <c r="D505" s="18">
        <f>VLOOKUP(C505,'DISTRIBUIÇÃO NF4267'!$E$3:$FQ$75,MATCH(B505,'DISTRIBUIÇÃO NF4267'!$E$3:$FQ$3,0)+1,0)</f>
        <v>0</v>
      </c>
      <c r="F505" s="28">
        <f t="shared" si="26"/>
        <v>5</v>
      </c>
    </row>
    <row r="506" spans="1:6" x14ac:dyDescent="0.35">
      <c r="A506">
        <f t="shared" si="24"/>
        <v>0</v>
      </c>
      <c r="B506">
        <f t="shared" si="25"/>
        <v>88</v>
      </c>
      <c r="C506" s="10" t="s">
        <v>119</v>
      </c>
      <c r="D506" s="18">
        <f>VLOOKUP(C506,'DISTRIBUIÇÃO NF4267'!$E$3:$FQ$75,MATCH(B506,'DISTRIBUIÇÃO NF4267'!$E$3:$FQ$3,0)+1,0)</f>
        <v>0</v>
      </c>
      <c r="F506" s="28">
        <f t="shared" si="26"/>
        <v>5</v>
      </c>
    </row>
    <row r="507" spans="1:6" x14ac:dyDescent="0.35">
      <c r="A507">
        <f t="shared" si="24"/>
        <v>0</v>
      </c>
      <c r="B507">
        <f t="shared" si="25"/>
        <v>88</v>
      </c>
      <c r="C507" s="10" t="s">
        <v>120</v>
      </c>
      <c r="D507" s="18">
        <f>VLOOKUP(C507,'DISTRIBUIÇÃO NF4267'!$E$3:$FQ$75,MATCH(B507,'DISTRIBUIÇÃO NF4267'!$E$3:$FQ$3,0)+1,0)</f>
        <v>60</v>
      </c>
      <c r="F507" s="28">
        <f t="shared" si="26"/>
        <v>5</v>
      </c>
    </row>
    <row r="508" spans="1:6" x14ac:dyDescent="0.35">
      <c r="A508">
        <f t="shared" si="24"/>
        <v>0</v>
      </c>
      <c r="B508">
        <f t="shared" si="25"/>
        <v>88</v>
      </c>
      <c r="C508" s="10" t="s">
        <v>121</v>
      </c>
      <c r="D508" s="18">
        <f>VLOOKUP(C508,'DISTRIBUIÇÃO NF4267'!$E$3:$FQ$75,MATCH(B508,'DISTRIBUIÇÃO NF4267'!$E$3:$FQ$3,0)+1,0)</f>
        <v>20</v>
      </c>
      <c r="F508" s="28">
        <f t="shared" si="26"/>
        <v>5</v>
      </c>
    </row>
    <row r="509" spans="1:6" x14ac:dyDescent="0.35">
      <c r="A509">
        <f t="shared" si="24"/>
        <v>0</v>
      </c>
      <c r="B509">
        <f t="shared" si="25"/>
        <v>88</v>
      </c>
      <c r="C509" s="10" t="s">
        <v>122</v>
      </c>
      <c r="D509" s="18">
        <f>VLOOKUP(C509,'DISTRIBUIÇÃO NF4267'!$E$3:$FQ$75,MATCH(B509,'DISTRIBUIÇÃO NF4267'!$E$3:$FQ$3,0)+1,0)</f>
        <v>20</v>
      </c>
      <c r="F509" s="28">
        <f t="shared" si="26"/>
        <v>5</v>
      </c>
    </row>
    <row r="510" spans="1:6" x14ac:dyDescent="0.35">
      <c r="A510">
        <f t="shared" si="24"/>
        <v>0</v>
      </c>
      <c r="B510">
        <f t="shared" si="25"/>
        <v>88</v>
      </c>
      <c r="C510" s="10" t="s">
        <v>123</v>
      </c>
      <c r="D510" s="18">
        <f>VLOOKUP(C510,'DISTRIBUIÇÃO NF4267'!$E$3:$FQ$75,MATCH(B510,'DISTRIBUIÇÃO NF4267'!$E$3:$FQ$3,0)+1,0)</f>
        <v>0</v>
      </c>
      <c r="F510" s="28">
        <f t="shared" si="26"/>
        <v>5</v>
      </c>
    </row>
    <row r="511" spans="1:6" x14ac:dyDescent="0.35">
      <c r="A511">
        <f t="shared" si="24"/>
        <v>0</v>
      </c>
      <c r="B511">
        <f t="shared" si="25"/>
        <v>88</v>
      </c>
      <c r="C511" s="10" t="s">
        <v>124</v>
      </c>
      <c r="D511" s="18">
        <f>VLOOKUP(C511,'DISTRIBUIÇÃO NF4267'!$E$3:$FQ$75,MATCH(B511,'DISTRIBUIÇÃO NF4267'!$E$3:$FQ$3,0)+1,0)</f>
        <v>0</v>
      </c>
      <c r="F511" s="28">
        <f t="shared" si="26"/>
        <v>5</v>
      </c>
    </row>
    <row r="512" spans="1:6" x14ac:dyDescent="0.35">
      <c r="A512">
        <f t="shared" si="24"/>
        <v>0</v>
      </c>
      <c r="B512">
        <f t="shared" si="25"/>
        <v>88</v>
      </c>
      <c r="C512" s="11" t="s">
        <v>16</v>
      </c>
      <c r="D512" s="18">
        <f>VLOOKUP(C512,'DISTRIBUIÇÃO NF4267'!$E$3:$FQ$75,MATCH(B512,'DISTRIBUIÇÃO NF4267'!$E$3:$FQ$3,0)+1,0)</f>
        <v>0</v>
      </c>
      <c r="F512" s="28">
        <f t="shared" si="26"/>
        <v>5</v>
      </c>
    </row>
    <row r="513" spans="1:6" x14ac:dyDescent="0.35">
      <c r="A513">
        <f t="shared" si="24"/>
        <v>0</v>
      </c>
      <c r="B513">
        <f t="shared" si="25"/>
        <v>88</v>
      </c>
      <c r="C513" s="11" t="s">
        <v>17</v>
      </c>
      <c r="D513" s="18">
        <f>VLOOKUP(C513,'DISTRIBUIÇÃO NF4267'!$E$3:$FQ$75,MATCH(B513,'DISTRIBUIÇÃO NF4267'!$E$3:$FQ$3,0)+1,0)</f>
        <v>12</v>
      </c>
      <c r="F513" s="28">
        <f t="shared" si="26"/>
        <v>5</v>
      </c>
    </row>
    <row r="514" spans="1:6" x14ac:dyDescent="0.35">
      <c r="A514">
        <f t="shared" ref="A514:A577" si="27">IF(ISERROR(VLOOKUP(C514,I:I,1,0)),0,1)</f>
        <v>0</v>
      </c>
      <c r="B514">
        <f t="shared" si="25"/>
        <v>88</v>
      </c>
      <c r="C514" s="11" t="s">
        <v>18</v>
      </c>
      <c r="D514" s="18">
        <f>VLOOKUP(C514,'DISTRIBUIÇÃO NF4267'!$E$3:$FQ$75,MATCH(B514,'DISTRIBUIÇÃO NF4267'!$E$3:$FQ$3,0)+1,0)</f>
        <v>4</v>
      </c>
      <c r="F514" s="28">
        <f t="shared" si="26"/>
        <v>5</v>
      </c>
    </row>
    <row r="515" spans="1:6" x14ac:dyDescent="0.35">
      <c r="A515">
        <f t="shared" si="27"/>
        <v>0</v>
      </c>
      <c r="B515">
        <f t="shared" si="25"/>
        <v>88</v>
      </c>
      <c r="C515" s="11" t="s">
        <v>19</v>
      </c>
      <c r="D515" s="18">
        <f>VLOOKUP(C515,'DISTRIBUIÇÃO NF4267'!$E$3:$FQ$75,MATCH(B515,'DISTRIBUIÇÃO NF4267'!$E$3:$FQ$3,0)+1,0)</f>
        <v>4</v>
      </c>
      <c r="F515" s="28">
        <f t="shared" si="26"/>
        <v>5</v>
      </c>
    </row>
    <row r="516" spans="1:6" x14ac:dyDescent="0.35">
      <c r="A516">
        <f t="shared" si="27"/>
        <v>0</v>
      </c>
      <c r="B516">
        <f t="shared" si="25"/>
        <v>88</v>
      </c>
      <c r="C516" s="11" t="s">
        <v>20</v>
      </c>
      <c r="D516" s="18">
        <f>VLOOKUP(C516,'DISTRIBUIÇÃO NF4267'!$E$3:$FQ$75,MATCH(B516,'DISTRIBUIÇÃO NF4267'!$E$3:$FQ$3,0)+1,0)</f>
        <v>20</v>
      </c>
      <c r="F516" s="28">
        <f t="shared" si="26"/>
        <v>5</v>
      </c>
    </row>
    <row r="517" spans="1:6" x14ac:dyDescent="0.35">
      <c r="A517">
        <f t="shared" si="27"/>
        <v>0</v>
      </c>
      <c r="B517">
        <f t="shared" si="25"/>
        <v>88</v>
      </c>
      <c r="C517" s="11" t="s">
        <v>21</v>
      </c>
      <c r="D517" s="18">
        <f>VLOOKUP(C517,'DISTRIBUIÇÃO NF4267'!$E$3:$FQ$75,MATCH(B517,'DISTRIBUIÇÃO NF4267'!$E$3:$FQ$3,0)+1,0)</f>
        <v>0</v>
      </c>
      <c r="F517" s="28">
        <f t="shared" si="26"/>
        <v>5</v>
      </c>
    </row>
    <row r="518" spans="1:6" x14ac:dyDescent="0.35">
      <c r="A518">
        <f t="shared" si="27"/>
        <v>0</v>
      </c>
      <c r="B518">
        <f t="shared" si="25"/>
        <v>88</v>
      </c>
      <c r="C518" s="12" t="s">
        <v>130</v>
      </c>
      <c r="D518" s="18">
        <f>VLOOKUP(C518,'DISTRIBUIÇÃO NF4267'!$E$3:$FQ$75,MATCH(B518,'DISTRIBUIÇÃO NF4267'!$E$3:$FQ$3,0)+1,0)</f>
        <v>0</v>
      </c>
      <c r="F518" s="28">
        <f t="shared" si="26"/>
        <v>5</v>
      </c>
    </row>
    <row r="519" spans="1:6" x14ac:dyDescent="0.35">
      <c r="A519">
        <f t="shared" si="27"/>
        <v>0</v>
      </c>
      <c r="B519">
        <f t="shared" si="25"/>
        <v>88</v>
      </c>
      <c r="C519" s="12" t="s">
        <v>131</v>
      </c>
      <c r="D519" s="18">
        <f>VLOOKUP(C519,'DISTRIBUIÇÃO NF4267'!$E$3:$FQ$75,MATCH(B519,'DISTRIBUIÇÃO NF4267'!$E$3:$FQ$3,0)+1,0)</f>
        <v>2</v>
      </c>
      <c r="F519" s="28">
        <f t="shared" si="26"/>
        <v>5</v>
      </c>
    </row>
    <row r="520" spans="1:6" x14ac:dyDescent="0.35">
      <c r="A520">
        <f t="shared" si="27"/>
        <v>0</v>
      </c>
      <c r="B520">
        <f t="shared" si="25"/>
        <v>88</v>
      </c>
      <c r="C520" s="12" t="s">
        <v>132</v>
      </c>
      <c r="D520" s="18">
        <f>VLOOKUP(C520,'DISTRIBUIÇÃO NF4267'!$E$3:$FQ$75,MATCH(B520,'DISTRIBUIÇÃO NF4267'!$E$3:$FQ$3,0)+1,0)</f>
        <v>8</v>
      </c>
      <c r="F520" s="28">
        <f t="shared" si="26"/>
        <v>5</v>
      </c>
    </row>
    <row r="521" spans="1:6" x14ac:dyDescent="0.35">
      <c r="A521">
        <f t="shared" si="27"/>
        <v>0</v>
      </c>
      <c r="B521">
        <f t="shared" si="25"/>
        <v>88</v>
      </c>
      <c r="C521" s="12" t="s">
        <v>133</v>
      </c>
      <c r="D521" s="18">
        <f>VLOOKUP(C521,'DISTRIBUIÇÃO NF4267'!$E$3:$FQ$75,MATCH(B521,'DISTRIBUIÇÃO NF4267'!$E$3:$FQ$3,0)+1,0)</f>
        <v>6</v>
      </c>
      <c r="F521" s="28">
        <f t="shared" si="26"/>
        <v>5</v>
      </c>
    </row>
    <row r="522" spans="1:6" x14ac:dyDescent="0.35">
      <c r="A522">
        <f t="shared" si="27"/>
        <v>0</v>
      </c>
      <c r="B522">
        <f t="shared" si="25"/>
        <v>88</v>
      </c>
      <c r="C522" s="12" t="s">
        <v>134</v>
      </c>
      <c r="D522" s="18">
        <f>VLOOKUP(C522,'DISTRIBUIÇÃO NF4267'!$E$3:$FQ$75,MATCH(B522,'DISTRIBUIÇÃO NF4267'!$E$3:$FQ$3,0)+1,0)</f>
        <v>4</v>
      </c>
      <c r="F522" s="28">
        <f t="shared" si="26"/>
        <v>5</v>
      </c>
    </row>
    <row r="523" spans="1:6" x14ac:dyDescent="0.35">
      <c r="A523">
        <f t="shared" si="27"/>
        <v>0</v>
      </c>
      <c r="B523">
        <f t="shared" si="25"/>
        <v>88</v>
      </c>
      <c r="C523" s="12" t="s">
        <v>135</v>
      </c>
      <c r="D523" s="18">
        <f>VLOOKUP(C523,'DISTRIBUIÇÃO NF4267'!$E$3:$FQ$75,MATCH(B523,'DISTRIBUIÇÃO NF4267'!$E$3:$FQ$3,0)+1,0)</f>
        <v>0</v>
      </c>
      <c r="F523" s="28">
        <f t="shared" si="26"/>
        <v>5</v>
      </c>
    </row>
    <row r="524" spans="1:6" x14ac:dyDescent="0.35">
      <c r="A524">
        <f t="shared" si="27"/>
        <v>0</v>
      </c>
      <c r="B524">
        <f t="shared" si="25"/>
        <v>88</v>
      </c>
      <c r="C524" s="13" t="s">
        <v>22</v>
      </c>
      <c r="D524" s="18">
        <f>VLOOKUP(C524,'DISTRIBUIÇÃO NF4267'!$E$3:$FQ$75,MATCH(B524,'DISTRIBUIÇÃO NF4267'!$E$3:$FQ$3,0)+1,0)</f>
        <v>0</v>
      </c>
      <c r="F524" s="28">
        <f t="shared" si="26"/>
        <v>5</v>
      </c>
    </row>
    <row r="525" spans="1:6" x14ac:dyDescent="0.35">
      <c r="A525">
        <f t="shared" si="27"/>
        <v>0</v>
      </c>
      <c r="B525">
        <f t="shared" si="25"/>
        <v>88</v>
      </c>
      <c r="C525" s="13" t="s">
        <v>23</v>
      </c>
      <c r="D525" s="18">
        <f>VLOOKUP(C525,'DISTRIBUIÇÃO NF4267'!$E$3:$FQ$75,MATCH(B525,'DISTRIBUIÇÃO NF4267'!$E$3:$FQ$3,0)+1,0)</f>
        <v>2</v>
      </c>
      <c r="F525" s="28">
        <f t="shared" si="26"/>
        <v>5</v>
      </c>
    </row>
    <row r="526" spans="1:6" x14ac:dyDescent="0.35">
      <c r="A526">
        <f t="shared" si="27"/>
        <v>0</v>
      </c>
      <c r="B526">
        <f t="shared" si="25"/>
        <v>88</v>
      </c>
      <c r="C526" s="13" t="s">
        <v>24</v>
      </c>
      <c r="D526" s="18">
        <f>VLOOKUP(C526,'DISTRIBUIÇÃO NF4267'!$E$3:$FQ$75,MATCH(B526,'DISTRIBUIÇÃO NF4267'!$E$3:$FQ$3,0)+1,0)</f>
        <v>12</v>
      </c>
      <c r="F526" s="28">
        <f t="shared" si="26"/>
        <v>5</v>
      </c>
    </row>
    <row r="527" spans="1:6" x14ac:dyDescent="0.35">
      <c r="A527">
        <f t="shared" si="27"/>
        <v>0</v>
      </c>
      <c r="B527">
        <f t="shared" si="25"/>
        <v>88</v>
      </c>
      <c r="C527" s="13" t="s">
        <v>25</v>
      </c>
      <c r="D527" s="18">
        <f>VLOOKUP(C527,'DISTRIBUIÇÃO NF4267'!$E$3:$FQ$75,MATCH(B527,'DISTRIBUIÇÃO NF4267'!$E$3:$FQ$3,0)+1,0)</f>
        <v>4</v>
      </c>
      <c r="F527" s="28">
        <f t="shared" si="26"/>
        <v>5</v>
      </c>
    </row>
    <row r="528" spans="1:6" x14ac:dyDescent="0.35">
      <c r="A528">
        <f t="shared" si="27"/>
        <v>0</v>
      </c>
      <c r="B528">
        <f t="shared" si="25"/>
        <v>88</v>
      </c>
      <c r="C528" s="13" t="s">
        <v>26</v>
      </c>
      <c r="D528" s="18">
        <f>VLOOKUP(C528,'DISTRIBUIÇÃO NF4267'!$E$3:$FQ$75,MATCH(B528,'DISTRIBUIÇÃO NF4267'!$E$3:$FQ$3,0)+1,0)</f>
        <v>2</v>
      </c>
      <c r="F528" s="28">
        <f t="shared" si="26"/>
        <v>5</v>
      </c>
    </row>
    <row r="529" spans="1:6" x14ac:dyDescent="0.35">
      <c r="A529">
        <f t="shared" si="27"/>
        <v>0</v>
      </c>
      <c r="B529">
        <f t="shared" si="25"/>
        <v>88</v>
      </c>
      <c r="C529" s="13" t="s">
        <v>27</v>
      </c>
      <c r="D529" s="18">
        <f>VLOOKUP(C529,'DISTRIBUIÇÃO NF4267'!$E$3:$FQ$75,MATCH(B529,'DISTRIBUIÇÃO NF4267'!$E$3:$FQ$3,0)+1,0)</f>
        <v>0</v>
      </c>
      <c r="F529" s="28">
        <f t="shared" si="26"/>
        <v>5</v>
      </c>
    </row>
    <row r="530" spans="1:6" x14ac:dyDescent="0.35">
      <c r="A530">
        <f t="shared" si="27"/>
        <v>0</v>
      </c>
      <c r="B530">
        <f t="shared" si="25"/>
        <v>88</v>
      </c>
      <c r="C530" s="14" t="s">
        <v>138</v>
      </c>
      <c r="D530" s="18">
        <f>VLOOKUP(C530,'DISTRIBUIÇÃO NF4267'!$E$3:$FQ$75,MATCH(B530,'DISTRIBUIÇÃO NF4267'!$E$3:$FQ$3,0)+1,0)</f>
        <v>0</v>
      </c>
      <c r="F530" s="28">
        <f t="shared" si="26"/>
        <v>5</v>
      </c>
    </row>
    <row r="531" spans="1:6" x14ac:dyDescent="0.35">
      <c r="A531">
        <f t="shared" si="27"/>
        <v>0</v>
      </c>
      <c r="B531">
        <f t="shared" si="25"/>
        <v>88</v>
      </c>
      <c r="C531" s="14" t="s">
        <v>139</v>
      </c>
      <c r="D531" s="18">
        <f>VLOOKUP(C531,'DISTRIBUIÇÃO NF4267'!$E$3:$FQ$75,MATCH(B531,'DISTRIBUIÇÃO NF4267'!$E$3:$FQ$3,0)+1,0)</f>
        <v>8</v>
      </c>
      <c r="F531" s="28">
        <f t="shared" si="26"/>
        <v>5</v>
      </c>
    </row>
    <row r="532" spans="1:6" x14ac:dyDescent="0.35">
      <c r="A532">
        <f t="shared" si="27"/>
        <v>0</v>
      </c>
      <c r="B532">
        <f t="shared" si="25"/>
        <v>88</v>
      </c>
      <c r="C532" s="14" t="s">
        <v>140</v>
      </c>
      <c r="D532" s="18">
        <f>VLOOKUP(C532,'DISTRIBUIÇÃO NF4267'!$E$3:$FQ$75,MATCH(B532,'DISTRIBUIÇÃO NF4267'!$E$3:$FQ$3,0)+1,0)</f>
        <v>16</v>
      </c>
      <c r="F532" s="28">
        <f t="shared" si="26"/>
        <v>5</v>
      </c>
    </row>
    <row r="533" spans="1:6" x14ac:dyDescent="0.35">
      <c r="A533">
        <f t="shared" si="27"/>
        <v>0</v>
      </c>
      <c r="B533">
        <f t="shared" si="25"/>
        <v>88</v>
      </c>
      <c r="C533" s="14" t="s">
        <v>141</v>
      </c>
      <c r="D533" s="18">
        <f>VLOOKUP(C533,'DISTRIBUIÇÃO NF4267'!$E$3:$FQ$75,MATCH(B533,'DISTRIBUIÇÃO NF4267'!$E$3:$FQ$3,0)+1,0)</f>
        <v>8</v>
      </c>
      <c r="F533" s="28">
        <f t="shared" si="26"/>
        <v>5</v>
      </c>
    </row>
    <row r="534" spans="1:6" x14ac:dyDescent="0.35">
      <c r="A534">
        <f t="shared" si="27"/>
        <v>0</v>
      </c>
      <c r="B534">
        <f t="shared" si="25"/>
        <v>88</v>
      </c>
      <c r="C534" s="14" t="s">
        <v>142</v>
      </c>
      <c r="D534" s="18">
        <f>VLOOKUP(C534,'DISTRIBUIÇÃO NF4267'!$E$3:$FQ$75,MATCH(B534,'DISTRIBUIÇÃO NF4267'!$E$3:$FQ$3,0)+1,0)</f>
        <v>8</v>
      </c>
      <c r="F534" s="28">
        <f t="shared" si="26"/>
        <v>5</v>
      </c>
    </row>
    <row r="535" spans="1:6" x14ac:dyDescent="0.35">
      <c r="A535">
        <f t="shared" si="27"/>
        <v>0</v>
      </c>
      <c r="B535">
        <f t="shared" si="25"/>
        <v>88</v>
      </c>
      <c r="C535" s="14" t="s">
        <v>143</v>
      </c>
      <c r="D535" s="18">
        <f>VLOOKUP(C535,'DISTRIBUIÇÃO NF4267'!$E$3:$FQ$75,MATCH(B535,'DISTRIBUIÇÃO NF4267'!$E$3:$FQ$3,0)+1,0)</f>
        <v>0</v>
      </c>
      <c r="F535" s="28">
        <f t="shared" si="26"/>
        <v>5</v>
      </c>
    </row>
    <row r="536" spans="1:6" x14ac:dyDescent="0.35">
      <c r="A536">
        <f t="shared" si="27"/>
        <v>0</v>
      </c>
      <c r="B536">
        <f t="shared" si="25"/>
        <v>88</v>
      </c>
      <c r="C536" s="15" t="s">
        <v>145</v>
      </c>
      <c r="D536" s="18">
        <f>VLOOKUP(C536,'DISTRIBUIÇÃO NF4267'!$E$3:$FQ$75,MATCH(B536,'DISTRIBUIÇÃO NF4267'!$E$3:$FQ$3,0)+1,0)</f>
        <v>0</v>
      </c>
      <c r="F536" s="28">
        <f t="shared" si="26"/>
        <v>5</v>
      </c>
    </row>
    <row r="537" spans="1:6" x14ac:dyDescent="0.35">
      <c r="A537">
        <f t="shared" si="27"/>
        <v>0</v>
      </c>
      <c r="B537">
        <f t="shared" si="25"/>
        <v>88</v>
      </c>
      <c r="C537" s="15" t="s">
        <v>146</v>
      </c>
      <c r="D537" s="18">
        <f>VLOOKUP(C537,'DISTRIBUIÇÃO NF4267'!$E$3:$FQ$75,MATCH(B537,'DISTRIBUIÇÃO NF4267'!$E$3:$FQ$3,0)+1,0)</f>
        <v>10</v>
      </c>
      <c r="F537" s="28">
        <f t="shared" si="26"/>
        <v>5</v>
      </c>
    </row>
    <row r="538" spans="1:6" x14ac:dyDescent="0.35">
      <c r="A538">
        <f t="shared" si="27"/>
        <v>0</v>
      </c>
      <c r="B538">
        <f t="shared" si="25"/>
        <v>88</v>
      </c>
      <c r="C538" s="15" t="s">
        <v>147</v>
      </c>
      <c r="D538" s="18">
        <f>VLOOKUP(C538,'DISTRIBUIÇÃO NF4267'!$E$3:$FQ$75,MATCH(B538,'DISTRIBUIÇÃO NF4267'!$E$3:$FQ$3,0)+1,0)</f>
        <v>20</v>
      </c>
      <c r="F538" s="28">
        <f t="shared" si="26"/>
        <v>5</v>
      </c>
    </row>
    <row r="539" spans="1:6" x14ac:dyDescent="0.35">
      <c r="A539">
        <f t="shared" si="27"/>
        <v>0</v>
      </c>
      <c r="B539">
        <f t="shared" si="25"/>
        <v>88</v>
      </c>
      <c r="C539" s="15" t="s">
        <v>148</v>
      </c>
      <c r="D539" s="18">
        <f>VLOOKUP(C539,'DISTRIBUIÇÃO NF4267'!$E$3:$FQ$75,MATCH(B539,'DISTRIBUIÇÃO NF4267'!$E$3:$FQ$3,0)+1,0)</f>
        <v>10</v>
      </c>
      <c r="F539" s="28">
        <f t="shared" si="26"/>
        <v>5</v>
      </c>
    </row>
    <row r="540" spans="1:6" x14ac:dyDescent="0.35">
      <c r="A540">
        <f t="shared" si="27"/>
        <v>0</v>
      </c>
      <c r="B540">
        <f t="shared" si="25"/>
        <v>88</v>
      </c>
      <c r="C540" s="15" t="s">
        <v>149</v>
      </c>
      <c r="D540" s="18">
        <f>VLOOKUP(C540,'DISTRIBUIÇÃO NF4267'!$E$3:$FQ$75,MATCH(B540,'DISTRIBUIÇÃO NF4267'!$E$3:$FQ$3,0)+1,0)</f>
        <v>10</v>
      </c>
      <c r="F540" s="28">
        <f t="shared" si="26"/>
        <v>5</v>
      </c>
    </row>
    <row r="541" spans="1:6" x14ac:dyDescent="0.35">
      <c r="A541">
        <f t="shared" si="27"/>
        <v>0</v>
      </c>
      <c r="B541">
        <f t="shared" si="25"/>
        <v>88</v>
      </c>
      <c r="C541" s="15" t="s">
        <v>150</v>
      </c>
      <c r="D541" s="18">
        <f>VLOOKUP(C541,'DISTRIBUIÇÃO NF4267'!$E$3:$FQ$75,MATCH(B541,'DISTRIBUIÇÃO NF4267'!$E$3:$FQ$3,0)+1,0)</f>
        <v>0</v>
      </c>
      <c r="F541" s="28">
        <f t="shared" si="26"/>
        <v>5</v>
      </c>
    </row>
    <row r="542" spans="1:6" x14ac:dyDescent="0.35">
      <c r="A542">
        <f t="shared" si="27"/>
        <v>0</v>
      </c>
      <c r="B542">
        <v>58</v>
      </c>
      <c r="C542" s="7" t="s">
        <v>98</v>
      </c>
      <c r="D542" s="18">
        <f>VLOOKUP(C542,'DISTRIBUIÇÃO NF4267'!$E$3:$FQ$75,MATCH(B542,'DISTRIBUIÇÃO NF4267'!$E$3:$FQ$3,0)+1,0)</f>
        <v>0</v>
      </c>
      <c r="F542" s="28">
        <f t="shared" si="26"/>
        <v>5</v>
      </c>
    </row>
    <row r="543" spans="1:6" x14ac:dyDescent="0.35">
      <c r="A543">
        <f t="shared" si="27"/>
        <v>0</v>
      </c>
      <c r="B543">
        <f>B542</f>
        <v>58</v>
      </c>
      <c r="C543" s="7" t="s">
        <v>99</v>
      </c>
      <c r="D543" s="18">
        <f>VLOOKUP(C543,'DISTRIBUIÇÃO NF4267'!$E$3:$FQ$75,MATCH(B543,'DISTRIBUIÇÃO NF4267'!$E$3:$FQ$3,0)+1,0)</f>
        <v>4</v>
      </c>
      <c r="F543" s="28">
        <f t="shared" si="26"/>
        <v>5</v>
      </c>
    </row>
    <row r="544" spans="1:6" x14ac:dyDescent="0.35">
      <c r="A544">
        <f t="shared" si="27"/>
        <v>0</v>
      </c>
      <c r="B544">
        <f t="shared" ref="B544:B595" si="28">B543</f>
        <v>58</v>
      </c>
      <c r="C544" s="7" t="s">
        <v>100</v>
      </c>
      <c r="D544" s="18">
        <f>VLOOKUP(C544,'DISTRIBUIÇÃO NF4267'!$E$3:$FQ$75,MATCH(B544,'DISTRIBUIÇÃO NF4267'!$E$3:$FQ$3,0)+1,0)</f>
        <v>8</v>
      </c>
      <c r="F544" s="28">
        <f t="shared" si="26"/>
        <v>5</v>
      </c>
    </row>
    <row r="545" spans="1:6" x14ac:dyDescent="0.35">
      <c r="A545">
        <f t="shared" si="27"/>
        <v>0</v>
      </c>
      <c r="B545">
        <f t="shared" si="28"/>
        <v>58</v>
      </c>
      <c r="C545" s="7" t="s">
        <v>101</v>
      </c>
      <c r="D545" s="18">
        <f>VLOOKUP(C545,'DISTRIBUIÇÃO NF4267'!$E$3:$FQ$75,MATCH(B545,'DISTRIBUIÇÃO NF4267'!$E$3:$FQ$3,0)+1,0)</f>
        <v>4</v>
      </c>
      <c r="F545" s="28">
        <f t="shared" si="26"/>
        <v>5</v>
      </c>
    </row>
    <row r="546" spans="1:6" x14ac:dyDescent="0.35">
      <c r="A546">
        <f t="shared" si="27"/>
        <v>0</v>
      </c>
      <c r="B546">
        <f t="shared" si="28"/>
        <v>58</v>
      </c>
      <c r="C546" s="7" t="s">
        <v>102</v>
      </c>
      <c r="D546" s="18">
        <f>VLOOKUP(C546,'DISTRIBUIÇÃO NF4267'!$E$3:$FQ$75,MATCH(B546,'DISTRIBUIÇÃO NF4267'!$E$3:$FQ$3,0)+1,0)</f>
        <v>4</v>
      </c>
      <c r="F546" s="28">
        <f t="shared" si="26"/>
        <v>5</v>
      </c>
    </row>
    <row r="547" spans="1:6" x14ac:dyDescent="0.35">
      <c r="A547">
        <f t="shared" si="27"/>
        <v>0</v>
      </c>
      <c r="B547">
        <f t="shared" si="28"/>
        <v>58</v>
      </c>
      <c r="C547" s="7" t="s">
        <v>103</v>
      </c>
      <c r="D547" s="18">
        <f>VLOOKUP(C547,'DISTRIBUIÇÃO NF4267'!$E$3:$FQ$75,MATCH(B547,'DISTRIBUIÇÃO NF4267'!$E$3:$FQ$3,0)+1,0)</f>
        <v>0</v>
      </c>
      <c r="F547" s="28">
        <f t="shared" si="26"/>
        <v>5</v>
      </c>
    </row>
    <row r="548" spans="1:6" x14ac:dyDescent="0.35">
      <c r="A548">
        <f t="shared" si="27"/>
        <v>0</v>
      </c>
      <c r="B548">
        <f t="shared" si="28"/>
        <v>58</v>
      </c>
      <c r="C548" s="8" t="s">
        <v>107</v>
      </c>
      <c r="D548" s="18">
        <f>VLOOKUP(C548,'DISTRIBUIÇÃO NF4267'!$E$3:$FQ$75,MATCH(B548,'DISTRIBUIÇÃO NF4267'!$E$3:$FQ$3,0)+1,0)</f>
        <v>0</v>
      </c>
      <c r="F548" s="28">
        <f t="shared" si="26"/>
        <v>5</v>
      </c>
    </row>
    <row r="549" spans="1:6" x14ac:dyDescent="0.35">
      <c r="A549">
        <f t="shared" si="27"/>
        <v>0</v>
      </c>
      <c r="B549">
        <f t="shared" si="28"/>
        <v>58</v>
      </c>
      <c r="C549" s="8" t="s">
        <v>108</v>
      </c>
      <c r="D549" s="18">
        <f>VLOOKUP(C549,'DISTRIBUIÇÃO NF4267'!$E$3:$FQ$75,MATCH(B549,'DISTRIBUIÇÃO NF4267'!$E$3:$FQ$3,0)+1,0)</f>
        <v>6</v>
      </c>
      <c r="F549" s="28">
        <f t="shared" si="26"/>
        <v>5</v>
      </c>
    </row>
    <row r="550" spans="1:6" x14ac:dyDescent="0.35">
      <c r="A550">
        <f t="shared" si="27"/>
        <v>0</v>
      </c>
      <c r="B550">
        <f t="shared" si="28"/>
        <v>58</v>
      </c>
      <c r="C550" s="8" t="s">
        <v>109</v>
      </c>
      <c r="D550" s="18">
        <f>VLOOKUP(C550,'DISTRIBUIÇÃO NF4267'!$E$3:$FQ$75,MATCH(B550,'DISTRIBUIÇÃO NF4267'!$E$3:$FQ$3,0)+1,0)</f>
        <v>12</v>
      </c>
      <c r="F550" s="28">
        <f t="shared" si="26"/>
        <v>5</v>
      </c>
    </row>
    <row r="551" spans="1:6" x14ac:dyDescent="0.35">
      <c r="A551">
        <f t="shared" si="27"/>
        <v>0</v>
      </c>
      <c r="B551">
        <f t="shared" si="28"/>
        <v>58</v>
      </c>
      <c r="C551" s="8" t="s">
        <v>110</v>
      </c>
      <c r="D551" s="18">
        <f>VLOOKUP(C551,'DISTRIBUIÇÃO NF4267'!$E$3:$FQ$75,MATCH(B551,'DISTRIBUIÇÃO NF4267'!$E$3:$FQ$3,0)+1,0)</f>
        <v>6</v>
      </c>
      <c r="F551" s="28">
        <f t="shared" si="26"/>
        <v>5</v>
      </c>
    </row>
    <row r="552" spans="1:6" x14ac:dyDescent="0.35">
      <c r="A552">
        <f t="shared" si="27"/>
        <v>0</v>
      </c>
      <c r="B552">
        <f t="shared" si="28"/>
        <v>58</v>
      </c>
      <c r="C552" s="8" t="s">
        <v>111</v>
      </c>
      <c r="D552" s="18">
        <f>VLOOKUP(C552,'DISTRIBUIÇÃO NF4267'!$E$3:$FQ$75,MATCH(B552,'DISTRIBUIÇÃO NF4267'!$E$3:$FQ$3,0)+1,0)</f>
        <v>6</v>
      </c>
      <c r="F552" s="28">
        <f t="shared" si="26"/>
        <v>5</v>
      </c>
    </row>
    <row r="553" spans="1:6" x14ac:dyDescent="0.35">
      <c r="A553">
        <f t="shared" si="27"/>
        <v>0</v>
      </c>
      <c r="B553">
        <f t="shared" si="28"/>
        <v>58</v>
      </c>
      <c r="C553" s="8" t="s">
        <v>112</v>
      </c>
      <c r="D553" s="18">
        <f>VLOOKUP(C553,'DISTRIBUIÇÃO NF4267'!$E$3:$FQ$75,MATCH(B553,'DISTRIBUIÇÃO NF4267'!$E$3:$FQ$3,0)+1,0)</f>
        <v>0</v>
      </c>
      <c r="F553" s="28">
        <f t="shared" si="26"/>
        <v>5</v>
      </c>
    </row>
    <row r="554" spans="1:6" x14ac:dyDescent="0.35">
      <c r="A554">
        <f t="shared" si="27"/>
        <v>0</v>
      </c>
      <c r="B554">
        <f t="shared" si="28"/>
        <v>58</v>
      </c>
      <c r="C554" s="9" t="s">
        <v>113</v>
      </c>
      <c r="D554" s="18">
        <f>VLOOKUP(C554,'DISTRIBUIÇÃO NF4267'!$E$3:$FQ$75,MATCH(B554,'DISTRIBUIÇÃO NF4267'!$E$3:$FQ$3,0)+1,0)</f>
        <v>0</v>
      </c>
      <c r="F554" s="28">
        <f t="shared" si="26"/>
        <v>5</v>
      </c>
    </row>
    <row r="555" spans="1:6" x14ac:dyDescent="0.35">
      <c r="A555">
        <f t="shared" si="27"/>
        <v>0</v>
      </c>
      <c r="B555">
        <f t="shared" si="28"/>
        <v>58</v>
      </c>
      <c r="C555" s="9" t="s">
        <v>114</v>
      </c>
      <c r="D555" s="18">
        <f>VLOOKUP(C555,'DISTRIBUIÇÃO NF4267'!$E$3:$FQ$75,MATCH(B555,'DISTRIBUIÇÃO NF4267'!$E$3:$FQ$3,0)+1,0)</f>
        <v>9</v>
      </c>
      <c r="F555" s="28">
        <f t="shared" si="26"/>
        <v>5</v>
      </c>
    </row>
    <row r="556" spans="1:6" x14ac:dyDescent="0.35">
      <c r="A556">
        <f t="shared" si="27"/>
        <v>0</v>
      </c>
      <c r="B556">
        <f t="shared" si="28"/>
        <v>58</v>
      </c>
      <c r="C556" s="9" t="s">
        <v>115</v>
      </c>
      <c r="D556" s="18">
        <f>VLOOKUP(C556,'DISTRIBUIÇÃO NF4267'!$E$3:$FQ$75,MATCH(B556,'DISTRIBUIÇÃO NF4267'!$E$3:$FQ$3,0)+1,0)</f>
        <v>12</v>
      </c>
      <c r="F556" s="28">
        <f t="shared" si="26"/>
        <v>5</v>
      </c>
    </row>
    <row r="557" spans="1:6" x14ac:dyDescent="0.35">
      <c r="A557">
        <f t="shared" si="27"/>
        <v>0</v>
      </c>
      <c r="B557">
        <f t="shared" si="28"/>
        <v>58</v>
      </c>
      <c r="C557" s="9" t="s">
        <v>116</v>
      </c>
      <c r="D557" s="18">
        <f>VLOOKUP(C557,'DISTRIBUIÇÃO NF4267'!$E$3:$FQ$75,MATCH(B557,'DISTRIBUIÇÃO NF4267'!$E$3:$FQ$3,0)+1,0)</f>
        <v>6</v>
      </c>
      <c r="F557" s="28">
        <f t="shared" si="26"/>
        <v>5</v>
      </c>
    </row>
    <row r="558" spans="1:6" x14ac:dyDescent="0.35">
      <c r="A558">
        <f t="shared" si="27"/>
        <v>0</v>
      </c>
      <c r="B558">
        <f t="shared" si="28"/>
        <v>58</v>
      </c>
      <c r="C558" s="9" t="s">
        <v>117</v>
      </c>
      <c r="D558" s="18">
        <f>VLOOKUP(C558,'DISTRIBUIÇÃO NF4267'!$E$3:$FQ$75,MATCH(B558,'DISTRIBUIÇÃO NF4267'!$E$3:$FQ$3,0)+1,0)</f>
        <v>3</v>
      </c>
      <c r="F558" s="28">
        <f t="shared" si="26"/>
        <v>5</v>
      </c>
    </row>
    <row r="559" spans="1:6" x14ac:dyDescent="0.35">
      <c r="A559">
        <f t="shared" si="27"/>
        <v>0</v>
      </c>
      <c r="B559">
        <f t="shared" si="28"/>
        <v>58</v>
      </c>
      <c r="C559" s="9" t="s">
        <v>118</v>
      </c>
      <c r="D559" s="18">
        <f>VLOOKUP(C559,'DISTRIBUIÇÃO NF4267'!$E$3:$FQ$75,MATCH(B559,'DISTRIBUIÇÃO NF4267'!$E$3:$FQ$3,0)+1,0)</f>
        <v>0</v>
      </c>
      <c r="F559" s="28">
        <f t="shared" si="26"/>
        <v>5</v>
      </c>
    </row>
    <row r="560" spans="1:6" x14ac:dyDescent="0.35">
      <c r="A560">
        <f t="shared" si="27"/>
        <v>0</v>
      </c>
      <c r="B560">
        <f t="shared" si="28"/>
        <v>58</v>
      </c>
      <c r="C560" s="10" t="s">
        <v>119</v>
      </c>
      <c r="D560" s="18">
        <f>VLOOKUP(C560,'DISTRIBUIÇÃO NF4267'!$E$3:$FQ$75,MATCH(B560,'DISTRIBUIÇÃO NF4267'!$E$3:$FQ$3,0)+1,0)</f>
        <v>0</v>
      </c>
      <c r="F560" s="28">
        <f t="shared" si="26"/>
        <v>5</v>
      </c>
    </row>
    <row r="561" spans="1:6" x14ac:dyDescent="0.35">
      <c r="A561">
        <f t="shared" si="27"/>
        <v>0</v>
      </c>
      <c r="B561">
        <f t="shared" si="28"/>
        <v>58</v>
      </c>
      <c r="C561" s="10" t="s">
        <v>120</v>
      </c>
      <c r="D561" s="18">
        <f>VLOOKUP(C561,'DISTRIBUIÇÃO NF4267'!$E$3:$FQ$75,MATCH(B561,'DISTRIBUIÇÃO NF4267'!$E$3:$FQ$3,0)+1,0)</f>
        <v>60</v>
      </c>
      <c r="F561" s="28">
        <f t="shared" si="26"/>
        <v>5</v>
      </c>
    </row>
    <row r="562" spans="1:6" x14ac:dyDescent="0.35">
      <c r="A562">
        <f t="shared" si="27"/>
        <v>0</v>
      </c>
      <c r="B562">
        <f t="shared" si="28"/>
        <v>58</v>
      </c>
      <c r="C562" s="10" t="s">
        <v>121</v>
      </c>
      <c r="D562" s="18">
        <f>VLOOKUP(C562,'DISTRIBUIÇÃO NF4267'!$E$3:$FQ$75,MATCH(B562,'DISTRIBUIÇÃO NF4267'!$E$3:$FQ$3,0)+1,0)</f>
        <v>20</v>
      </c>
      <c r="F562" s="28">
        <f t="shared" si="26"/>
        <v>5</v>
      </c>
    </row>
    <row r="563" spans="1:6" x14ac:dyDescent="0.35">
      <c r="A563">
        <f t="shared" si="27"/>
        <v>0</v>
      </c>
      <c r="B563">
        <f t="shared" si="28"/>
        <v>58</v>
      </c>
      <c r="C563" s="10" t="s">
        <v>122</v>
      </c>
      <c r="D563" s="18">
        <f>VLOOKUP(C563,'DISTRIBUIÇÃO NF4267'!$E$3:$FQ$75,MATCH(B563,'DISTRIBUIÇÃO NF4267'!$E$3:$FQ$3,0)+1,0)</f>
        <v>20</v>
      </c>
      <c r="F563" s="28">
        <f t="shared" si="26"/>
        <v>5</v>
      </c>
    </row>
    <row r="564" spans="1:6" x14ac:dyDescent="0.35">
      <c r="A564">
        <f t="shared" si="27"/>
        <v>0</v>
      </c>
      <c r="B564">
        <f t="shared" si="28"/>
        <v>58</v>
      </c>
      <c r="C564" s="10" t="s">
        <v>123</v>
      </c>
      <c r="D564" s="18">
        <f>VLOOKUP(C564,'DISTRIBUIÇÃO NF4267'!$E$3:$FQ$75,MATCH(B564,'DISTRIBUIÇÃO NF4267'!$E$3:$FQ$3,0)+1,0)</f>
        <v>0</v>
      </c>
      <c r="F564" s="28">
        <f t="shared" si="26"/>
        <v>5</v>
      </c>
    </row>
    <row r="565" spans="1:6" x14ac:dyDescent="0.35">
      <c r="A565">
        <f t="shared" si="27"/>
        <v>0</v>
      </c>
      <c r="B565">
        <f t="shared" si="28"/>
        <v>58</v>
      </c>
      <c r="C565" s="10" t="s">
        <v>124</v>
      </c>
      <c r="D565" s="18">
        <f>VLOOKUP(C565,'DISTRIBUIÇÃO NF4267'!$E$3:$FQ$75,MATCH(B565,'DISTRIBUIÇÃO NF4267'!$E$3:$FQ$3,0)+1,0)</f>
        <v>0</v>
      </c>
      <c r="F565" s="28">
        <f t="shared" si="26"/>
        <v>5</v>
      </c>
    </row>
    <row r="566" spans="1:6" x14ac:dyDescent="0.35">
      <c r="A566">
        <f t="shared" si="27"/>
        <v>0</v>
      </c>
      <c r="B566">
        <f t="shared" si="28"/>
        <v>58</v>
      </c>
      <c r="C566" s="11" t="s">
        <v>16</v>
      </c>
      <c r="D566" s="18">
        <f>VLOOKUP(C566,'DISTRIBUIÇÃO NF4267'!$E$3:$FQ$75,MATCH(B566,'DISTRIBUIÇÃO NF4267'!$E$3:$FQ$3,0)+1,0)</f>
        <v>0</v>
      </c>
      <c r="F566" s="28">
        <f t="shared" si="26"/>
        <v>5</v>
      </c>
    </row>
    <row r="567" spans="1:6" x14ac:dyDescent="0.35">
      <c r="A567">
        <f t="shared" si="27"/>
        <v>0</v>
      </c>
      <c r="B567">
        <f t="shared" si="28"/>
        <v>58</v>
      </c>
      <c r="C567" s="11" t="s">
        <v>17</v>
      </c>
      <c r="D567" s="18">
        <f>VLOOKUP(C567,'DISTRIBUIÇÃO NF4267'!$E$3:$FQ$75,MATCH(B567,'DISTRIBUIÇÃO NF4267'!$E$3:$FQ$3,0)+1,0)</f>
        <v>12</v>
      </c>
      <c r="F567" s="28">
        <f t="shared" si="26"/>
        <v>5</v>
      </c>
    </row>
    <row r="568" spans="1:6" x14ac:dyDescent="0.35">
      <c r="A568">
        <f t="shared" si="27"/>
        <v>0</v>
      </c>
      <c r="B568">
        <f t="shared" si="28"/>
        <v>58</v>
      </c>
      <c r="C568" s="11" t="s">
        <v>18</v>
      </c>
      <c r="D568" s="18">
        <f>VLOOKUP(C568,'DISTRIBUIÇÃO NF4267'!$E$3:$FQ$75,MATCH(B568,'DISTRIBUIÇÃO NF4267'!$E$3:$FQ$3,0)+1,0)</f>
        <v>4</v>
      </c>
      <c r="F568" s="28">
        <f t="shared" ref="F568:F631" si="29">ROUNDUP(SUMIFS(D:D,B:B,B568)/80,0)</f>
        <v>5</v>
      </c>
    </row>
    <row r="569" spans="1:6" x14ac:dyDescent="0.35">
      <c r="A569">
        <f t="shared" si="27"/>
        <v>0</v>
      </c>
      <c r="B569">
        <f t="shared" si="28"/>
        <v>58</v>
      </c>
      <c r="C569" s="11" t="s">
        <v>19</v>
      </c>
      <c r="D569" s="18">
        <f>VLOOKUP(C569,'DISTRIBUIÇÃO NF4267'!$E$3:$FQ$75,MATCH(B569,'DISTRIBUIÇÃO NF4267'!$E$3:$FQ$3,0)+1,0)</f>
        <v>4</v>
      </c>
      <c r="F569" s="28">
        <f t="shared" si="29"/>
        <v>5</v>
      </c>
    </row>
    <row r="570" spans="1:6" x14ac:dyDescent="0.35">
      <c r="A570">
        <f t="shared" si="27"/>
        <v>0</v>
      </c>
      <c r="B570">
        <f t="shared" si="28"/>
        <v>58</v>
      </c>
      <c r="C570" s="11" t="s">
        <v>20</v>
      </c>
      <c r="D570" s="18">
        <f>VLOOKUP(C570,'DISTRIBUIÇÃO NF4267'!$E$3:$FQ$75,MATCH(B570,'DISTRIBUIÇÃO NF4267'!$E$3:$FQ$3,0)+1,0)</f>
        <v>20</v>
      </c>
      <c r="F570" s="28">
        <f t="shared" si="29"/>
        <v>5</v>
      </c>
    </row>
    <row r="571" spans="1:6" x14ac:dyDescent="0.35">
      <c r="A571">
        <f t="shared" si="27"/>
        <v>0</v>
      </c>
      <c r="B571">
        <f t="shared" si="28"/>
        <v>58</v>
      </c>
      <c r="C571" s="11" t="s">
        <v>21</v>
      </c>
      <c r="D571" s="18">
        <f>VLOOKUP(C571,'DISTRIBUIÇÃO NF4267'!$E$3:$FQ$75,MATCH(B571,'DISTRIBUIÇÃO NF4267'!$E$3:$FQ$3,0)+1,0)</f>
        <v>0</v>
      </c>
      <c r="F571" s="28">
        <f t="shared" si="29"/>
        <v>5</v>
      </c>
    </row>
    <row r="572" spans="1:6" x14ac:dyDescent="0.35">
      <c r="A572">
        <f t="shared" si="27"/>
        <v>0</v>
      </c>
      <c r="B572">
        <f t="shared" si="28"/>
        <v>58</v>
      </c>
      <c r="C572" s="12" t="s">
        <v>130</v>
      </c>
      <c r="D572" s="18">
        <f>VLOOKUP(C572,'DISTRIBUIÇÃO NF4267'!$E$3:$FQ$75,MATCH(B572,'DISTRIBUIÇÃO NF4267'!$E$3:$FQ$3,0)+1,0)</f>
        <v>0</v>
      </c>
      <c r="F572" s="28">
        <f t="shared" si="29"/>
        <v>5</v>
      </c>
    </row>
    <row r="573" spans="1:6" x14ac:dyDescent="0.35">
      <c r="A573">
        <f t="shared" si="27"/>
        <v>0</v>
      </c>
      <c r="B573">
        <f t="shared" si="28"/>
        <v>58</v>
      </c>
      <c r="C573" s="12" t="s">
        <v>131</v>
      </c>
      <c r="D573" s="18">
        <f>VLOOKUP(C573,'DISTRIBUIÇÃO NF4267'!$E$3:$FQ$75,MATCH(B573,'DISTRIBUIÇÃO NF4267'!$E$3:$FQ$3,0)+1,0)</f>
        <v>2</v>
      </c>
      <c r="F573" s="28">
        <f t="shared" si="29"/>
        <v>5</v>
      </c>
    </row>
    <row r="574" spans="1:6" x14ac:dyDescent="0.35">
      <c r="A574">
        <f t="shared" si="27"/>
        <v>0</v>
      </c>
      <c r="B574">
        <f t="shared" si="28"/>
        <v>58</v>
      </c>
      <c r="C574" s="12" t="s">
        <v>132</v>
      </c>
      <c r="D574" s="18">
        <f>VLOOKUP(C574,'DISTRIBUIÇÃO NF4267'!$E$3:$FQ$75,MATCH(B574,'DISTRIBUIÇÃO NF4267'!$E$3:$FQ$3,0)+1,0)</f>
        <v>8</v>
      </c>
      <c r="F574" s="28">
        <f t="shared" si="29"/>
        <v>5</v>
      </c>
    </row>
    <row r="575" spans="1:6" x14ac:dyDescent="0.35">
      <c r="A575">
        <f t="shared" si="27"/>
        <v>0</v>
      </c>
      <c r="B575">
        <f t="shared" si="28"/>
        <v>58</v>
      </c>
      <c r="C575" s="12" t="s">
        <v>133</v>
      </c>
      <c r="D575" s="18">
        <f>VLOOKUP(C575,'DISTRIBUIÇÃO NF4267'!$E$3:$FQ$75,MATCH(B575,'DISTRIBUIÇÃO NF4267'!$E$3:$FQ$3,0)+1,0)</f>
        <v>6</v>
      </c>
      <c r="F575" s="28">
        <f t="shared" si="29"/>
        <v>5</v>
      </c>
    </row>
    <row r="576" spans="1:6" x14ac:dyDescent="0.35">
      <c r="A576">
        <f t="shared" si="27"/>
        <v>0</v>
      </c>
      <c r="B576">
        <f t="shared" si="28"/>
        <v>58</v>
      </c>
      <c r="C576" s="12" t="s">
        <v>134</v>
      </c>
      <c r="D576" s="18">
        <f>VLOOKUP(C576,'DISTRIBUIÇÃO NF4267'!$E$3:$FQ$75,MATCH(B576,'DISTRIBUIÇÃO NF4267'!$E$3:$FQ$3,0)+1,0)</f>
        <v>4</v>
      </c>
      <c r="F576" s="28">
        <f t="shared" si="29"/>
        <v>5</v>
      </c>
    </row>
    <row r="577" spans="1:6" x14ac:dyDescent="0.35">
      <c r="A577">
        <f t="shared" si="27"/>
        <v>0</v>
      </c>
      <c r="B577">
        <f t="shared" si="28"/>
        <v>58</v>
      </c>
      <c r="C577" s="12" t="s">
        <v>135</v>
      </c>
      <c r="D577" s="18">
        <f>VLOOKUP(C577,'DISTRIBUIÇÃO NF4267'!$E$3:$FQ$75,MATCH(B577,'DISTRIBUIÇÃO NF4267'!$E$3:$FQ$3,0)+1,0)</f>
        <v>0</v>
      </c>
      <c r="F577" s="28">
        <f t="shared" si="29"/>
        <v>5</v>
      </c>
    </row>
    <row r="578" spans="1:6" x14ac:dyDescent="0.35">
      <c r="A578">
        <f t="shared" ref="A578:A641" si="30">IF(ISERROR(VLOOKUP(C578,I:I,1,0)),0,1)</f>
        <v>0</v>
      </c>
      <c r="B578">
        <f t="shared" si="28"/>
        <v>58</v>
      </c>
      <c r="C578" s="13" t="s">
        <v>22</v>
      </c>
      <c r="D578" s="18">
        <f>VLOOKUP(C578,'DISTRIBUIÇÃO NF4267'!$E$3:$FQ$75,MATCH(B578,'DISTRIBUIÇÃO NF4267'!$E$3:$FQ$3,0)+1,0)</f>
        <v>0</v>
      </c>
      <c r="F578" s="28">
        <f t="shared" si="29"/>
        <v>5</v>
      </c>
    </row>
    <row r="579" spans="1:6" x14ac:dyDescent="0.35">
      <c r="A579">
        <f t="shared" si="30"/>
        <v>0</v>
      </c>
      <c r="B579">
        <f t="shared" si="28"/>
        <v>58</v>
      </c>
      <c r="C579" s="13" t="s">
        <v>23</v>
      </c>
      <c r="D579" s="18">
        <f>VLOOKUP(C579,'DISTRIBUIÇÃO NF4267'!$E$3:$FQ$75,MATCH(B579,'DISTRIBUIÇÃO NF4267'!$E$3:$FQ$3,0)+1,0)</f>
        <v>2</v>
      </c>
      <c r="F579" s="28">
        <f t="shared" si="29"/>
        <v>5</v>
      </c>
    </row>
    <row r="580" spans="1:6" x14ac:dyDescent="0.35">
      <c r="A580">
        <f t="shared" si="30"/>
        <v>0</v>
      </c>
      <c r="B580">
        <f t="shared" si="28"/>
        <v>58</v>
      </c>
      <c r="C580" s="13" t="s">
        <v>24</v>
      </c>
      <c r="D580" s="18">
        <f>VLOOKUP(C580,'DISTRIBUIÇÃO NF4267'!$E$3:$FQ$75,MATCH(B580,'DISTRIBUIÇÃO NF4267'!$E$3:$FQ$3,0)+1,0)</f>
        <v>12</v>
      </c>
      <c r="F580" s="28">
        <f t="shared" si="29"/>
        <v>5</v>
      </c>
    </row>
    <row r="581" spans="1:6" x14ac:dyDescent="0.35">
      <c r="A581">
        <f t="shared" si="30"/>
        <v>0</v>
      </c>
      <c r="B581">
        <f t="shared" si="28"/>
        <v>58</v>
      </c>
      <c r="C581" s="13" t="s">
        <v>25</v>
      </c>
      <c r="D581" s="18">
        <f>VLOOKUP(C581,'DISTRIBUIÇÃO NF4267'!$E$3:$FQ$75,MATCH(B581,'DISTRIBUIÇÃO NF4267'!$E$3:$FQ$3,0)+1,0)</f>
        <v>4</v>
      </c>
      <c r="F581" s="28">
        <f t="shared" si="29"/>
        <v>5</v>
      </c>
    </row>
    <row r="582" spans="1:6" x14ac:dyDescent="0.35">
      <c r="A582">
        <f t="shared" si="30"/>
        <v>0</v>
      </c>
      <c r="B582">
        <f t="shared" si="28"/>
        <v>58</v>
      </c>
      <c r="C582" s="13" t="s">
        <v>26</v>
      </c>
      <c r="D582" s="18">
        <f>VLOOKUP(C582,'DISTRIBUIÇÃO NF4267'!$E$3:$FQ$75,MATCH(B582,'DISTRIBUIÇÃO NF4267'!$E$3:$FQ$3,0)+1,0)</f>
        <v>2</v>
      </c>
      <c r="F582" s="28">
        <f t="shared" si="29"/>
        <v>5</v>
      </c>
    </row>
    <row r="583" spans="1:6" x14ac:dyDescent="0.35">
      <c r="A583">
        <f t="shared" si="30"/>
        <v>0</v>
      </c>
      <c r="B583">
        <f t="shared" si="28"/>
        <v>58</v>
      </c>
      <c r="C583" s="13" t="s">
        <v>27</v>
      </c>
      <c r="D583" s="18">
        <f>VLOOKUP(C583,'DISTRIBUIÇÃO NF4267'!$E$3:$FQ$75,MATCH(B583,'DISTRIBUIÇÃO NF4267'!$E$3:$FQ$3,0)+1,0)</f>
        <v>0</v>
      </c>
      <c r="F583" s="28">
        <f t="shared" si="29"/>
        <v>5</v>
      </c>
    </row>
    <row r="584" spans="1:6" x14ac:dyDescent="0.35">
      <c r="A584">
        <f t="shared" si="30"/>
        <v>0</v>
      </c>
      <c r="B584">
        <f t="shared" si="28"/>
        <v>58</v>
      </c>
      <c r="C584" s="14" t="s">
        <v>138</v>
      </c>
      <c r="D584" s="18">
        <f>VLOOKUP(C584,'DISTRIBUIÇÃO NF4267'!$E$3:$FQ$75,MATCH(B584,'DISTRIBUIÇÃO NF4267'!$E$3:$FQ$3,0)+1,0)</f>
        <v>0</v>
      </c>
      <c r="F584" s="28">
        <f t="shared" si="29"/>
        <v>5</v>
      </c>
    </row>
    <row r="585" spans="1:6" x14ac:dyDescent="0.35">
      <c r="A585">
        <f t="shared" si="30"/>
        <v>0</v>
      </c>
      <c r="B585">
        <f t="shared" si="28"/>
        <v>58</v>
      </c>
      <c r="C585" s="14" t="s">
        <v>139</v>
      </c>
      <c r="D585" s="18">
        <f>VLOOKUP(C585,'DISTRIBUIÇÃO NF4267'!$E$3:$FQ$75,MATCH(B585,'DISTRIBUIÇÃO NF4267'!$E$3:$FQ$3,0)+1,0)</f>
        <v>8</v>
      </c>
      <c r="F585" s="28">
        <f t="shared" si="29"/>
        <v>5</v>
      </c>
    </row>
    <row r="586" spans="1:6" x14ac:dyDescent="0.35">
      <c r="A586">
        <f t="shared" si="30"/>
        <v>0</v>
      </c>
      <c r="B586">
        <f t="shared" si="28"/>
        <v>58</v>
      </c>
      <c r="C586" s="14" t="s">
        <v>140</v>
      </c>
      <c r="D586" s="18">
        <f>VLOOKUP(C586,'DISTRIBUIÇÃO NF4267'!$E$3:$FQ$75,MATCH(B586,'DISTRIBUIÇÃO NF4267'!$E$3:$FQ$3,0)+1,0)</f>
        <v>16</v>
      </c>
      <c r="F586" s="28">
        <f t="shared" si="29"/>
        <v>5</v>
      </c>
    </row>
    <row r="587" spans="1:6" x14ac:dyDescent="0.35">
      <c r="A587">
        <f t="shared" si="30"/>
        <v>0</v>
      </c>
      <c r="B587">
        <f t="shared" si="28"/>
        <v>58</v>
      </c>
      <c r="C587" s="14" t="s">
        <v>141</v>
      </c>
      <c r="D587" s="18">
        <f>VLOOKUP(C587,'DISTRIBUIÇÃO NF4267'!$E$3:$FQ$75,MATCH(B587,'DISTRIBUIÇÃO NF4267'!$E$3:$FQ$3,0)+1,0)</f>
        <v>8</v>
      </c>
      <c r="F587" s="28">
        <f t="shared" si="29"/>
        <v>5</v>
      </c>
    </row>
    <row r="588" spans="1:6" x14ac:dyDescent="0.35">
      <c r="A588">
        <f t="shared" si="30"/>
        <v>0</v>
      </c>
      <c r="B588">
        <f t="shared" si="28"/>
        <v>58</v>
      </c>
      <c r="C588" s="14" t="s">
        <v>142</v>
      </c>
      <c r="D588" s="18">
        <f>VLOOKUP(C588,'DISTRIBUIÇÃO NF4267'!$E$3:$FQ$75,MATCH(B588,'DISTRIBUIÇÃO NF4267'!$E$3:$FQ$3,0)+1,0)</f>
        <v>8</v>
      </c>
      <c r="F588" s="28">
        <f t="shared" si="29"/>
        <v>5</v>
      </c>
    </row>
    <row r="589" spans="1:6" x14ac:dyDescent="0.35">
      <c r="A589">
        <f t="shared" si="30"/>
        <v>0</v>
      </c>
      <c r="B589">
        <f t="shared" si="28"/>
        <v>58</v>
      </c>
      <c r="C589" s="14" t="s">
        <v>143</v>
      </c>
      <c r="D589" s="18">
        <f>VLOOKUP(C589,'DISTRIBUIÇÃO NF4267'!$E$3:$FQ$75,MATCH(B589,'DISTRIBUIÇÃO NF4267'!$E$3:$FQ$3,0)+1,0)</f>
        <v>0</v>
      </c>
      <c r="F589" s="28">
        <f t="shared" si="29"/>
        <v>5</v>
      </c>
    </row>
    <row r="590" spans="1:6" x14ac:dyDescent="0.35">
      <c r="A590">
        <f t="shared" si="30"/>
        <v>0</v>
      </c>
      <c r="B590">
        <f t="shared" si="28"/>
        <v>58</v>
      </c>
      <c r="C590" s="15" t="s">
        <v>145</v>
      </c>
      <c r="D590" s="18">
        <f>VLOOKUP(C590,'DISTRIBUIÇÃO NF4267'!$E$3:$FQ$75,MATCH(B590,'DISTRIBUIÇÃO NF4267'!$E$3:$FQ$3,0)+1,0)</f>
        <v>0</v>
      </c>
      <c r="F590" s="28">
        <f t="shared" si="29"/>
        <v>5</v>
      </c>
    </row>
    <row r="591" spans="1:6" x14ac:dyDescent="0.35">
      <c r="A591">
        <f t="shared" si="30"/>
        <v>0</v>
      </c>
      <c r="B591">
        <f t="shared" si="28"/>
        <v>58</v>
      </c>
      <c r="C591" s="15" t="s">
        <v>146</v>
      </c>
      <c r="D591" s="18">
        <f>VLOOKUP(C591,'DISTRIBUIÇÃO NF4267'!$E$3:$FQ$75,MATCH(B591,'DISTRIBUIÇÃO NF4267'!$E$3:$FQ$3,0)+1,0)</f>
        <v>10</v>
      </c>
      <c r="F591" s="28">
        <f t="shared" si="29"/>
        <v>5</v>
      </c>
    </row>
    <row r="592" spans="1:6" x14ac:dyDescent="0.35">
      <c r="A592">
        <f t="shared" si="30"/>
        <v>0</v>
      </c>
      <c r="B592">
        <f t="shared" si="28"/>
        <v>58</v>
      </c>
      <c r="C592" s="15" t="s">
        <v>147</v>
      </c>
      <c r="D592" s="18">
        <f>VLOOKUP(C592,'DISTRIBUIÇÃO NF4267'!$E$3:$FQ$75,MATCH(B592,'DISTRIBUIÇÃO NF4267'!$E$3:$FQ$3,0)+1,0)</f>
        <v>20</v>
      </c>
      <c r="F592" s="28">
        <f t="shared" si="29"/>
        <v>5</v>
      </c>
    </row>
    <row r="593" spans="1:6" x14ac:dyDescent="0.35">
      <c r="A593">
        <f t="shared" si="30"/>
        <v>0</v>
      </c>
      <c r="B593">
        <f t="shared" si="28"/>
        <v>58</v>
      </c>
      <c r="C593" s="15" t="s">
        <v>148</v>
      </c>
      <c r="D593" s="18">
        <f>VLOOKUP(C593,'DISTRIBUIÇÃO NF4267'!$E$3:$FQ$75,MATCH(B593,'DISTRIBUIÇÃO NF4267'!$E$3:$FQ$3,0)+1,0)</f>
        <v>10</v>
      </c>
      <c r="F593" s="28">
        <f t="shared" si="29"/>
        <v>5</v>
      </c>
    </row>
    <row r="594" spans="1:6" x14ac:dyDescent="0.35">
      <c r="A594">
        <f t="shared" si="30"/>
        <v>0</v>
      </c>
      <c r="B594">
        <f t="shared" si="28"/>
        <v>58</v>
      </c>
      <c r="C594" s="15" t="s">
        <v>149</v>
      </c>
      <c r="D594" s="18">
        <f>VLOOKUP(C594,'DISTRIBUIÇÃO NF4267'!$E$3:$FQ$75,MATCH(B594,'DISTRIBUIÇÃO NF4267'!$E$3:$FQ$3,0)+1,0)</f>
        <v>10</v>
      </c>
      <c r="F594" s="28">
        <f t="shared" si="29"/>
        <v>5</v>
      </c>
    </row>
    <row r="595" spans="1:6" x14ac:dyDescent="0.35">
      <c r="A595">
        <f t="shared" si="30"/>
        <v>0</v>
      </c>
      <c r="B595">
        <f t="shared" si="28"/>
        <v>58</v>
      </c>
      <c r="C595" s="15" t="s">
        <v>150</v>
      </c>
      <c r="D595" s="18">
        <f>VLOOKUP(C595,'DISTRIBUIÇÃO NF4267'!$E$3:$FQ$75,MATCH(B595,'DISTRIBUIÇÃO NF4267'!$E$3:$FQ$3,0)+1,0)</f>
        <v>0</v>
      </c>
      <c r="F595" s="28">
        <f t="shared" si="29"/>
        <v>5</v>
      </c>
    </row>
    <row r="596" spans="1:6" x14ac:dyDescent="0.35">
      <c r="A596">
        <f t="shared" si="30"/>
        <v>0</v>
      </c>
      <c r="B596" t="s">
        <v>39</v>
      </c>
      <c r="C596" s="7" t="s">
        <v>98</v>
      </c>
      <c r="D596" s="18">
        <f>VLOOKUP(C596,'DISTRIBUIÇÃO NF4267'!$E$3:$FQ$75,MATCH(B596,'DISTRIBUIÇÃO NF4267'!$E$3:$FQ$3,0)+1,0)</f>
        <v>0</v>
      </c>
      <c r="F596" s="28">
        <f t="shared" si="29"/>
        <v>5</v>
      </c>
    </row>
    <row r="597" spans="1:6" x14ac:dyDescent="0.35">
      <c r="A597">
        <f t="shared" si="30"/>
        <v>0</v>
      </c>
      <c r="B597" t="str">
        <f>B596</f>
        <v>P1</v>
      </c>
      <c r="C597" s="7" t="s">
        <v>99</v>
      </c>
      <c r="D597" s="18">
        <f>VLOOKUP(C597,'DISTRIBUIÇÃO NF4267'!$E$3:$FQ$75,MATCH(B597,'DISTRIBUIÇÃO NF4267'!$E$3:$FQ$3,0)+1,0)</f>
        <v>4</v>
      </c>
      <c r="F597" s="28">
        <f t="shared" si="29"/>
        <v>5</v>
      </c>
    </row>
    <row r="598" spans="1:6" x14ac:dyDescent="0.35">
      <c r="A598">
        <f t="shared" si="30"/>
        <v>0</v>
      </c>
      <c r="B598" t="str">
        <f t="shared" ref="B598:B649" si="31">B597</f>
        <v>P1</v>
      </c>
      <c r="C598" s="7" t="s">
        <v>100</v>
      </c>
      <c r="D598" s="18">
        <f>VLOOKUP(C598,'DISTRIBUIÇÃO NF4267'!$E$3:$FQ$75,MATCH(B598,'DISTRIBUIÇÃO NF4267'!$E$3:$FQ$3,0)+1,0)</f>
        <v>8</v>
      </c>
      <c r="F598" s="28">
        <f t="shared" si="29"/>
        <v>5</v>
      </c>
    </row>
    <row r="599" spans="1:6" x14ac:dyDescent="0.35">
      <c r="A599">
        <f t="shared" si="30"/>
        <v>0</v>
      </c>
      <c r="B599" t="str">
        <f t="shared" si="31"/>
        <v>P1</v>
      </c>
      <c r="C599" s="7" t="s">
        <v>101</v>
      </c>
      <c r="D599" s="18">
        <f>VLOOKUP(C599,'DISTRIBUIÇÃO NF4267'!$E$3:$FQ$75,MATCH(B599,'DISTRIBUIÇÃO NF4267'!$E$3:$FQ$3,0)+1,0)</f>
        <v>4</v>
      </c>
      <c r="F599" s="28">
        <f t="shared" si="29"/>
        <v>5</v>
      </c>
    </row>
    <row r="600" spans="1:6" x14ac:dyDescent="0.35">
      <c r="A600">
        <f t="shared" si="30"/>
        <v>0</v>
      </c>
      <c r="B600" t="str">
        <f t="shared" si="31"/>
        <v>P1</v>
      </c>
      <c r="C600" s="7" t="s">
        <v>102</v>
      </c>
      <c r="D600" s="18">
        <f>VLOOKUP(C600,'DISTRIBUIÇÃO NF4267'!$E$3:$FQ$75,MATCH(B600,'DISTRIBUIÇÃO NF4267'!$E$3:$FQ$3,0)+1,0)</f>
        <v>4</v>
      </c>
      <c r="F600" s="28">
        <f t="shared" si="29"/>
        <v>5</v>
      </c>
    </row>
    <row r="601" spans="1:6" x14ac:dyDescent="0.35">
      <c r="A601">
        <f t="shared" si="30"/>
        <v>0</v>
      </c>
      <c r="B601" t="str">
        <f t="shared" si="31"/>
        <v>P1</v>
      </c>
      <c r="C601" s="7" t="s">
        <v>103</v>
      </c>
      <c r="D601" s="18">
        <f>VLOOKUP(C601,'DISTRIBUIÇÃO NF4267'!$E$3:$FQ$75,MATCH(B601,'DISTRIBUIÇÃO NF4267'!$E$3:$FQ$3,0)+1,0)</f>
        <v>0</v>
      </c>
      <c r="F601" s="28">
        <f t="shared" si="29"/>
        <v>5</v>
      </c>
    </row>
    <row r="602" spans="1:6" x14ac:dyDescent="0.35">
      <c r="A602">
        <f t="shared" si="30"/>
        <v>0</v>
      </c>
      <c r="B602" t="str">
        <f t="shared" si="31"/>
        <v>P1</v>
      </c>
      <c r="C602" s="8" t="s">
        <v>107</v>
      </c>
      <c r="D602" s="18">
        <f>VLOOKUP(C602,'DISTRIBUIÇÃO NF4267'!$E$3:$FQ$75,MATCH(B602,'DISTRIBUIÇÃO NF4267'!$E$3:$FQ$3,0)+1,0)</f>
        <v>0</v>
      </c>
      <c r="F602" s="28">
        <f t="shared" si="29"/>
        <v>5</v>
      </c>
    </row>
    <row r="603" spans="1:6" x14ac:dyDescent="0.35">
      <c r="A603">
        <f t="shared" si="30"/>
        <v>0</v>
      </c>
      <c r="B603" t="str">
        <f t="shared" si="31"/>
        <v>P1</v>
      </c>
      <c r="C603" s="8" t="s">
        <v>108</v>
      </c>
      <c r="D603" s="18">
        <f>VLOOKUP(C603,'DISTRIBUIÇÃO NF4267'!$E$3:$FQ$75,MATCH(B603,'DISTRIBUIÇÃO NF4267'!$E$3:$FQ$3,0)+1,0)</f>
        <v>6</v>
      </c>
      <c r="F603" s="28">
        <f t="shared" si="29"/>
        <v>5</v>
      </c>
    </row>
    <row r="604" spans="1:6" x14ac:dyDescent="0.35">
      <c r="A604">
        <f t="shared" si="30"/>
        <v>0</v>
      </c>
      <c r="B604" t="str">
        <f t="shared" si="31"/>
        <v>P1</v>
      </c>
      <c r="C604" s="8" t="s">
        <v>109</v>
      </c>
      <c r="D604" s="18">
        <f>VLOOKUP(C604,'DISTRIBUIÇÃO NF4267'!$E$3:$FQ$75,MATCH(B604,'DISTRIBUIÇÃO NF4267'!$E$3:$FQ$3,0)+1,0)</f>
        <v>12</v>
      </c>
      <c r="F604" s="28">
        <f t="shared" si="29"/>
        <v>5</v>
      </c>
    </row>
    <row r="605" spans="1:6" x14ac:dyDescent="0.35">
      <c r="A605">
        <f t="shared" si="30"/>
        <v>0</v>
      </c>
      <c r="B605" t="str">
        <f t="shared" si="31"/>
        <v>P1</v>
      </c>
      <c r="C605" s="8" t="s">
        <v>110</v>
      </c>
      <c r="D605" s="18">
        <f>VLOOKUP(C605,'DISTRIBUIÇÃO NF4267'!$E$3:$FQ$75,MATCH(B605,'DISTRIBUIÇÃO NF4267'!$E$3:$FQ$3,0)+1,0)</f>
        <v>6</v>
      </c>
      <c r="F605" s="28">
        <f t="shared" si="29"/>
        <v>5</v>
      </c>
    </row>
    <row r="606" spans="1:6" x14ac:dyDescent="0.35">
      <c r="A606">
        <f t="shared" si="30"/>
        <v>0</v>
      </c>
      <c r="B606" t="str">
        <f t="shared" si="31"/>
        <v>P1</v>
      </c>
      <c r="C606" s="8" t="s">
        <v>111</v>
      </c>
      <c r="D606" s="18">
        <f>VLOOKUP(C606,'DISTRIBUIÇÃO NF4267'!$E$3:$FQ$75,MATCH(B606,'DISTRIBUIÇÃO NF4267'!$E$3:$FQ$3,0)+1,0)</f>
        <v>6</v>
      </c>
      <c r="F606" s="28">
        <f t="shared" si="29"/>
        <v>5</v>
      </c>
    </row>
    <row r="607" spans="1:6" x14ac:dyDescent="0.35">
      <c r="A607">
        <f t="shared" si="30"/>
        <v>0</v>
      </c>
      <c r="B607" t="str">
        <f t="shared" si="31"/>
        <v>P1</v>
      </c>
      <c r="C607" s="8" t="s">
        <v>112</v>
      </c>
      <c r="D607" s="18">
        <f>VLOOKUP(C607,'DISTRIBUIÇÃO NF4267'!$E$3:$FQ$75,MATCH(B607,'DISTRIBUIÇÃO NF4267'!$E$3:$FQ$3,0)+1,0)</f>
        <v>0</v>
      </c>
      <c r="F607" s="28">
        <f t="shared" si="29"/>
        <v>5</v>
      </c>
    </row>
    <row r="608" spans="1:6" x14ac:dyDescent="0.35">
      <c r="A608">
        <f t="shared" si="30"/>
        <v>0</v>
      </c>
      <c r="B608" t="str">
        <f t="shared" si="31"/>
        <v>P1</v>
      </c>
      <c r="C608" s="9" t="s">
        <v>113</v>
      </c>
      <c r="D608" s="18">
        <f>VLOOKUP(C608,'DISTRIBUIÇÃO NF4267'!$E$3:$FQ$75,MATCH(B608,'DISTRIBUIÇÃO NF4267'!$E$3:$FQ$3,0)+1,0)</f>
        <v>0</v>
      </c>
      <c r="F608" s="28">
        <f t="shared" si="29"/>
        <v>5</v>
      </c>
    </row>
    <row r="609" spans="1:6" x14ac:dyDescent="0.35">
      <c r="A609">
        <f t="shared" si="30"/>
        <v>0</v>
      </c>
      <c r="B609" t="str">
        <f t="shared" si="31"/>
        <v>P1</v>
      </c>
      <c r="C609" s="9" t="s">
        <v>114</v>
      </c>
      <c r="D609" s="18">
        <f>VLOOKUP(C609,'DISTRIBUIÇÃO NF4267'!$E$3:$FQ$75,MATCH(B609,'DISTRIBUIÇÃO NF4267'!$E$3:$FQ$3,0)+1,0)</f>
        <v>9</v>
      </c>
      <c r="F609" s="28">
        <f t="shared" si="29"/>
        <v>5</v>
      </c>
    </row>
    <row r="610" spans="1:6" x14ac:dyDescent="0.35">
      <c r="A610">
        <f t="shared" si="30"/>
        <v>0</v>
      </c>
      <c r="B610" t="str">
        <f t="shared" si="31"/>
        <v>P1</v>
      </c>
      <c r="C610" s="9" t="s">
        <v>115</v>
      </c>
      <c r="D610" s="18">
        <f>VLOOKUP(C610,'DISTRIBUIÇÃO NF4267'!$E$3:$FQ$75,MATCH(B610,'DISTRIBUIÇÃO NF4267'!$E$3:$FQ$3,0)+1,0)</f>
        <v>12</v>
      </c>
      <c r="F610" s="28">
        <f t="shared" si="29"/>
        <v>5</v>
      </c>
    </row>
    <row r="611" spans="1:6" x14ac:dyDescent="0.35">
      <c r="A611">
        <f t="shared" si="30"/>
        <v>0</v>
      </c>
      <c r="B611" t="str">
        <f t="shared" si="31"/>
        <v>P1</v>
      </c>
      <c r="C611" s="9" t="s">
        <v>116</v>
      </c>
      <c r="D611" s="18">
        <f>VLOOKUP(C611,'DISTRIBUIÇÃO NF4267'!$E$3:$FQ$75,MATCH(B611,'DISTRIBUIÇÃO NF4267'!$E$3:$FQ$3,0)+1,0)</f>
        <v>6</v>
      </c>
      <c r="F611" s="28">
        <f t="shared" si="29"/>
        <v>5</v>
      </c>
    </row>
    <row r="612" spans="1:6" x14ac:dyDescent="0.35">
      <c r="A612">
        <f t="shared" si="30"/>
        <v>0</v>
      </c>
      <c r="B612" t="str">
        <f t="shared" si="31"/>
        <v>P1</v>
      </c>
      <c r="C612" s="9" t="s">
        <v>117</v>
      </c>
      <c r="D612" s="18">
        <f>VLOOKUP(C612,'DISTRIBUIÇÃO NF4267'!$E$3:$FQ$75,MATCH(B612,'DISTRIBUIÇÃO NF4267'!$E$3:$FQ$3,0)+1,0)</f>
        <v>3</v>
      </c>
      <c r="F612" s="28">
        <f t="shared" si="29"/>
        <v>5</v>
      </c>
    </row>
    <row r="613" spans="1:6" x14ac:dyDescent="0.35">
      <c r="A613">
        <f t="shared" si="30"/>
        <v>0</v>
      </c>
      <c r="B613" t="str">
        <f t="shared" si="31"/>
        <v>P1</v>
      </c>
      <c r="C613" s="9" t="s">
        <v>118</v>
      </c>
      <c r="D613" s="18">
        <f>VLOOKUP(C613,'DISTRIBUIÇÃO NF4267'!$E$3:$FQ$75,MATCH(B613,'DISTRIBUIÇÃO NF4267'!$E$3:$FQ$3,0)+1,0)</f>
        <v>0</v>
      </c>
      <c r="F613" s="28">
        <f t="shared" si="29"/>
        <v>5</v>
      </c>
    </row>
    <row r="614" spans="1:6" x14ac:dyDescent="0.35">
      <c r="A614">
        <f t="shared" si="30"/>
        <v>0</v>
      </c>
      <c r="B614" t="str">
        <f t="shared" si="31"/>
        <v>P1</v>
      </c>
      <c r="C614" s="10" t="s">
        <v>119</v>
      </c>
      <c r="D614" s="18">
        <f>VLOOKUP(C614,'DISTRIBUIÇÃO NF4267'!$E$3:$FQ$75,MATCH(B614,'DISTRIBUIÇÃO NF4267'!$E$3:$FQ$3,0)+1,0)</f>
        <v>0</v>
      </c>
      <c r="F614" s="28">
        <f t="shared" si="29"/>
        <v>5</v>
      </c>
    </row>
    <row r="615" spans="1:6" x14ac:dyDescent="0.35">
      <c r="A615">
        <f t="shared" si="30"/>
        <v>0</v>
      </c>
      <c r="B615" t="str">
        <f t="shared" si="31"/>
        <v>P1</v>
      </c>
      <c r="C615" s="10" t="s">
        <v>120</v>
      </c>
      <c r="D615" s="18">
        <f>VLOOKUP(C615,'DISTRIBUIÇÃO NF4267'!$E$3:$FQ$75,MATCH(B615,'DISTRIBUIÇÃO NF4267'!$E$3:$FQ$3,0)+1,0)</f>
        <v>60</v>
      </c>
      <c r="F615" s="28">
        <f t="shared" si="29"/>
        <v>5</v>
      </c>
    </row>
    <row r="616" spans="1:6" x14ac:dyDescent="0.35">
      <c r="A616">
        <f t="shared" si="30"/>
        <v>0</v>
      </c>
      <c r="B616" t="str">
        <f t="shared" si="31"/>
        <v>P1</v>
      </c>
      <c r="C616" s="10" t="s">
        <v>121</v>
      </c>
      <c r="D616" s="18">
        <f>VLOOKUP(C616,'DISTRIBUIÇÃO NF4267'!$E$3:$FQ$75,MATCH(B616,'DISTRIBUIÇÃO NF4267'!$E$3:$FQ$3,0)+1,0)</f>
        <v>20</v>
      </c>
      <c r="F616" s="28">
        <f t="shared" si="29"/>
        <v>5</v>
      </c>
    </row>
    <row r="617" spans="1:6" x14ac:dyDescent="0.35">
      <c r="A617">
        <f t="shared" si="30"/>
        <v>0</v>
      </c>
      <c r="B617" t="str">
        <f t="shared" si="31"/>
        <v>P1</v>
      </c>
      <c r="C617" s="10" t="s">
        <v>122</v>
      </c>
      <c r="D617" s="18">
        <f>VLOOKUP(C617,'DISTRIBUIÇÃO NF4267'!$E$3:$FQ$75,MATCH(B617,'DISTRIBUIÇÃO NF4267'!$E$3:$FQ$3,0)+1,0)</f>
        <v>20</v>
      </c>
      <c r="F617" s="28">
        <f t="shared" si="29"/>
        <v>5</v>
      </c>
    </row>
    <row r="618" spans="1:6" x14ac:dyDescent="0.35">
      <c r="A618">
        <f t="shared" si="30"/>
        <v>0</v>
      </c>
      <c r="B618" t="str">
        <f t="shared" si="31"/>
        <v>P1</v>
      </c>
      <c r="C618" s="10" t="s">
        <v>123</v>
      </c>
      <c r="D618" s="18">
        <f>VLOOKUP(C618,'DISTRIBUIÇÃO NF4267'!$E$3:$FQ$75,MATCH(B618,'DISTRIBUIÇÃO NF4267'!$E$3:$FQ$3,0)+1,0)</f>
        <v>0</v>
      </c>
      <c r="F618" s="28">
        <f t="shared" si="29"/>
        <v>5</v>
      </c>
    </row>
    <row r="619" spans="1:6" x14ac:dyDescent="0.35">
      <c r="A619">
        <f t="shared" si="30"/>
        <v>0</v>
      </c>
      <c r="B619" t="str">
        <f t="shared" si="31"/>
        <v>P1</v>
      </c>
      <c r="C619" s="10" t="s">
        <v>124</v>
      </c>
      <c r="D619" s="18">
        <f>VLOOKUP(C619,'DISTRIBUIÇÃO NF4267'!$E$3:$FQ$75,MATCH(B619,'DISTRIBUIÇÃO NF4267'!$E$3:$FQ$3,0)+1,0)</f>
        <v>0</v>
      </c>
      <c r="F619" s="28">
        <f t="shared" si="29"/>
        <v>5</v>
      </c>
    </row>
    <row r="620" spans="1:6" x14ac:dyDescent="0.35">
      <c r="A620">
        <f t="shared" si="30"/>
        <v>0</v>
      </c>
      <c r="B620" t="str">
        <f t="shared" si="31"/>
        <v>P1</v>
      </c>
      <c r="C620" s="11" t="s">
        <v>16</v>
      </c>
      <c r="D620" s="18">
        <f>VLOOKUP(C620,'DISTRIBUIÇÃO NF4267'!$E$3:$FQ$75,MATCH(B620,'DISTRIBUIÇÃO NF4267'!$E$3:$FQ$3,0)+1,0)</f>
        <v>0</v>
      </c>
      <c r="F620" s="28">
        <f t="shared" si="29"/>
        <v>5</v>
      </c>
    </row>
    <row r="621" spans="1:6" x14ac:dyDescent="0.35">
      <c r="A621">
        <f t="shared" si="30"/>
        <v>0</v>
      </c>
      <c r="B621" t="str">
        <f t="shared" si="31"/>
        <v>P1</v>
      </c>
      <c r="C621" s="11" t="s">
        <v>17</v>
      </c>
      <c r="D621" s="18">
        <f>VLOOKUP(C621,'DISTRIBUIÇÃO NF4267'!$E$3:$FQ$75,MATCH(B621,'DISTRIBUIÇÃO NF4267'!$E$3:$FQ$3,0)+1,0)</f>
        <v>12</v>
      </c>
      <c r="F621" s="28">
        <f t="shared" si="29"/>
        <v>5</v>
      </c>
    </row>
    <row r="622" spans="1:6" x14ac:dyDescent="0.35">
      <c r="A622">
        <f t="shared" si="30"/>
        <v>0</v>
      </c>
      <c r="B622" t="str">
        <f t="shared" si="31"/>
        <v>P1</v>
      </c>
      <c r="C622" s="11" t="s">
        <v>18</v>
      </c>
      <c r="D622" s="18">
        <f>VLOOKUP(C622,'DISTRIBUIÇÃO NF4267'!$E$3:$FQ$75,MATCH(B622,'DISTRIBUIÇÃO NF4267'!$E$3:$FQ$3,0)+1,0)</f>
        <v>4</v>
      </c>
      <c r="F622" s="28">
        <f t="shared" si="29"/>
        <v>5</v>
      </c>
    </row>
    <row r="623" spans="1:6" x14ac:dyDescent="0.35">
      <c r="A623">
        <f t="shared" si="30"/>
        <v>0</v>
      </c>
      <c r="B623" t="str">
        <f t="shared" si="31"/>
        <v>P1</v>
      </c>
      <c r="C623" s="11" t="s">
        <v>19</v>
      </c>
      <c r="D623" s="18">
        <f>VLOOKUP(C623,'DISTRIBUIÇÃO NF4267'!$E$3:$FQ$75,MATCH(B623,'DISTRIBUIÇÃO NF4267'!$E$3:$FQ$3,0)+1,0)</f>
        <v>4</v>
      </c>
      <c r="F623" s="28">
        <f t="shared" si="29"/>
        <v>5</v>
      </c>
    </row>
    <row r="624" spans="1:6" x14ac:dyDescent="0.35">
      <c r="A624">
        <f t="shared" si="30"/>
        <v>0</v>
      </c>
      <c r="B624" t="str">
        <f t="shared" si="31"/>
        <v>P1</v>
      </c>
      <c r="C624" s="11" t="s">
        <v>20</v>
      </c>
      <c r="D624" s="18">
        <f>VLOOKUP(C624,'DISTRIBUIÇÃO NF4267'!$E$3:$FQ$75,MATCH(B624,'DISTRIBUIÇÃO NF4267'!$E$3:$FQ$3,0)+1,0)</f>
        <v>20</v>
      </c>
      <c r="F624" s="28">
        <f t="shared" si="29"/>
        <v>5</v>
      </c>
    </row>
    <row r="625" spans="1:6" x14ac:dyDescent="0.35">
      <c r="A625">
        <f t="shared" si="30"/>
        <v>0</v>
      </c>
      <c r="B625" t="str">
        <f t="shared" si="31"/>
        <v>P1</v>
      </c>
      <c r="C625" s="11" t="s">
        <v>21</v>
      </c>
      <c r="D625" s="18">
        <f>VLOOKUP(C625,'DISTRIBUIÇÃO NF4267'!$E$3:$FQ$75,MATCH(B625,'DISTRIBUIÇÃO NF4267'!$E$3:$FQ$3,0)+1,0)</f>
        <v>0</v>
      </c>
      <c r="F625" s="28">
        <f t="shared" si="29"/>
        <v>5</v>
      </c>
    </row>
    <row r="626" spans="1:6" x14ac:dyDescent="0.35">
      <c r="A626">
        <f t="shared" si="30"/>
        <v>0</v>
      </c>
      <c r="B626" t="str">
        <f t="shared" si="31"/>
        <v>P1</v>
      </c>
      <c r="C626" s="12" t="s">
        <v>130</v>
      </c>
      <c r="D626" s="18">
        <f>VLOOKUP(C626,'DISTRIBUIÇÃO NF4267'!$E$3:$FQ$75,MATCH(B626,'DISTRIBUIÇÃO NF4267'!$E$3:$FQ$3,0)+1,0)</f>
        <v>0</v>
      </c>
      <c r="F626" s="28">
        <f t="shared" si="29"/>
        <v>5</v>
      </c>
    </row>
    <row r="627" spans="1:6" x14ac:dyDescent="0.35">
      <c r="A627">
        <f t="shared" si="30"/>
        <v>0</v>
      </c>
      <c r="B627" t="str">
        <f t="shared" si="31"/>
        <v>P1</v>
      </c>
      <c r="C627" s="12" t="s">
        <v>131</v>
      </c>
      <c r="D627" s="18">
        <f>VLOOKUP(C627,'DISTRIBUIÇÃO NF4267'!$E$3:$FQ$75,MATCH(B627,'DISTRIBUIÇÃO NF4267'!$E$3:$FQ$3,0)+1,0)</f>
        <v>2</v>
      </c>
      <c r="F627" s="28">
        <f t="shared" si="29"/>
        <v>5</v>
      </c>
    </row>
    <row r="628" spans="1:6" x14ac:dyDescent="0.35">
      <c r="A628">
        <f t="shared" si="30"/>
        <v>0</v>
      </c>
      <c r="B628" t="str">
        <f t="shared" si="31"/>
        <v>P1</v>
      </c>
      <c r="C628" s="12" t="s">
        <v>132</v>
      </c>
      <c r="D628" s="18">
        <f>VLOOKUP(C628,'DISTRIBUIÇÃO NF4267'!$E$3:$FQ$75,MATCH(B628,'DISTRIBUIÇÃO NF4267'!$E$3:$FQ$3,0)+1,0)</f>
        <v>8</v>
      </c>
      <c r="F628" s="28">
        <f t="shared" si="29"/>
        <v>5</v>
      </c>
    </row>
    <row r="629" spans="1:6" x14ac:dyDescent="0.35">
      <c r="A629">
        <f t="shared" si="30"/>
        <v>0</v>
      </c>
      <c r="B629" t="str">
        <f t="shared" si="31"/>
        <v>P1</v>
      </c>
      <c r="C629" s="12" t="s">
        <v>133</v>
      </c>
      <c r="D629" s="18">
        <f>VLOOKUP(C629,'DISTRIBUIÇÃO NF4267'!$E$3:$FQ$75,MATCH(B629,'DISTRIBUIÇÃO NF4267'!$E$3:$FQ$3,0)+1,0)</f>
        <v>6</v>
      </c>
      <c r="F629" s="28">
        <f t="shared" si="29"/>
        <v>5</v>
      </c>
    </row>
    <row r="630" spans="1:6" x14ac:dyDescent="0.35">
      <c r="A630">
        <f t="shared" si="30"/>
        <v>0</v>
      </c>
      <c r="B630" t="str">
        <f t="shared" si="31"/>
        <v>P1</v>
      </c>
      <c r="C630" s="12" t="s">
        <v>134</v>
      </c>
      <c r="D630" s="18">
        <f>VLOOKUP(C630,'DISTRIBUIÇÃO NF4267'!$E$3:$FQ$75,MATCH(B630,'DISTRIBUIÇÃO NF4267'!$E$3:$FQ$3,0)+1,0)</f>
        <v>4</v>
      </c>
      <c r="F630" s="28">
        <f t="shared" si="29"/>
        <v>5</v>
      </c>
    </row>
    <row r="631" spans="1:6" x14ac:dyDescent="0.35">
      <c r="A631">
        <f t="shared" si="30"/>
        <v>0</v>
      </c>
      <c r="B631" t="str">
        <f t="shared" si="31"/>
        <v>P1</v>
      </c>
      <c r="C631" s="12" t="s">
        <v>135</v>
      </c>
      <c r="D631" s="18">
        <f>VLOOKUP(C631,'DISTRIBUIÇÃO NF4267'!$E$3:$FQ$75,MATCH(B631,'DISTRIBUIÇÃO NF4267'!$E$3:$FQ$3,0)+1,0)</f>
        <v>0</v>
      </c>
      <c r="F631" s="28">
        <f t="shared" si="29"/>
        <v>5</v>
      </c>
    </row>
    <row r="632" spans="1:6" x14ac:dyDescent="0.35">
      <c r="A632">
        <f t="shared" si="30"/>
        <v>0</v>
      </c>
      <c r="B632" t="str">
        <f t="shared" si="31"/>
        <v>P1</v>
      </c>
      <c r="C632" s="13" t="s">
        <v>22</v>
      </c>
      <c r="D632" s="18">
        <f>VLOOKUP(C632,'DISTRIBUIÇÃO NF4267'!$E$3:$FQ$75,MATCH(B632,'DISTRIBUIÇÃO NF4267'!$E$3:$FQ$3,0)+1,0)</f>
        <v>0</v>
      </c>
      <c r="F632" s="28">
        <f t="shared" ref="F632:F695" si="32">ROUNDUP(SUMIFS(D:D,B:B,B632)/80,0)</f>
        <v>5</v>
      </c>
    </row>
    <row r="633" spans="1:6" x14ac:dyDescent="0.35">
      <c r="A633">
        <f t="shared" si="30"/>
        <v>0</v>
      </c>
      <c r="B633" t="str">
        <f t="shared" si="31"/>
        <v>P1</v>
      </c>
      <c r="C633" s="13" t="s">
        <v>23</v>
      </c>
      <c r="D633" s="18">
        <f>VLOOKUP(C633,'DISTRIBUIÇÃO NF4267'!$E$3:$FQ$75,MATCH(B633,'DISTRIBUIÇÃO NF4267'!$E$3:$FQ$3,0)+1,0)</f>
        <v>2</v>
      </c>
      <c r="F633" s="28">
        <f t="shared" si="32"/>
        <v>5</v>
      </c>
    </row>
    <row r="634" spans="1:6" x14ac:dyDescent="0.35">
      <c r="A634">
        <f t="shared" si="30"/>
        <v>0</v>
      </c>
      <c r="B634" t="str">
        <f t="shared" si="31"/>
        <v>P1</v>
      </c>
      <c r="C634" s="13" t="s">
        <v>24</v>
      </c>
      <c r="D634" s="18">
        <f>VLOOKUP(C634,'DISTRIBUIÇÃO NF4267'!$E$3:$FQ$75,MATCH(B634,'DISTRIBUIÇÃO NF4267'!$E$3:$FQ$3,0)+1,0)</f>
        <v>12</v>
      </c>
      <c r="F634" s="28">
        <f t="shared" si="32"/>
        <v>5</v>
      </c>
    </row>
    <row r="635" spans="1:6" x14ac:dyDescent="0.35">
      <c r="A635">
        <f t="shared" si="30"/>
        <v>0</v>
      </c>
      <c r="B635" t="str">
        <f t="shared" si="31"/>
        <v>P1</v>
      </c>
      <c r="C635" s="13" t="s">
        <v>25</v>
      </c>
      <c r="D635" s="18">
        <f>VLOOKUP(C635,'DISTRIBUIÇÃO NF4267'!$E$3:$FQ$75,MATCH(B635,'DISTRIBUIÇÃO NF4267'!$E$3:$FQ$3,0)+1,0)</f>
        <v>4</v>
      </c>
      <c r="F635" s="28">
        <f t="shared" si="32"/>
        <v>5</v>
      </c>
    </row>
    <row r="636" spans="1:6" x14ac:dyDescent="0.35">
      <c r="A636">
        <f t="shared" si="30"/>
        <v>0</v>
      </c>
      <c r="B636" t="str">
        <f t="shared" si="31"/>
        <v>P1</v>
      </c>
      <c r="C636" s="13" t="s">
        <v>26</v>
      </c>
      <c r="D636" s="18">
        <f>VLOOKUP(C636,'DISTRIBUIÇÃO NF4267'!$E$3:$FQ$75,MATCH(B636,'DISTRIBUIÇÃO NF4267'!$E$3:$FQ$3,0)+1,0)</f>
        <v>2</v>
      </c>
      <c r="F636" s="28">
        <f t="shared" si="32"/>
        <v>5</v>
      </c>
    </row>
    <row r="637" spans="1:6" x14ac:dyDescent="0.35">
      <c r="A637">
        <f t="shared" si="30"/>
        <v>0</v>
      </c>
      <c r="B637" t="str">
        <f t="shared" si="31"/>
        <v>P1</v>
      </c>
      <c r="C637" s="13" t="s">
        <v>27</v>
      </c>
      <c r="D637" s="18">
        <f>VLOOKUP(C637,'DISTRIBUIÇÃO NF4267'!$E$3:$FQ$75,MATCH(B637,'DISTRIBUIÇÃO NF4267'!$E$3:$FQ$3,0)+1,0)</f>
        <v>0</v>
      </c>
      <c r="F637" s="28">
        <f t="shared" si="32"/>
        <v>5</v>
      </c>
    </row>
    <row r="638" spans="1:6" x14ac:dyDescent="0.35">
      <c r="A638">
        <f t="shared" si="30"/>
        <v>0</v>
      </c>
      <c r="B638" t="str">
        <f t="shared" si="31"/>
        <v>P1</v>
      </c>
      <c r="C638" s="14" t="s">
        <v>138</v>
      </c>
      <c r="D638" s="18">
        <f>VLOOKUP(C638,'DISTRIBUIÇÃO NF4267'!$E$3:$FQ$75,MATCH(B638,'DISTRIBUIÇÃO NF4267'!$E$3:$FQ$3,0)+1,0)</f>
        <v>0</v>
      </c>
      <c r="F638" s="28">
        <f t="shared" si="32"/>
        <v>5</v>
      </c>
    </row>
    <row r="639" spans="1:6" x14ac:dyDescent="0.35">
      <c r="A639">
        <f t="shared" si="30"/>
        <v>0</v>
      </c>
      <c r="B639" t="str">
        <f t="shared" si="31"/>
        <v>P1</v>
      </c>
      <c r="C639" s="14" t="s">
        <v>139</v>
      </c>
      <c r="D639" s="18">
        <f>VLOOKUP(C639,'DISTRIBUIÇÃO NF4267'!$E$3:$FQ$75,MATCH(B639,'DISTRIBUIÇÃO NF4267'!$E$3:$FQ$3,0)+1,0)</f>
        <v>8</v>
      </c>
      <c r="F639" s="28">
        <f t="shared" si="32"/>
        <v>5</v>
      </c>
    </row>
    <row r="640" spans="1:6" x14ac:dyDescent="0.35">
      <c r="A640">
        <f t="shared" si="30"/>
        <v>0</v>
      </c>
      <c r="B640" t="str">
        <f t="shared" si="31"/>
        <v>P1</v>
      </c>
      <c r="C640" s="14" t="s">
        <v>140</v>
      </c>
      <c r="D640" s="18">
        <f>VLOOKUP(C640,'DISTRIBUIÇÃO NF4267'!$E$3:$FQ$75,MATCH(B640,'DISTRIBUIÇÃO NF4267'!$E$3:$FQ$3,0)+1,0)</f>
        <v>16</v>
      </c>
      <c r="F640" s="28">
        <f t="shared" si="32"/>
        <v>5</v>
      </c>
    </row>
    <row r="641" spans="1:6" x14ac:dyDescent="0.35">
      <c r="A641">
        <f t="shared" si="30"/>
        <v>0</v>
      </c>
      <c r="B641" t="str">
        <f t="shared" si="31"/>
        <v>P1</v>
      </c>
      <c r="C641" s="14" t="s">
        <v>141</v>
      </c>
      <c r="D641" s="18">
        <f>VLOOKUP(C641,'DISTRIBUIÇÃO NF4267'!$E$3:$FQ$75,MATCH(B641,'DISTRIBUIÇÃO NF4267'!$E$3:$FQ$3,0)+1,0)</f>
        <v>8</v>
      </c>
      <c r="F641" s="28">
        <f t="shared" si="32"/>
        <v>5</v>
      </c>
    </row>
    <row r="642" spans="1:6" x14ac:dyDescent="0.35">
      <c r="A642">
        <f t="shared" ref="A642:A705" si="33">IF(ISERROR(VLOOKUP(C642,I:I,1,0)),0,1)</f>
        <v>0</v>
      </c>
      <c r="B642" t="str">
        <f t="shared" si="31"/>
        <v>P1</v>
      </c>
      <c r="C642" s="14" t="s">
        <v>142</v>
      </c>
      <c r="D642" s="18">
        <f>VLOOKUP(C642,'DISTRIBUIÇÃO NF4267'!$E$3:$FQ$75,MATCH(B642,'DISTRIBUIÇÃO NF4267'!$E$3:$FQ$3,0)+1,0)</f>
        <v>8</v>
      </c>
      <c r="F642" s="28">
        <f t="shared" si="32"/>
        <v>5</v>
      </c>
    </row>
    <row r="643" spans="1:6" x14ac:dyDescent="0.35">
      <c r="A643">
        <f t="shared" si="33"/>
        <v>0</v>
      </c>
      <c r="B643" t="str">
        <f t="shared" si="31"/>
        <v>P1</v>
      </c>
      <c r="C643" s="14" t="s">
        <v>143</v>
      </c>
      <c r="D643" s="18">
        <f>VLOOKUP(C643,'DISTRIBUIÇÃO NF4267'!$E$3:$FQ$75,MATCH(B643,'DISTRIBUIÇÃO NF4267'!$E$3:$FQ$3,0)+1,0)</f>
        <v>0</v>
      </c>
      <c r="F643" s="28">
        <f t="shared" si="32"/>
        <v>5</v>
      </c>
    </row>
    <row r="644" spans="1:6" x14ac:dyDescent="0.35">
      <c r="A644">
        <f t="shared" si="33"/>
        <v>0</v>
      </c>
      <c r="B644" t="str">
        <f t="shared" si="31"/>
        <v>P1</v>
      </c>
      <c r="C644" s="15" t="s">
        <v>145</v>
      </c>
      <c r="D644" s="18">
        <f>VLOOKUP(C644,'DISTRIBUIÇÃO NF4267'!$E$3:$FQ$75,MATCH(B644,'DISTRIBUIÇÃO NF4267'!$E$3:$FQ$3,0)+1,0)</f>
        <v>0</v>
      </c>
      <c r="F644" s="28">
        <f t="shared" si="32"/>
        <v>5</v>
      </c>
    </row>
    <row r="645" spans="1:6" x14ac:dyDescent="0.35">
      <c r="A645">
        <f t="shared" si="33"/>
        <v>0</v>
      </c>
      <c r="B645" t="str">
        <f t="shared" si="31"/>
        <v>P1</v>
      </c>
      <c r="C645" s="15" t="s">
        <v>146</v>
      </c>
      <c r="D645" s="18">
        <f>VLOOKUP(C645,'DISTRIBUIÇÃO NF4267'!$E$3:$FQ$75,MATCH(B645,'DISTRIBUIÇÃO NF4267'!$E$3:$FQ$3,0)+1,0)</f>
        <v>10</v>
      </c>
      <c r="F645" s="28">
        <f t="shared" si="32"/>
        <v>5</v>
      </c>
    </row>
    <row r="646" spans="1:6" x14ac:dyDescent="0.35">
      <c r="A646">
        <f t="shared" si="33"/>
        <v>0</v>
      </c>
      <c r="B646" t="str">
        <f t="shared" si="31"/>
        <v>P1</v>
      </c>
      <c r="C646" s="15" t="s">
        <v>147</v>
      </c>
      <c r="D646" s="18">
        <f>VLOOKUP(C646,'DISTRIBUIÇÃO NF4267'!$E$3:$FQ$75,MATCH(B646,'DISTRIBUIÇÃO NF4267'!$E$3:$FQ$3,0)+1,0)</f>
        <v>20</v>
      </c>
      <c r="F646" s="28">
        <f t="shared" si="32"/>
        <v>5</v>
      </c>
    </row>
    <row r="647" spans="1:6" x14ac:dyDescent="0.35">
      <c r="A647">
        <f t="shared" si="33"/>
        <v>0</v>
      </c>
      <c r="B647" t="str">
        <f t="shared" si="31"/>
        <v>P1</v>
      </c>
      <c r="C647" s="15" t="s">
        <v>148</v>
      </c>
      <c r="D647" s="18">
        <f>VLOOKUP(C647,'DISTRIBUIÇÃO NF4267'!$E$3:$FQ$75,MATCH(B647,'DISTRIBUIÇÃO NF4267'!$E$3:$FQ$3,0)+1,0)</f>
        <v>10</v>
      </c>
      <c r="F647" s="28">
        <f t="shared" si="32"/>
        <v>5</v>
      </c>
    </row>
    <row r="648" spans="1:6" x14ac:dyDescent="0.35">
      <c r="A648">
        <f t="shared" si="33"/>
        <v>0</v>
      </c>
      <c r="B648" t="str">
        <f t="shared" si="31"/>
        <v>P1</v>
      </c>
      <c r="C648" s="15" t="s">
        <v>149</v>
      </c>
      <c r="D648" s="18">
        <f>VLOOKUP(C648,'DISTRIBUIÇÃO NF4267'!$E$3:$FQ$75,MATCH(B648,'DISTRIBUIÇÃO NF4267'!$E$3:$FQ$3,0)+1,0)</f>
        <v>10</v>
      </c>
      <c r="F648" s="28">
        <f t="shared" si="32"/>
        <v>5</v>
      </c>
    </row>
    <row r="649" spans="1:6" x14ac:dyDescent="0.35">
      <c r="A649">
        <f t="shared" si="33"/>
        <v>0</v>
      </c>
      <c r="B649" t="str">
        <f t="shared" si="31"/>
        <v>P1</v>
      </c>
      <c r="C649" s="15" t="s">
        <v>150</v>
      </c>
      <c r="D649" s="18">
        <f>VLOOKUP(C649,'DISTRIBUIÇÃO NF4267'!$E$3:$FQ$75,MATCH(B649,'DISTRIBUIÇÃO NF4267'!$E$3:$FQ$3,0)+1,0)</f>
        <v>0</v>
      </c>
      <c r="F649" s="28">
        <f t="shared" si="32"/>
        <v>5</v>
      </c>
    </row>
    <row r="650" spans="1:6" x14ac:dyDescent="0.35">
      <c r="A650">
        <f t="shared" si="33"/>
        <v>0</v>
      </c>
      <c r="B650">
        <v>23</v>
      </c>
      <c r="C650" s="7" t="s">
        <v>98</v>
      </c>
      <c r="D650" s="18">
        <f>VLOOKUP(C650,'DISTRIBUIÇÃO NF4267'!$E$3:$FQ$75,MATCH(B650,'DISTRIBUIÇÃO NF4267'!$E$3:$FQ$3,0)+1,0)</f>
        <v>0</v>
      </c>
      <c r="F650" s="28">
        <f t="shared" si="32"/>
        <v>5</v>
      </c>
    </row>
    <row r="651" spans="1:6" x14ac:dyDescent="0.35">
      <c r="A651">
        <f t="shared" si="33"/>
        <v>0</v>
      </c>
      <c r="B651">
        <f>B650</f>
        <v>23</v>
      </c>
      <c r="C651" s="7" t="s">
        <v>99</v>
      </c>
      <c r="D651" s="18">
        <f>VLOOKUP(C651,'DISTRIBUIÇÃO NF4267'!$E$3:$FQ$75,MATCH(B651,'DISTRIBUIÇÃO NF4267'!$E$3:$FQ$3,0)+1,0)</f>
        <v>4</v>
      </c>
      <c r="F651" s="28">
        <f t="shared" si="32"/>
        <v>5</v>
      </c>
    </row>
    <row r="652" spans="1:6" x14ac:dyDescent="0.35">
      <c r="A652">
        <f t="shared" si="33"/>
        <v>0</v>
      </c>
      <c r="B652">
        <f t="shared" ref="B652:B703" si="34">B651</f>
        <v>23</v>
      </c>
      <c r="C652" s="7" t="s">
        <v>100</v>
      </c>
      <c r="D652" s="18">
        <f>VLOOKUP(C652,'DISTRIBUIÇÃO NF4267'!$E$3:$FQ$75,MATCH(B652,'DISTRIBUIÇÃO NF4267'!$E$3:$FQ$3,0)+1,0)</f>
        <v>8</v>
      </c>
      <c r="F652" s="28">
        <f t="shared" si="32"/>
        <v>5</v>
      </c>
    </row>
    <row r="653" spans="1:6" x14ac:dyDescent="0.35">
      <c r="A653">
        <f t="shared" si="33"/>
        <v>0</v>
      </c>
      <c r="B653">
        <f t="shared" si="34"/>
        <v>23</v>
      </c>
      <c r="C653" s="7" t="s">
        <v>101</v>
      </c>
      <c r="D653" s="18">
        <f>VLOOKUP(C653,'DISTRIBUIÇÃO NF4267'!$E$3:$FQ$75,MATCH(B653,'DISTRIBUIÇÃO NF4267'!$E$3:$FQ$3,0)+1,0)</f>
        <v>4</v>
      </c>
      <c r="F653" s="28">
        <f t="shared" si="32"/>
        <v>5</v>
      </c>
    </row>
    <row r="654" spans="1:6" x14ac:dyDescent="0.35">
      <c r="A654">
        <f t="shared" si="33"/>
        <v>0</v>
      </c>
      <c r="B654">
        <f t="shared" si="34"/>
        <v>23</v>
      </c>
      <c r="C654" s="7" t="s">
        <v>102</v>
      </c>
      <c r="D654" s="18">
        <f>VLOOKUP(C654,'DISTRIBUIÇÃO NF4267'!$E$3:$FQ$75,MATCH(B654,'DISTRIBUIÇÃO NF4267'!$E$3:$FQ$3,0)+1,0)</f>
        <v>4</v>
      </c>
      <c r="F654" s="28">
        <f t="shared" si="32"/>
        <v>5</v>
      </c>
    </row>
    <row r="655" spans="1:6" x14ac:dyDescent="0.35">
      <c r="A655">
        <f t="shared" si="33"/>
        <v>0</v>
      </c>
      <c r="B655">
        <f t="shared" si="34"/>
        <v>23</v>
      </c>
      <c r="C655" s="7" t="s">
        <v>103</v>
      </c>
      <c r="D655" s="18">
        <f>VLOOKUP(C655,'DISTRIBUIÇÃO NF4267'!$E$3:$FQ$75,MATCH(B655,'DISTRIBUIÇÃO NF4267'!$E$3:$FQ$3,0)+1,0)</f>
        <v>0</v>
      </c>
      <c r="F655" s="28">
        <f t="shared" si="32"/>
        <v>5</v>
      </c>
    </row>
    <row r="656" spans="1:6" x14ac:dyDescent="0.35">
      <c r="A656">
        <f t="shared" si="33"/>
        <v>0</v>
      </c>
      <c r="B656">
        <f t="shared" si="34"/>
        <v>23</v>
      </c>
      <c r="C656" s="8" t="s">
        <v>107</v>
      </c>
      <c r="D656" s="18">
        <f>VLOOKUP(C656,'DISTRIBUIÇÃO NF4267'!$E$3:$FQ$75,MATCH(B656,'DISTRIBUIÇÃO NF4267'!$E$3:$FQ$3,0)+1,0)</f>
        <v>0</v>
      </c>
      <c r="F656" s="28">
        <f t="shared" si="32"/>
        <v>5</v>
      </c>
    </row>
    <row r="657" spans="1:6" x14ac:dyDescent="0.35">
      <c r="A657">
        <f t="shared" si="33"/>
        <v>0</v>
      </c>
      <c r="B657">
        <f t="shared" si="34"/>
        <v>23</v>
      </c>
      <c r="C657" s="8" t="s">
        <v>108</v>
      </c>
      <c r="D657" s="18">
        <f>VLOOKUP(C657,'DISTRIBUIÇÃO NF4267'!$E$3:$FQ$75,MATCH(B657,'DISTRIBUIÇÃO NF4267'!$E$3:$FQ$3,0)+1,0)</f>
        <v>6</v>
      </c>
      <c r="F657" s="28">
        <f t="shared" si="32"/>
        <v>5</v>
      </c>
    </row>
    <row r="658" spans="1:6" x14ac:dyDescent="0.35">
      <c r="A658">
        <f t="shared" si="33"/>
        <v>0</v>
      </c>
      <c r="B658">
        <f t="shared" si="34"/>
        <v>23</v>
      </c>
      <c r="C658" s="8" t="s">
        <v>109</v>
      </c>
      <c r="D658" s="18">
        <f>VLOOKUP(C658,'DISTRIBUIÇÃO NF4267'!$E$3:$FQ$75,MATCH(B658,'DISTRIBUIÇÃO NF4267'!$E$3:$FQ$3,0)+1,0)</f>
        <v>12</v>
      </c>
      <c r="F658" s="28">
        <f t="shared" si="32"/>
        <v>5</v>
      </c>
    </row>
    <row r="659" spans="1:6" x14ac:dyDescent="0.35">
      <c r="A659">
        <f t="shared" si="33"/>
        <v>0</v>
      </c>
      <c r="B659">
        <f t="shared" si="34"/>
        <v>23</v>
      </c>
      <c r="C659" s="8" t="s">
        <v>110</v>
      </c>
      <c r="D659" s="18">
        <f>VLOOKUP(C659,'DISTRIBUIÇÃO NF4267'!$E$3:$FQ$75,MATCH(B659,'DISTRIBUIÇÃO NF4267'!$E$3:$FQ$3,0)+1,0)</f>
        <v>6</v>
      </c>
      <c r="F659" s="28">
        <f t="shared" si="32"/>
        <v>5</v>
      </c>
    </row>
    <row r="660" spans="1:6" x14ac:dyDescent="0.35">
      <c r="A660">
        <f t="shared" si="33"/>
        <v>0</v>
      </c>
      <c r="B660">
        <f t="shared" si="34"/>
        <v>23</v>
      </c>
      <c r="C660" s="8" t="s">
        <v>111</v>
      </c>
      <c r="D660" s="18">
        <f>VLOOKUP(C660,'DISTRIBUIÇÃO NF4267'!$E$3:$FQ$75,MATCH(B660,'DISTRIBUIÇÃO NF4267'!$E$3:$FQ$3,0)+1,0)</f>
        <v>6</v>
      </c>
      <c r="F660" s="28">
        <f t="shared" si="32"/>
        <v>5</v>
      </c>
    </row>
    <row r="661" spans="1:6" x14ac:dyDescent="0.35">
      <c r="A661">
        <f t="shared" si="33"/>
        <v>0</v>
      </c>
      <c r="B661">
        <f t="shared" si="34"/>
        <v>23</v>
      </c>
      <c r="C661" s="8" t="s">
        <v>112</v>
      </c>
      <c r="D661" s="18">
        <f>VLOOKUP(C661,'DISTRIBUIÇÃO NF4267'!$E$3:$FQ$75,MATCH(B661,'DISTRIBUIÇÃO NF4267'!$E$3:$FQ$3,0)+1,0)</f>
        <v>0</v>
      </c>
      <c r="F661" s="28">
        <f t="shared" si="32"/>
        <v>5</v>
      </c>
    </row>
    <row r="662" spans="1:6" x14ac:dyDescent="0.35">
      <c r="A662">
        <f t="shared" si="33"/>
        <v>0</v>
      </c>
      <c r="B662">
        <f t="shared" si="34"/>
        <v>23</v>
      </c>
      <c r="C662" s="9" t="s">
        <v>113</v>
      </c>
      <c r="D662" s="18">
        <f>VLOOKUP(C662,'DISTRIBUIÇÃO NF4267'!$E$3:$FQ$75,MATCH(B662,'DISTRIBUIÇÃO NF4267'!$E$3:$FQ$3,0)+1,0)</f>
        <v>0</v>
      </c>
      <c r="F662" s="28">
        <f t="shared" si="32"/>
        <v>5</v>
      </c>
    </row>
    <row r="663" spans="1:6" x14ac:dyDescent="0.35">
      <c r="A663">
        <f t="shared" si="33"/>
        <v>0</v>
      </c>
      <c r="B663">
        <f t="shared" si="34"/>
        <v>23</v>
      </c>
      <c r="C663" s="9" t="s">
        <v>114</v>
      </c>
      <c r="D663" s="18">
        <f>VLOOKUP(C663,'DISTRIBUIÇÃO NF4267'!$E$3:$FQ$75,MATCH(B663,'DISTRIBUIÇÃO NF4267'!$E$3:$FQ$3,0)+1,0)</f>
        <v>6</v>
      </c>
      <c r="F663" s="28">
        <f t="shared" si="32"/>
        <v>5</v>
      </c>
    </row>
    <row r="664" spans="1:6" x14ac:dyDescent="0.35">
      <c r="A664">
        <f t="shared" si="33"/>
        <v>0</v>
      </c>
      <c r="B664">
        <f t="shared" si="34"/>
        <v>23</v>
      </c>
      <c r="C664" s="9" t="s">
        <v>115</v>
      </c>
      <c r="D664" s="18">
        <f>VLOOKUP(C664,'DISTRIBUIÇÃO NF4267'!$E$3:$FQ$75,MATCH(B664,'DISTRIBUIÇÃO NF4267'!$E$3:$FQ$3,0)+1,0)</f>
        <v>8</v>
      </c>
      <c r="F664" s="28">
        <f t="shared" si="32"/>
        <v>5</v>
      </c>
    </row>
    <row r="665" spans="1:6" x14ac:dyDescent="0.35">
      <c r="A665">
        <f t="shared" si="33"/>
        <v>0</v>
      </c>
      <c r="B665">
        <f t="shared" si="34"/>
        <v>23</v>
      </c>
      <c r="C665" s="9" t="s">
        <v>116</v>
      </c>
      <c r="D665" s="18">
        <f>VLOOKUP(C665,'DISTRIBUIÇÃO NF4267'!$E$3:$FQ$75,MATCH(B665,'DISTRIBUIÇÃO NF4267'!$E$3:$FQ$3,0)+1,0)</f>
        <v>4</v>
      </c>
      <c r="F665" s="28">
        <f t="shared" si="32"/>
        <v>5</v>
      </c>
    </row>
    <row r="666" spans="1:6" x14ac:dyDescent="0.35">
      <c r="A666">
        <f t="shared" si="33"/>
        <v>0</v>
      </c>
      <c r="B666">
        <f t="shared" si="34"/>
        <v>23</v>
      </c>
      <c r="C666" s="9" t="s">
        <v>117</v>
      </c>
      <c r="D666" s="18">
        <f>VLOOKUP(C666,'DISTRIBUIÇÃO NF4267'!$E$3:$FQ$75,MATCH(B666,'DISTRIBUIÇÃO NF4267'!$E$3:$FQ$3,0)+1,0)</f>
        <v>2</v>
      </c>
      <c r="F666" s="28">
        <f t="shared" si="32"/>
        <v>5</v>
      </c>
    </row>
    <row r="667" spans="1:6" x14ac:dyDescent="0.35">
      <c r="A667">
        <f t="shared" si="33"/>
        <v>0</v>
      </c>
      <c r="B667">
        <f t="shared" si="34"/>
        <v>23</v>
      </c>
      <c r="C667" s="9" t="s">
        <v>118</v>
      </c>
      <c r="D667" s="18">
        <f>VLOOKUP(C667,'DISTRIBUIÇÃO NF4267'!$E$3:$FQ$75,MATCH(B667,'DISTRIBUIÇÃO NF4267'!$E$3:$FQ$3,0)+1,0)</f>
        <v>0</v>
      </c>
      <c r="F667" s="28">
        <f t="shared" si="32"/>
        <v>5</v>
      </c>
    </row>
    <row r="668" spans="1:6" x14ac:dyDescent="0.35">
      <c r="A668">
        <f t="shared" si="33"/>
        <v>0</v>
      </c>
      <c r="B668">
        <f t="shared" si="34"/>
        <v>23</v>
      </c>
      <c r="C668" s="10" t="s">
        <v>119</v>
      </c>
      <c r="D668" s="18">
        <f>VLOOKUP(C668,'DISTRIBUIÇÃO NF4267'!$E$3:$FQ$75,MATCH(B668,'DISTRIBUIÇÃO NF4267'!$E$3:$FQ$3,0)+1,0)</f>
        <v>0</v>
      </c>
      <c r="F668" s="28">
        <f t="shared" si="32"/>
        <v>5</v>
      </c>
    </row>
    <row r="669" spans="1:6" x14ac:dyDescent="0.35">
      <c r="A669">
        <f t="shared" si="33"/>
        <v>0</v>
      </c>
      <c r="B669">
        <f t="shared" si="34"/>
        <v>23</v>
      </c>
      <c r="C669" s="10" t="s">
        <v>120</v>
      </c>
      <c r="D669" s="18">
        <f>VLOOKUP(C669,'DISTRIBUIÇÃO NF4267'!$E$3:$FQ$75,MATCH(B669,'DISTRIBUIÇÃO NF4267'!$E$3:$FQ$3,0)+1,0)</f>
        <v>60</v>
      </c>
      <c r="F669" s="28">
        <f t="shared" si="32"/>
        <v>5</v>
      </c>
    </row>
    <row r="670" spans="1:6" x14ac:dyDescent="0.35">
      <c r="A670">
        <f t="shared" si="33"/>
        <v>0</v>
      </c>
      <c r="B670">
        <f t="shared" si="34"/>
        <v>23</v>
      </c>
      <c r="C670" s="10" t="s">
        <v>121</v>
      </c>
      <c r="D670" s="18">
        <f>VLOOKUP(C670,'DISTRIBUIÇÃO NF4267'!$E$3:$FQ$75,MATCH(B670,'DISTRIBUIÇÃO NF4267'!$E$3:$FQ$3,0)+1,0)</f>
        <v>20</v>
      </c>
      <c r="F670" s="28">
        <f t="shared" si="32"/>
        <v>5</v>
      </c>
    </row>
    <row r="671" spans="1:6" x14ac:dyDescent="0.35">
      <c r="A671">
        <f t="shared" si="33"/>
        <v>0</v>
      </c>
      <c r="B671">
        <f t="shared" si="34"/>
        <v>23</v>
      </c>
      <c r="C671" s="10" t="s">
        <v>122</v>
      </c>
      <c r="D671" s="18">
        <f>VLOOKUP(C671,'DISTRIBUIÇÃO NF4267'!$E$3:$FQ$75,MATCH(B671,'DISTRIBUIÇÃO NF4267'!$E$3:$FQ$3,0)+1,0)</f>
        <v>20</v>
      </c>
      <c r="F671" s="28">
        <f t="shared" si="32"/>
        <v>5</v>
      </c>
    </row>
    <row r="672" spans="1:6" x14ac:dyDescent="0.35">
      <c r="A672">
        <f t="shared" si="33"/>
        <v>0</v>
      </c>
      <c r="B672">
        <f t="shared" si="34"/>
        <v>23</v>
      </c>
      <c r="C672" s="10" t="s">
        <v>123</v>
      </c>
      <c r="D672" s="18">
        <f>VLOOKUP(C672,'DISTRIBUIÇÃO NF4267'!$E$3:$FQ$75,MATCH(B672,'DISTRIBUIÇÃO NF4267'!$E$3:$FQ$3,0)+1,0)</f>
        <v>0</v>
      </c>
      <c r="F672" s="28">
        <f t="shared" si="32"/>
        <v>5</v>
      </c>
    </row>
    <row r="673" spans="1:6" x14ac:dyDescent="0.35">
      <c r="A673">
        <f t="shared" si="33"/>
        <v>0</v>
      </c>
      <c r="B673">
        <f t="shared" si="34"/>
        <v>23</v>
      </c>
      <c r="C673" s="10" t="s">
        <v>124</v>
      </c>
      <c r="D673" s="18">
        <f>VLOOKUP(C673,'DISTRIBUIÇÃO NF4267'!$E$3:$FQ$75,MATCH(B673,'DISTRIBUIÇÃO NF4267'!$E$3:$FQ$3,0)+1,0)</f>
        <v>0</v>
      </c>
      <c r="F673" s="28">
        <f t="shared" si="32"/>
        <v>5</v>
      </c>
    </row>
    <row r="674" spans="1:6" x14ac:dyDescent="0.35">
      <c r="A674">
        <f t="shared" si="33"/>
        <v>0</v>
      </c>
      <c r="B674">
        <f t="shared" si="34"/>
        <v>23</v>
      </c>
      <c r="C674" s="11" t="s">
        <v>16</v>
      </c>
      <c r="D674" s="18">
        <f>VLOOKUP(C674,'DISTRIBUIÇÃO NF4267'!$E$3:$FQ$75,MATCH(B674,'DISTRIBUIÇÃO NF4267'!$E$3:$FQ$3,0)+1,0)</f>
        <v>0</v>
      </c>
      <c r="F674" s="28">
        <f t="shared" si="32"/>
        <v>5</v>
      </c>
    </row>
    <row r="675" spans="1:6" x14ac:dyDescent="0.35">
      <c r="A675">
        <f t="shared" si="33"/>
        <v>0</v>
      </c>
      <c r="B675">
        <f t="shared" si="34"/>
        <v>23</v>
      </c>
      <c r="C675" s="11" t="s">
        <v>17</v>
      </c>
      <c r="D675" s="18">
        <f>VLOOKUP(C675,'DISTRIBUIÇÃO NF4267'!$E$3:$FQ$75,MATCH(B675,'DISTRIBUIÇÃO NF4267'!$E$3:$FQ$3,0)+1,0)</f>
        <v>12</v>
      </c>
      <c r="F675" s="28">
        <f t="shared" si="32"/>
        <v>5</v>
      </c>
    </row>
    <row r="676" spans="1:6" x14ac:dyDescent="0.35">
      <c r="A676">
        <f t="shared" si="33"/>
        <v>0</v>
      </c>
      <c r="B676">
        <f t="shared" si="34"/>
        <v>23</v>
      </c>
      <c r="C676" s="11" t="s">
        <v>18</v>
      </c>
      <c r="D676" s="18">
        <f>VLOOKUP(C676,'DISTRIBUIÇÃO NF4267'!$E$3:$FQ$75,MATCH(B676,'DISTRIBUIÇÃO NF4267'!$E$3:$FQ$3,0)+1,0)</f>
        <v>4</v>
      </c>
      <c r="F676" s="28">
        <f t="shared" si="32"/>
        <v>5</v>
      </c>
    </row>
    <row r="677" spans="1:6" x14ac:dyDescent="0.35">
      <c r="A677">
        <f t="shared" si="33"/>
        <v>0</v>
      </c>
      <c r="B677">
        <f t="shared" si="34"/>
        <v>23</v>
      </c>
      <c r="C677" s="11" t="s">
        <v>19</v>
      </c>
      <c r="D677" s="18">
        <f>VLOOKUP(C677,'DISTRIBUIÇÃO NF4267'!$E$3:$FQ$75,MATCH(B677,'DISTRIBUIÇÃO NF4267'!$E$3:$FQ$3,0)+1,0)</f>
        <v>4</v>
      </c>
      <c r="F677" s="28">
        <f t="shared" si="32"/>
        <v>5</v>
      </c>
    </row>
    <row r="678" spans="1:6" x14ac:dyDescent="0.35">
      <c r="A678">
        <f t="shared" si="33"/>
        <v>0</v>
      </c>
      <c r="B678">
        <f t="shared" si="34"/>
        <v>23</v>
      </c>
      <c r="C678" s="11" t="s">
        <v>20</v>
      </c>
      <c r="D678" s="18">
        <f>VLOOKUP(C678,'DISTRIBUIÇÃO NF4267'!$E$3:$FQ$75,MATCH(B678,'DISTRIBUIÇÃO NF4267'!$E$3:$FQ$3,0)+1,0)</f>
        <v>20</v>
      </c>
      <c r="F678" s="28">
        <f t="shared" si="32"/>
        <v>5</v>
      </c>
    </row>
    <row r="679" spans="1:6" x14ac:dyDescent="0.35">
      <c r="A679">
        <f t="shared" si="33"/>
        <v>0</v>
      </c>
      <c r="B679">
        <f t="shared" si="34"/>
        <v>23</v>
      </c>
      <c r="C679" s="11" t="s">
        <v>21</v>
      </c>
      <c r="D679" s="18">
        <f>VLOOKUP(C679,'DISTRIBUIÇÃO NF4267'!$E$3:$FQ$75,MATCH(B679,'DISTRIBUIÇÃO NF4267'!$E$3:$FQ$3,0)+1,0)</f>
        <v>0</v>
      </c>
      <c r="F679" s="28">
        <f t="shared" si="32"/>
        <v>5</v>
      </c>
    </row>
    <row r="680" spans="1:6" x14ac:dyDescent="0.35">
      <c r="A680">
        <f t="shared" si="33"/>
        <v>0</v>
      </c>
      <c r="B680">
        <f t="shared" si="34"/>
        <v>23</v>
      </c>
      <c r="C680" s="12" t="s">
        <v>130</v>
      </c>
      <c r="D680" s="18">
        <f>VLOOKUP(C680,'DISTRIBUIÇÃO NF4267'!$E$3:$FQ$75,MATCH(B680,'DISTRIBUIÇÃO NF4267'!$E$3:$FQ$3,0)+1,0)</f>
        <v>0</v>
      </c>
      <c r="F680" s="28">
        <f t="shared" si="32"/>
        <v>5</v>
      </c>
    </row>
    <row r="681" spans="1:6" x14ac:dyDescent="0.35">
      <c r="A681">
        <f t="shared" si="33"/>
        <v>0</v>
      </c>
      <c r="B681">
        <f t="shared" si="34"/>
        <v>23</v>
      </c>
      <c r="C681" s="12" t="s">
        <v>131</v>
      </c>
      <c r="D681" s="18">
        <f>VLOOKUP(C681,'DISTRIBUIÇÃO NF4267'!$E$3:$FQ$75,MATCH(B681,'DISTRIBUIÇÃO NF4267'!$E$3:$FQ$3,0)+1,0)</f>
        <v>2</v>
      </c>
      <c r="F681" s="28">
        <f t="shared" si="32"/>
        <v>5</v>
      </c>
    </row>
    <row r="682" spans="1:6" x14ac:dyDescent="0.35">
      <c r="A682">
        <f t="shared" si="33"/>
        <v>0</v>
      </c>
      <c r="B682">
        <f t="shared" si="34"/>
        <v>23</v>
      </c>
      <c r="C682" s="12" t="s">
        <v>132</v>
      </c>
      <c r="D682" s="18">
        <f>VLOOKUP(C682,'DISTRIBUIÇÃO NF4267'!$E$3:$FQ$75,MATCH(B682,'DISTRIBUIÇÃO NF4267'!$E$3:$FQ$3,0)+1,0)</f>
        <v>8</v>
      </c>
      <c r="F682" s="28">
        <f t="shared" si="32"/>
        <v>5</v>
      </c>
    </row>
    <row r="683" spans="1:6" x14ac:dyDescent="0.35">
      <c r="A683">
        <f t="shared" si="33"/>
        <v>0</v>
      </c>
      <c r="B683">
        <f t="shared" si="34"/>
        <v>23</v>
      </c>
      <c r="C683" s="12" t="s">
        <v>133</v>
      </c>
      <c r="D683" s="18">
        <f>VLOOKUP(C683,'DISTRIBUIÇÃO NF4267'!$E$3:$FQ$75,MATCH(B683,'DISTRIBUIÇÃO NF4267'!$E$3:$FQ$3,0)+1,0)</f>
        <v>6</v>
      </c>
      <c r="F683" s="28">
        <f t="shared" si="32"/>
        <v>5</v>
      </c>
    </row>
    <row r="684" spans="1:6" x14ac:dyDescent="0.35">
      <c r="A684">
        <f t="shared" si="33"/>
        <v>0</v>
      </c>
      <c r="B684">
        <f t="shared" si="34"/>
        <v>23</v>
      </c>
      <c r="C684" s="12" t="s">
        <v>134</v>
      </c>
      <c r="D684" s="18">
        <f>VLOOKUP(C684,'DISTRIBUIÇÃO NF4267'!$E$3:$FQ$75,MATCH(B684,'DISTRIBUIÇÃO NF4267'!$E$3:$FQ$3,0)+1,0)</f>
        <v>4</v>
      </c>
      <c r="F684" s="28">
        <f t="shared" si="32"/>
        <v>5</v>
      </c>
    </row>
    <row r="685" spans="1:6" x14ac:dyDescent="0.35">
      <c r="A685">
        <f t="shared" si="33"/>
        <v>0</v>
      </c>
      <c r="B685">
        <f t="shared" si="34"/>
        <v>23</v>
      </c>
      <c r="C685" s="12" t="s">
        <v>135</v>
      </c>
      <c r="D685" s="18">
        <f>VLOOKUP(C685,'DISTRIBUIÇÃO NF4267'!$E$3:$FQ$75,MATCH(B685,'DISTRIBUIÇÃO NF4267'!$E$3:$FQ$3,0)+1,0)</f>
        <v>0</v>
      </c>
      <c r="F685" s="28">
        <f t="shared" si="32"/>
        <v>5</v>
      </c>
    </row>
    <row r="686" spans="1:6" x14ac:dyDescent="0.35">
      <c r="A686">
        <f t="shared" si="33"/>
        <v>0</v>
      </c>
      <c r="B686">
        <f t="shared" si="34"/>
        <v>23</v>
      </c>
      <c r="C686" s="13" t="s">
        <v>22</v>
      </c>
      <c r="D686" s="18">
        <f>VLOOKUP(C686,'DISTRIBUIÇÃO NF4267'!$E$3:$FQ$75,MATCH(B686,'DISTRIBUIÇÃO NF4267'!$E$3:$FQ$3,0)+1,0)</f>
        <v>0</v>
      </c>
      <c r="F686" s="28">
        <f t="shared" si="32"/>
        <v>5</v>
      </c>
    </row>
    <row r="687" spans="1:6" x14ac:dyDescent="0.35">
      <c r="A687">
        <f t="shared" si="33"/>
        <v>0</v>
      </c>
      <c r="B687">
        <f t="shared" si="34"/>
        <v>23</v>
      </c>
      <c r="C687" s="13" t="s">
        <v>23</v>
      </c>
      <c r="D687" s="18">
        <f>VLOOKUP(C687,'DISTRIBUIÇÃO NF4267'!$E$3:$FQ$75,MATCH(B687,'DISTRIBUIÇÃO NF4267'!$E$3:$FQ$3,0)+1,0)</f>
        <v>2</v>
      </c>
      <c r="F687" s="28">
        <f t="shared" si="32"/>
        <v>5</v>
      </c>
    </row>
    <row r="688" spans="1:6" x14ac:dyDescent="0.35">
      <c r="A688">
        <f t="shared" si="33"/>
        <v>0</v>
      </c>
      <c r="B688">
        <f t="shared" si="34"/>
        <v>23</v>
      </c>
      <c r="C688" s="13" t="s">
        <v>24</v>
      </c>
      <c r="D688" s="18">
        <f>VLOOKUP(C688,'DISTRIBUIÇÃO NF4267'!$E$3:$FQ$75,MATCH(B688,'DISTRIBUIÇÃO NF4267'!$E$3:$FQ$3,0)+1,0)</f>
        <v>12</v>
      </c>
      <c r="F688" s="28">
        <f t="shared" si="32"/>
        <v>5</v>
      </c>
    </row>
    <row r="689" spans="1:6" x14ac:dyDescent="0.35">
      <c r="A689">
        <f t="shared" si="33"/>
        <v>0</v>
      </c>
      <c r="B689">
        <f t="shared" si="34"/>
        <v>23</v>
      </c>
      <c r="C689" s="13" t="s">
        <v>25</v>
      </c>
      <c r="D689" s="18">
        <f>VLOOKUP(C689,'DISTRIBUIÇÃO NF4267'!$E$3:$FQ$75,MATCH(B689,'DISTRIBUIÇÃO NF4267'!$E$3:$FQ$3,0)+1,0)</f>
        <v>4</v>
      </c>
      <c r="F689" s="28">
        <f t="shared" si="32"/>
        <v>5</v>
      </c>
    </row>
    <row r="690" spans="1:6" x14ac:dyDescent="0.35">
      <c r="A690">
        <f t="shared" si="33"/>
        <v>0</v>
      </c>
      <c r="B690">
        <f t="shared" si="34"/>
        <v>23</v>
      </c>
      <c r="C690" s="13" t="s">
        <v>26</v>
      </c>
      <c r="D690" s="18">
        <f>VLOOKUP(C690,'DISTRIBUIÇÃO NF4267'!$E$3:$FQ$75,MATCH(B690,'DISTRIBUIÇÃO NF4267'!$E$3:$FQ$3,0)+1,0)</f>
        <v>2</v>
      </c>
      <c r="F690" s="28">
        <f t="shared" si="32"/>
        <v>5</v>
      </c>
    </row>
    <row r="691" spans="1:6" x14ac:dyDescent="0.35">
      <c r="A691">
        <f t="shared" si="33"/>
        <v>0</v>
      </c>
      <c r="B691">
        <f t="shared" si="34"/>
        <v>23</v>
      </c>
      <c r="C691" s="13" t="s">
        <v>27</v>
      </c>
      <c r="D691" s="18">
        <f>VLOOKUP(C691,'DISTRIBUIÇÃO NF4267'!$E$3:$FQ$75,MATCH(B691,'DISTRIBUIÇÃO NF4267'!$E$3:$FQ$3,0)+1,0)</f>
        <v>0</v>
      </c>
      <c r="F691" s="28">
        <f t="shared" si="32"/>
        <v>5</v>
      </c>
    </row>
    <row r="692" spans="1:6" x14ac:dyDescent="0.35">
      <c r="A692">
        <f t="shared" si="33"/>
        <v>0</v>
      </c>
      <c r="B692">
        <f t="shared" si="34"/>
        <v>23</v>
      </c>
      <c r="C692" s="14" t="s">
        <v>138</v>
      </c>
      <c r="D692" s="18">
        <f>VLOOKUP(C692,'DISTRIBUIÇÃO NF4267'!$E$3:$FQ$75,MATCH(B692,'DISTRIBUIÇÃO NF4267'!$E$3:$FQ$3,0)+1,0)</f>
        <v>0</v>
      </c>
      <c r="F692" s="28">
        <f t="shared" si="32"/>
        <v>5</v>
      </c>
    </row>
    <row r="693" spans="1:6" x14ac:dyDescent="0.35">
      <c r="A693">
        <f t="shared" si="33"/>
        <v>0</v>
      </c>
      <c r="B693">
        <f t="shared" si="34"/>
        <v>23</v>
      </c>
      <c r="C693" s="14" t="s">
        <v>139</v>
      </c>
      <c r="D693" s="18">
        <f>VLOOKUP(C693,'DISTRIBUIÇÃO NF4267'!$E$3:$FQ$75,MATCH(B693,'DISTRIBUIÇÃO NF4267'!$E$3:$FQ$3,0)+1,0)</f>
        <v>8</v>
      </c>
      <c r="F693" s="28">
        <f t="shared" si="32"/>
        <v>5</v>
      </c>
    </row>
    <row r="694" spans="1:6" x14ac:dyDescent="0.35">
      <c r="A694">
        <f t="shared" si="33"/>
        <v>0</v>
      </c>
      <c r="B694">
        <f t="shared" si="34"/>
        <v>23</v>
      </c>
      <c r="C694" s="14" t="s">
        <v>140</v>
      </c>
      <c r="D694" s="18">
        <f>VLOOKUP(C694,'DISTRIBUIÇÃO NF4267'!$E$3:$FQ$75,MATCH(B694,'DISTRIBUIÇÃO NF4267'!$E$3:$FQ$3,0)+1,0)</f>
        <v>16</v>
      </c>
      <c r="F694" s="28">
        <f t="shared" si="32"/>
        <v>5</v>
      </c>
    </row>
    <row r="695" spans="1:6" x14ac:dyDescent="0.35">
      <c r="A695">
        <f t="shared" si="33"/>
        <v>0</v>
      </c>
      <c r="B695">
        <f t="shared" si="34"/>
        <v>23</v>
      </c>
      <c r="C695" s="14" t="s">
        <v>141</v>
      </c>
      <c r="D695" s="18">
        <f>VLOOKUP(C695,'DISTRIBUIÇÃO NF4267'!$E$3:$FQ$75,MATCH(B695,'DISTRIBUIÇÃO NF4267'!$E$3:$FQ$3,0)+1,0)</f>
        <v>8</v>
      </c>
      <c r="F695" s="28">
        <f t="shared" si="32"/>
        <v>5</v>
      </c>
    </row>
    <row r="696" spans="1:6" x14ac:dyDescent="0.35">
      <c r="A696">
        <f t="shared" si="33"/>
        <v>0</v>
      </c>
      <c r="B696">
        <f t="shared" si="34"/>
        <v>23</v>
      </c>
      <c r="C696" s="14" t="s">
        <v>142</v>
      </c>
      <c r="D696" s="18">
        <f>VLOOKUP(C696,'DISTRIBUIÇÃO NF4267'!$E$3:$FQ$75,MATCH(B696,'DISTRIBUIÇÃO NF4267'!$E$3:$FQ$3,0)+1,0)</f>
        <v>8</v>
      </c>
      <c r="F696" s="28">
        <f t="shared" ref="F696:F759" si="35">ROUNDUP(SUMIFS(D:D,B:B,B696)/80,0)</f>
        <v>5</v>
      </c>
    </row>
    <row r="697" spans="1:6" x14ac:dyDescent="0.35">
      <c r="A697">
        <f t="shared" si="33"/>
        <v>0</v>
      </c>
      <c r="B697">
        <f t="shared" si="34"/>
        <v>23</v>
      </c>
      <c r="C697" s="14" t="s">
        <v>143</v>
      </c>
      <c r="D697" s="18">
        <f>VLOOKUP(C697,'DISTRIBUIÇÃO NF4267'!$E$3:$FQ$75,MATCH(B697,'DISTRIBUIÇÃO NF4267'!$E$3:$FQ$3,0)+1,0)</f>
        <v>0</v>
      </c>
      <c r="F697" s="28">
        <f t="shared" si="35"/>
        <v>5</v>
      </c>
    </row>
    <row r="698" spans="1:6" x14ac:dyDescent="0.35">
      <c r="A698">
        <f t="shared" si="33"/>
        <v>0</v>
      </c>
      <c r="B698">
        <f t="shared" si="34"/>
        <v>23</v>
      </c>
      <c r="C698" s="15" t="s">
        <v>145</v>
      </c>
      <c r="D698" s="18">
        <f>VLOOKUP(C698,'DISTRIBUIÇÃO NF4267'!$E$3:$FQ$75,MATCH(B698,'DISTRIBUIÇÃO NF4267'!$E$3:$FQ$3,0)+1,0)</f>
        <v>0</v>
      </c>
      <c r="F698" s="28">
        <f t="shared" si="35"/>
        <v>5</v>
      </c>
    </row>
    <row r="699" spans="1:6" x14ac:dyDescent="0.35">
      <c r="A699">
        <f t="shared" si="33"/>
        <v>0</v>
      </c>
      <c r="B699">
        <f t="shared" si="34"/>
        <v>23</v>
      </c>
      <c r="C699" s="15" t="s">
        <v>146</v>
      </c>
      <c r="D699" s="18">
        <f>VLOOKUP(C699,'DISTRIBUIÇÃO NF4267'!$E$3:$FQ$75,MATCH(B699,'DISTRIBUIÇÃO NF4267'!$E$3:$FQ$3,0)+1,0)</f>
        <v>10</v>
      </c>
      <c r="F699" s="28">
        <f t="shared" si="35"/>
        <v>5</v>
      </c>
    </row>
    <row r="700" spans="1:6" x14ac:dyDescent="0.35">
      <c r="A700">
        <f t="shared" si="33"/>
        <v>0</v>
      </c>
      <c r="B700">
        <f t="shared" si="34"/>
        <v>23</v>
      </c>
      <c r="C700" s="15" t="s">
        <v>147</v>
      </c>
      <c r="D700" s="18">
        <f>VLOOKUP(C700,'DISTRIBUIÇÃO NF4267'!$E$3:$FQ$75,MATCH(B700,'DISTRIBUIÇÃO NF4267'!$E$3:$FQ$3,0)+1,0)</f>
        <v>20</v>
      </c>
      <c r="F700" s="28">
        <f t="shared" si="35"/>
        <v>5</v>
      </c>
    </row>
    <row r="701" spans="1:6" x14ac:dyDescent="0.35">
      <c r="A701">
        <f t="shared" si="33"/>
        <v>0</v>
      </c>
      <c r="B701">
        <f t="shared" si="34"/>
        <v>23</v>
      </c>
      <c r="C701" s="15" t="s">
        <v>148</v>
      </c>
      <c r="D701" s="18">
        <f>VLOOKUP(C701,'DISTRIBUIÇÃO NF4267'!$E$3:$FQ$75,MATCH(B701,'DISTRIBUIÇÃO NF4267'!$E$3:$FQ$3,0)+1,0)</f>
        <v>10</v>
      </c>
      <c r="F701" s="28">
        <f t="shared" si="35"/>
        <v>5</v>
      </c>
    </row>
    <row r="702" spans="1:6" x14ac:dyDescent="0.35">
      <c r="A702">
        <f t="shared" si="33"/>
        <v>0</v>
      </c>
      <c r="B702">
        <f t="shared" si="34"/>
        <v>23</v>
      </c>
      <c r="C702" s="15" t="s">
        <v>149</v>
      </c>
      <c r="D702" s="18">
        <f>VLOOKUP(C702,'DISTRIBUIÇÃO NF4267'!$E$3:$FQ$75,MATCH(B702,'DISTRIBUIÇÃO NF4267'!$E$3:$FQ$3,0)+1,0)</f>
        <v>10</v>
      </c>
      <c r="F702" s="28">
        <f t="shared" si="35"/>
        <v>5</v>
      </c>
    </row>
    <row r="703" spans="1:6" x14ac:dyDescent="0.35">
      <c r="A703">
        <f t="shared" si="33"/>
        <v>0</v>
      </c>
      <c r="B703">
        <f t="shared" si="34"/>
        <v>23</v>
      </c>
      <c r="C703" s="15" t="s">
        <v>150</v>
      </c>
      <c r="D703" s="18">
        <f>VLOOKUP(C703,'DISTRIBUIÇÃO NF4267'!$E$3:$FQ$75,MATCH(B703,'DISTRIBUIÇÃO NF4267'!$E$3:$FQ$3,0)+1,0)</f>
        <v>0</v>
      </c>
      <c r="F703" s="28">
        <f t="shared" si="35"/>
        <v>5</v>
      </c>
    </row>
    <row r="704" spans="1:6" x14ac:dyDescent="0.35">
      <c r="A704">
        <f t="shared" si="33"/>
        <v>0</v>
      </c>
      <c r="B704">
        <v>56</v>
      </c>
      <c r="C704" s="7" t="s">
        <v>98</v>
      </c>
      <c r="D704" s="18">
        <f>VLOOKUP(C704,'DISTRIBUIÇÃO NF4267'!$E$3:$FQ$75,MATCH(B704,'DISTRIBUIÇÃO NF4267'!$E$3:$FQ$3,0)+1,0)</f>
        <v>0</v>
      </c>
      <c r="F704" s="28">
        <f t="shared" si="35"/>
        <v>3</v>
      </c>
    </row>
    <row r="705" spans="1:6" x14ac:dyDescent="0.35">
      <c r="A705">
        <f t="shared" si="33"/>
        <v>0</v>
      </c>
      <c r="B705">
        <f>B704</f>
        <v>56</v>
      </c>
      <c r="C705" s="7" t="s">
        <v>99</v>
      </c>
      <c r="D705" s="18">
        <f>VLOOKUP(C705,'DISTRIBUIÇÃO NF4267'!$E$3:$FQ$75,MATCH(B705,'DISTRIBUIÇÃO NF4267'!$E$3:$FQ$3,0)+1,0)</f>
        <v>4</v>
      </c>
      <c r="F705" s="28">
        <f t="shared" si="35"/>
        <v>3</v>
      </c>
    </row>
    <row r="706" spans="1:6" x14ac:dyDescent="0.35">
      <c r="A706">
        <f t="shared" ref="A706:A769" si="36">IF(ISERROR(VLOOKUP(C706,I:I,1,0)),0,1)</f>
        <v>0</v>
      </c>
      <c r="B706">
        <f t="shared" ref="B706:B757" si="37">B705</f>
        <v>56</v>
      </c>
      <c r="C706" s="7" t="s">
        <v>100</v>
      </c>
      <c r="D706" s="18">
        <f>VLOOKUP(C706,'DISTRIBUIÇÃO NF4267'!$E$3:$FQ$75,MATCH(B706,'DISTRIBUIÇÃO NF4267'!$E$3:$FQ$3,0)+1,0)</f>
        <v>8</v>
      </c>
      <c r="F706" s="28">
        <f t="shared" si="35"/>
        <v>3</v>
      </c>
    </row>
    <row r="707" spans="1:6" x14ac:dyDescent="0.35">
      <c r="A707">
        <f t="shared" si="36"/>
        <v>0</v>
      </c>
      <c r="B707">
        <f t="shared" si="37"/>
        <v>56</v>
      </c>
      <c r="C707" s="7" t="s">
        <v>101</v>
      </c>
      <c r="D707" s="18">
        <f>VLOOKUP(C707,'DISTRIBUIÇÃO NF4267'!$E$3:$FQ$75,MATCH(B707,'DISTRIBUIÇÃO NF4267'!$E$3:$FQ$3,0)+1,0)</f>
        <v>4</v>
      </c>
      <c r="F707" s="28">
        <f t="shared" si="35"/>
        <v>3</v>
      </c>
    </row>
    <row r="708" spans="1:6" x14ac:dyDescent="0.35">
      <c r="A708">
        <f t="shared" si="36"/>
        <v>0</v>
      </c>
      <c r="B708">
        <f t="shared" si="37"/>
        <v>56</v>
      </c>
      <c r="C708" s="7" t="s">
        <v>102</v>
      </c>
      <c r="D708" s="18">
        <f>VLOOKUP(C708,'DISTRIBUIÇÃO NF4267'!$E$3:$FQ$75,MATCH(B708,'DISTRIBUIÇÃO NF4267'!$E$3:$FQ$3,0)+1,0)</f>
        <v>4</v>
      </c>
      <c r="F708" s="28">
        <f t="shared" si="35"/>
        <v>3</v>
      </c>
    </row>
    <row r="709" spans="1:6" x14ac:dyDescent="0.35">
      <c r="A709">
        <f t="shared" si="36"/>
        <v>0</v>
      </c>
      <c r="B709">
        <f t="shared" si="37"/>
        <v>56</v>
      </c>
      <c r="C709" s="7" t="s">
        <v>103</v>
      </c>
      <c r="D709" s="18">
        <f>VLOOKUP(C709,'DISTRIBUIÇÃO NF4267'!$E$3:$FQ$75,MATCH(B709,'DISTRIBUIÇÃO NF4267'!$E$3:$FQ$3,0)+1,0)</f>
        <v>0</v>
      </c>
      <c r="F709" s="28">
        <f t="shared" si="35"/>
        <v>3</v>
      </c>
    </row>
    <row r="710" spans="1:6" x14ac:dyDescent="0.35">
      <c r="A710">
        <f t="shared" si="36"/>
        <v>0</v>
      </c>
      <c r="B710">
        <f t="shared" si="37"/>
        <v>56</v>
      </c>
      <c r="C710" s="8" t="s">
        <v>107</v>
      </c>
      <c r="D710" s="18">
        <f>VLOOKUP(C710,'DISTRIBUIÇÃO NF4267'!$E$3:$FQ$75,MATCH(B710,'DISTRIBUIÇÃO NF4267'!$E$3:$FQ$3,0)+1,0)</f>
        <v>0</v>
      </c>
      <c r="F710" s="28">
        <f t="shared" si="35"/>
        <v>3</v>
      </c>
    </row>
    <row r="711" spans="1:6" x14ac:dyDescent="0.35">
      <c r="A711">
        <f t="shared" si="36"/>
        <v>0</v>
      </c>
      <c r="B711">
        <f t="shared" si="37"/>
        <v>56</v>
      </c>
      <c r="C711" s="8" t="s">
        <v>108</v>
      </c>
      <c r="D711" s="18">
        <f>VLOOKUP(C711,'DISTRIBUIÇÃO NF4267'!$E$3:$FQ$75,MATCH(B711,'DISTRIBUIÇÃO NF4267'!$E$3:$FQ$3,0)+1,0)</f>
        <v>6</v>
      </c>
      <c r="F711" s="28">
        <f t="shared" si="35"/>
        <v>3</v>
      </c>
    </row>
    <row r="712" spans="1:6" x14ac:dyDescent="0.35">
      <c r="A712">
        <f t="shared" si="36"/>
        <v>0</v>
      </c>
      <c r="B712">
        <f t="shared" si="37"/>
        <v>56</v>
      </c>
      <c r="C712" s="8" t="s">
        <v>109</v>
      </c>
      <c r="D712" s="18">
        <f>VLOOKUP(C712,'DISTRIBUIÇÃO NF4267'!$E$3:$FQ$75,MATCH(B712,'DISTRIBUIÇÃO NF4267'!$E$3:$FQ$3,0)+1,0)</f>
        <v>12</v>
      </c>
      <c r="F712" s="28">
        <f t="shared" si="35"/>
        <v>3</v>
      </c>
    </row>
    <row r="713" spans="1:6" x14ac:dyDescent="0.35">
      <c r="A713">
        <f t="shared" si="36"/>
        <v>0</v>
      </c>
      <c r="B713">
        <f t="shared" si="37"/>
        <v>56</v>
      </c>
      <c r="C713" s="8" t="s">
        <v>110</v>
      </c>
      <c r="D713" s="18">
        <f>VLOOKUP(C713,'DISTRIBUIÇÃO NF4267'!$E$3:$FQ$75,MATCH(B713,'DISTRIBUIÇÃO NF4267'!$E$3:$FQ$3,0)+1,0)</f>
        <v>6</v>
      </c>
      <c r="F713" s="28">
        <f t="shared" si="35"/>
        <v>3</v>
      </c>
    </row>
    <row r="714" spans="1:6" x14ac:dyDescent="0.35">
      <c r="A714">
        <f t="shared" si="36"/>
        <v>0</v>
      </c>
      <c r="B714">
        <f t="shared" si="37"/>
        <v>56</v>
      </c>
      <c r="C714" s="8" t="s">
        <v>111</v>
      </c>
      <c r="D714" s="18">
        <f>VLOOKUP(C714,'DISTRIBUIÇÃO NF4267'!$E$3:$FQ$75,MATCH(B714,'DISTRIBUIÇÃO NF4267'!$E$3:$FQ$3,0)+1,0)</f>
        <v>6</v>
      </c>
      <c r="F714" s="28">
        <f t="shared" si="35"/>
        <v>3</v>
      </c>
    </row>
    <row r="715" spans="1:6" x14ac:dyDescent="0.35">
      <c r="A715">
        <f t="shared" si="36"/>
        <v>0</v>
      </c>
      <c r="B715">
        <f t="shared" si="37"/>
        <v>56</v>
      </c>
      <c r="C715" s="8" t="s">
        <v>112</v>
      </c>
      <c r="D715" s="18">
        <f>VLOOKUP(C715,'DISTRIBUIÇÃO NF4267'!$E$3:$FQ$75,MATCH(B715,'DISTRIBUIÇÃO NF4267'!$E$3:$FQ$3,0)+1,0)</f>
        <v>0</v>
      </c>
      <c r="F715" s="28">
        <f t="shared" si="35"/>
        <v>3</v>
      </c>
    </row>
    <row r="716" spans="1:6" x14ac:dyDescent="0.35">
      <c r="A716">
        <f t="shared" si="36"/>
        <v>0</v>
      </c>
      <c r="B716">
        <f t="shared" si="37"/>
        <v>56</v>
      </c>
      <c r="C716" s="9" t="s">
        <v>113</v>
      </c>
      <c r="D716" s="18">
        <f>VLOOKUP(C716,'DISTRIBUIÇÃO NF4267'!$E$3:$FQ$75,MATCH(B716,'DISTRIBUIÇÃO NF4267'!$E$3:$FQ$3,0)+1,0)</f>
        <v>0</v>
      </c>
      <c r="F716" s="28">
        <f t="shared" si="35"/>
        <v>3</v>
      </c>
    </row>
    <row r="717" spans="1:6" x14ac:dyDescent="0.35">
      <c r="A717">
        <f t="shared" si="36"/>
        <v>0</v>
      </c>
      <c r="B717">
        <f t="shared" si="37"/>
        <v>56</v>
      </c>
      <c r="C717" s="9" t="s">
        <v>114</v>
      </c>
      <c r="D717" s="18">
        <f>VLOOKUP(C717,'DISTRIBUIÇÃO NF4267'!$E$3:$FQ$75,MATCH(B717,'DISTRIBUIÇÃO NF4267'!$E$3:$FQ$3,0)+1,0)</f>
        <v>6</v>
      </c>
      <c r="F717" s="28">
        <f t="shared" si="35"/>
        <v>3</v>
      </c>
    </row>
    <row r="718" spans="1:6" x14ac:dyDescent="0.35">
      <c r="A718">
        <f t="shared" si="36"/>
        <v>0</v>
      </c>
      <c r="B718">
        <f t="shared" si="37"/>
        <v>56</v>
      </c>
      <c r="C718" s="9" t="s">
        <v>115</v>
      </c>
      <c r="D718" s="18">
        <f>VLOOKUP(C718,'DISTRIBUIÇÃO NF4267'!$E$3:$FQ$75,MATCH(B718,'DISTRIBUIÇÃO NF4267'!$E$3:$FQ$3,0)+1,0)</f>
        <v>8</v>
      </c>
      <c r="F718" s="28">
        <f t="shared" si="35"/>
        <v>3</v>
      </c>
    </row>
    <row r="719" spans="1:6" x14ac:dyDescent="0.35">
      <c r="A719">
        <f t="shared" si="36"/>
        <v>0</v>
      </c>
      <c r="B719">
        <f t="shared" si="37"/>
        <v>56</v>
      </c>
      <c r="C719" s="9" t="s">
        <v>116</v>
      </c>
      <c r="D719" s="18">
        <f>VLOOKUP(C719,'DISTRIBUIÇÃO NF4267'!$E$3:$FQ$75,MATCH(B719,'DISTRIBUIÇÃO NF4267'!$E$3:$FQ$3,0)+1,0)</f>
        <v>4</v>
      </c>
      <c r="F719" s="28">
        <f t="shared" si="35"/>
        <v>3</v>
      </c>
    </row>
    <row r="720" spans="1:6" x14ac:dyDescent="0.35">
      <c r="A720">
        <f t="shared" si="36"/>
        <v>0</v>
      </c>
      <c r="B720">
        <f t="shared" si="37"/>
        <v>56</v>
      </c>
      <c r="C720" s="9" t="s">
        <v>117</v>
      </c>
      <c r="D720" s="18">
        <f>VLOOKUP(C720,'DISTRIBUIÇÃO NF4267'!$E$3:$FQ$75,MATCH(B720,'DISTRIBUIÇÃO NF4267'!$E$3:$FQ$3,0)+1,0)</f>
        <v>2</v>
      </c>
      <c r="F720" s="28">
        <f t="shared" si="35"/>
        <v>3</v>
      </c>
    </row>
    <row r="721" spans="1:6" x14ac:dyDescent="0.35">
      <c r="A721">
        <f t="shared" si="36"/>
        <v>0</v>
      </c>
      <c r="B721">
        <f t="shared" si="37"/>
        <v>56</v>
      </c>
      <c r="C721" s="9" t="s">
        <v>118</v>
      </c>
      <c r="D721" s="18">
        <f>VLOOKUP(C721,'DISTRIBUIÇÃO NF4267'!$E$3:$FQ$75,MATCH(B721,'DISTRIBUIÇÃO NF4267'!$E$3:$FQ$3,0)+1,0)</f>
        <v>0</v>
      </c>
      <c r="F721" s="28">
        <f t="shared" si="35"/>
        <v>3</v>
      </c>
    </row>
    <row r="722" spans="1:6" x14ac:dyDescent="0.35">
      <c r="A722">
        <f t="shared" si="36"/>
        <v>0</v>
      </c>
      <c r="B722">
        <f t="shared" si="37"/>
        <v>56</v>
      </c>
      <c r="C722" s="10" t="s">
        <v>119</v>
      </c>
      <c r="D722" s="18">
        <f>VLOOKUP(C722,'DISTRIBUIÇÃO NF4267'!$E$3:$FQ$75,MATCH(B722,'DISTRIBUIÇÃO NF4267'!$E$3:$FQ$3,0)+1,0)</f>
        <v>0</v>
      </c>
      <c r="F722" s="28">
        <f t="shared" si="35"/>
        <v>3</v>
      </c>
    </row>
    <row r="723" spans="1:6" x14ac:dyDescent="0.35">
      <c r="A723">
        <f t="shared" si="36"/>
        <v>0</v>
      </c>
      <c r="B723">
        <f t="shared" si="37"/>
        <v>56</v>
      </c>
      <c r="C723" s="10" t="s">
        <v>120</v>
      </c>
      <c r="D723" s="18">
        <f>VLOOKUP(C723,'DISTRIBUIÇÃO NF4267'!$E$3:$FQ$75,MATCH(B723,'DISTRIBUIÇÃO NF4267'!$E$3:$FQ$3,0)+1,0)</f>
        <v>48</v>
      </c>
      <c r="F723" s="28">
        <f t="shared" si="35"/>
        <v>3</v>
      </c>
    </row>
    <row r="724" spans="1:6" x14ac:dyDescent="0.35">
      <c r="A724">
        <f t="shared" si="36"/>
        <v>0</v>
      </c>
      <c r="B724">
        <f t="shared" si="37"/>
        <v>56</v>
      </c>
      <c r="C724" s="10" t="s">
        <v>121</v>
      </c>
      <c r="D724" s="18">
        <f>VLOOKUP(C724,'DISTRIBUIÇÃO NF4267'!$E$3:$FQ$75,MATCH(B724,'DISTRIBUIÇÃO NF4267'!$E$3:$FQ$3,0)+1,0)</f>
        <v>16</v>
      </c>
      <c r="F724" s="28">
        <f t="shared" si="35"/>
        <v>3</v>
      </c>
    </row>
    <row r="725" spans="1:6" x14ac:dyDescent="0.35">
      <c r="A725">
        <f t="shared" si="36"/>
        <v>0</v>
      </c>
      <c r="B725">
        <f t="shared" si="37"/>
        <v>56</v>
      </c>
      <c r="C725" s="10" t="s">
        <v>122</v>
      </c>
      <c r="D725" s="18">
        <f>VLOOKUP(C725,'DISTRIBUIÇÃO NF4267'!$E$3:$FQ$75,MATCH(B725,'DISTRIBUIÇÃO NF4267'!$E$3:$FQ$3,0)+1,0)</f>
        <v>16</v>
      </c>
      <c r="F725" s="28">
        <f t="shared" si="35"/>
        <v>3</v>
      </c>
    </row>
    <row r="726" spans="1:6" x14ac:dyDescent="0.35">
      <c r="A726">
        <f t="shared" si="36"/>
        <v>0</v>
      </c>
      <c r="B726">
        <f t="shared" si="37"/>
        <v>56</v>
      </c>
      <c r="C726" s="10" t="s">
        <v>123</v>
      </c>
      <c r="D726" s="18">
        <f>VLOOKUP(C726,'DISTRIBUIÇÃO NF4267'!$E$3:$FQ$75,MATCH(B726,'DISTRIBUIÇÃO NF4267'!$E$3:$FQ$3,0)+1,0)</f>
        <v>0</v>
      </c>
      <c r="F726" s="28">
        <f t="shared" si="35"/>
        <v>3</v>
      </c>
    </row>
    <row r="727" spans="1:6" x14ac:dyDescent="0.35">
      <c r="A727">
        <f t="shared" si="36"/>
        <v>0</v>
      </c>
      <c r="B727">
        <f t="shared" si="37"/>
        <v>56</v>
      </c>
      <c r="C727" s="10" t="s">
        <v>124</v>
      </c>
      <c r="D727" s="18">
        <f>VLOOKUP(C727,'DISTRIBUIÇÃO NF4267'!$E$3:$FQ$75,MATCH(B727,'DISTRIBUIÇÃO NF4267'!$E$3:$FQ$3,0)+1,0)</f>
        <v>0</v>
      </c>
      <c r="F727" s="28">
        <f t="shared" si="35"/>
        <v>3</v>
      </c>
    </row>
    <row r="728" spans="1:6" x14ac:dyDescent="0.35">
      <c r="A728">
        <f t="shared" si="36"/>
        <v>0</v>
      </c>
      <c r="B728">
        <f t="shared" si="37"/>
        <v>56</v>
      </c>
      <c r="C728" s="11" t="s">
        <v>16</v>
      </c>
      <c r="D728" s="18">
        <f>VLOOKUP(C728,'DISTRIBUIÇÃO NF4267'!$E$3:$FQ$75,MATCH(B728,'DISTRIBUIÇÃO NF4267'!$E$3:$FQ$3,0)+1,0)</f>
        <v>0</v>
      </c>
      <c r="F728" s="28">
        <f t="shared" si="35"/>
        <v>3</v>
      </c>
    </row>
    <row r="729" spans="1:6" x14ac:dyDescent="0.35">
      <c r="A729">
        <f t="shared" si="36"/>
        <v>0</v>
      </c>
      <c r="B729">
        <f t="shared" si="37"/>
        <v>56</v>
      </c>
      <c r="C729" s="11" t="s">
        <v>17</v>
      </c>
      <c r="D729" s="18">
        <f>VLOOKUP(C729,'DISTRIBUIÇÃO NF4267'!$E$3:$FQ$75,MATCH(B729,'DISTRIBUIÇÃO NF4267'!$E$3:$FQ$3,0)+1,0)</f>
        <v>12</v>
      </c>
      <c r="F729" s="28">
        <f t="shared" si="35"/>
        <v>3</v>
      </c>
    </row>
    <row r="730" spans="1:6" x14ac:dyDescent="0.35">
      <c r="A730">
        <f t="shared" si="36"/>
        <v>0</v>
      </c>
      <c r="B730">
        <f t="shared" si="37"/>
        <v>56</v>
      </c>
      <c r="C730" s="11" t="s">
        <v>18</v>
      </c>
      <c r="D730" s="18">
        <f>VLOOKUP(C730,'DISTRIBUIÇÃO NF4267'!$E$3:$FQ$75,MATCH(B730,'DISTRIBUIÇÃO NF4267'!$E$3:$FQ$3,0)+1,0)</f>
        <v>4</v>
      </c>
      <c r="F730" s="28">
        <f t="shared" si="35"/>
        <v>3</v>
      </c>
    </row>
    <row r="731" spans="1:6" x14ac:dyDescent="0.35">
      <c r="A731">
        <f t="shared" si="36"/>
        <v>0</v>
      </c>
      <c r="B731">
        <f t="shared" si="37"/>
        <v>56</v>
      </c>
      <c r="C731" s="11" t="s">
        <v>19</v>
      </c>
      <c r="D731" s="18">
        <f>VLOOKUP(C731,'DISTRIBUIÇÃO NF4267'!$E$3:$FQ$75,MATCH(B731,'DISTRIBUIÇÃO NF4267'!$E$3:$FQ$3,0)+1,0)</f>
        <v>4</v>
      </c>
      <c r="F731" s="28">
        <f t="shared" si="35"/>
        <v>3</v>
      </c>
    </row>
    <row r="732" spans="1:6" x14ac:dyDescent="0.35">
      <c r="A732">
        <f t="shared" si="36"/>
        <v>0</v>
      </c>
      <c r="B732">
        <f t="shared" si="37"/>
        <v>56</v>
      </c>
      <c r="C732" s="11" t="s">
        <v>20</v>
      </c>
      <c r="D732" s="18">
        <f>VLOOKUP(C732,'DISTRIBUIÇÃO NF4267'!$E$3:$FQ$75,MATCH(B732,'DISTRIBUIÇÃO NF4267'!$E$3:$FQ$3,0)+1,0)</f>
        <v>20</v>
      </c>
      <c r="F732" s="28">
        <f t="shared" si="35"/>
        <v>3</v>
      </c>
    </row>
    <row r="733" spans="1:6" x14ac:dyDescent="0.35">
      <c r="A733">
        <f t="shared" si="36"/>
        <v>0</v>
      </c>
      <c r="B733">
        <f t="shared" si="37"/>
        <v>56</v>
      </c>
      <c r="C733" s="11" t="s">
        <v>21</v>
      </c>
      <c r="D733" s="18">
        <f>VLOOKUP(C733,'DISTRIBUIÇÃO NF4267'!$E$3:$FQ$75,MATCH(B733,'DISTRIBUIÇÃO NF4267'!$E$3:$FQ$3,0)+1,0)</f>
        <v>0</v>
      </c>
      <c r="F733" s="28">
        <f t="shared" si="35"/>
        <v>3</v>
      </c>
    </row>
    <row r="734" spans="1:6" x14ac:dyDescent="0.35">
      <c r="A734">
        <f t="shared" si="36"/>
        <v>0</v>
      </c>
      <c r="B734">
        <f t="shared" si="37"/>
        <v>56</v>
      </c>
      <c r="C734" s="12" t="s">
        <v>130</v>
      </c>
      <c r="D734" s="18">
        <f>VLOOKUP(C734,'DISTRIBUIÇÃO NF4267'!$E$3:$FQ$75,MATCH(B734,'DISTRIBUIÇÃO NF4267'!$E$3:$FQ$3,0)+1,0)</f>
        <v>0</v>
      </c>
      <c r="F734" s="28">
        <f t="shared" si="35"/>
        <v>3</v>
      </c>
    </row>
    <row r="735" spans="1:6" x14ac:dyDescent="0.35">
      <c r="A735">
        <f t="shared" si="36"/>
        <v>0</v>
      </c>
      <c r="B735">
        <f t="shared" si="37"/>
        <v>56</v>
      </c>
      <c r="C735" s="12" t="s">
        <v>131</v>
      </c>
      <c r="D735" s="18">
        <f>VLOOKUP(C735,'DISTRIBUIÇÃO NF4267'!$E$3:$FQ$75,MATCH(B735,'DISTRIBUIÇÃO NF4267'!$E$3:$FQ$3,0)+1,0)</f>
        <v>1</v>
      </c>
      <c r="F735" s="28">
        <f t="shared" si="35"/>
        <v>3</v>
      </c>
    </row>
    <row r="736" spans="1:6" x14ac:dyDescent="0.35">
      <c r="A736">
        <f t="shared" si="36"/>
        <v>0</v>
      </c>
      <c r="B736">
        <f t="shared" si="37"/>
        <v>56</v>
      </c>
      <c r="C736" s="12" t="s">
        <v>132</v>
      </c>
      <c r="D736" s="18">
        <f>VLOOKUP(C736,'DISTRIBUIÇÃO NF4267'!$E$3:$FQ$75,MATCH(B736,'DISTRIBUIÇÃO NF4267'!$E$3:$FQ$3,0)+1,0)</f>
        <v>4</v>
      </c>
      <c r="F736" s="28">
        <f t="shared" si="35"/>
        <v>3</v>
      </c>
    </row>
    <row r="737" spans="1:6" x14ac:dyDescent="0.35">
      <c r="A737">
        <f t="shared" si="36"/>
        <v>0</v>
      </c>
      <c r="B737">
        <f t="shared" si="37"/>
        <v>56</v>
      </c>
      <c r="C737" s="12" t="s">
        <v>133</v>
      </c>
      <c r="D737" s="18">
        <f>VLOOKUP(C737,'DISTRIBUIÇÃO NF4267'!$E$3:$FQ$75,MATCH(B737,'DISTRIBUIÇÃO NF4267'!$E$3:$FQ$3,0)+1,0)</f>
        <v>3</v>
      </c>
      <c r="F737" s="28">
        <f t="shared" si="35"/>
        <v>3</v>
      </c>
    </row>
    <row r="738" spans="1:6" x14ac:dyDescent="0.35">
      <c r="A738">
        <f t="shared" si="36"/>
        <v>0</v>
      </c>
      <c r="B738">
        <f t="shared" si="37"/>
        <v>56</v>
      </c>
      <c r="C738" s="12" t="s">
        <v>134</v>
      </c>
      <c r="D738" s="18">
        <f>VLOOKUP(C738,'DISTRIBUIÇÃO NF4267'!$E$3:$FQ$75,MATCH(B738,'DISTRIBUIÇÃO NF4267'!$E$3:$FQ$3,0)+1,0)</f>
        <v>2</v>
      </c>
      <c r="F738" s="28">
        <f t="shared" si="35"/>
        <v>3</v>
      </c>
    </row>
    <row r="739" spans="1:6" x14ac:dyDescent="0.35">
      <c r="A739">
        <f t="shared" si="36"/>
        <v>0</v>
      </c>
      <c r="B739">
        <f t="shared" si="37"/>
        <v>56</v>
      </c>
      <c r="C739" s="12" t="s">
        <v>135</v>
      </c>
      <c r="D739" s="18">
        <f>VLOOKUP(C739,'DISTRIBUIÇÃO NF4267'!$E$3:$FQ$75,MATCH(B739,'DISTRIBUIÇÃO NF4267'!$E$3:$FQ$3,0)+1,0)</f>
        <v>0</v>
      </c>
      <c r="F739" s="28">
        <f t="shared" si="35"/>
        <v>3</v>
      </c>
    </row>
    <row r="740" spans="1:6" x14ac:dyDescent="0.35">
      <c r="A740">
        <f t="shared" si="36"/>
        <v>0</v>
      </c>
      <c r="B740">
        <f t="shared" si="37"/>
        <v>56</v>
      </c>
      <c r="C740" s="13" t="s">
        <v>22</v>
      </c>
      <c r="D740" s="18">
        <f>VLOOKUP(C740,'DISTRIBUIÇÃO NF4267'!$E$3:$FQ$75,MATCH(B740,'DISTRIBUIÇÃO NF4267'!$E$3:$FQ$3,0)+1,0)</f>
        <v>0</v>
      </c>
      <c r="F740" s="28">
        <f t="shared" si="35"/>
        <v>3</v>
      </c>
    </row>
    <row r="741" spans="1:6" x14ac:dyDescent="0.35">
      <c r="A741">
        <f t="shared" si="36"/>
        <v>0</v>
      </c>
      <c r="B741">
        <f t="shared" si="37"/>
        <v>56</v>
      </c>
      <c r="C741" s="13" t="s">
        <v>23</v>
      </c>
      <c r="D741" s="18">
        <f>VLOOKUP(C741,'DISTRIBUIÇÃO NF4267'!$E$3:$FQ$75,MATCH(B741,'DISTRIBUIÇÃO NF4267'!$E$3:$FQ$3,0)+1,0)</f>
        <v>1</v>
      </c>
      <c r="F741" s="28">
        <f t="shared" si="35"/>
        <v>3</v>
      </c>
    </row>
    <row r="742" spans="1:6" x14ac:dyDescent="0.35">
      <c r="A742">
        <f t="shared" si="36"/>
        <v>0</v>
      </c>
      <c r="B742">
        <f t="shared" si="37"/>
        <v>56</v>
      </c>
      <c r="C742" s="13" t="s">
        <v>24</v>
      </c>
      <c r="D742" s="18">
        <f>VLOOKUP(C742,'DISTRIBUIÇÃO NF4267'!$E$3:$FQ$75,MATCH(B742,'DISTRIBUIÇÃO NF4267'!$E$3:$FQ$3,0)+1,0)</f>
        <v>6</v>
      </c>
      <c r="F742" s="28">
        <f t="shared" si="35"/>
        <v>3</v>
      </c>
    </row>
    <row r="743" spans="1:6" x14ac:dyDescent="0.35">
      <c r="A743">
        <f t="shared" si="36"/>
        <v>0</v>
      </c>
      <c r="B743">
        <f t="shared" si="37"/>
        <v>56</v>
      </c>
      <c r="C743" s="13" t="s">
        <v>25</v>
      </c>
      <c r="D743" s="18">
        <f>VLOOKUP(C743,'DISTRIBUIÇÃO NF4267'!$E$3:$FQ$75,MATCH(B743,'DISTRIBUIÇÃO NF4267'!$E$3:$FQ$3,0)+1,0)</f>
        <v>2</v>
      </c>
      <c r="F743" s="28">
        <f t="shared" si="35"/>
        <v>3</v>
      </c>
    </row>
    <row r="744" spans="1:6" x14ac:dyDescent="0.35">
      <c r="A744">
        <f t="shared" si="36"/>
        <v>0</v>
      </c>
      <c r="B744">
        <f t="shared" si="37"/>
        <v>56</v>
      </c>
      <c r="C744" s="13" t="s">
        <v>26</v>
      </c>
      <c r="D744" s="18">
        <f>VLOOKUP(C744,'DISTRIBUIÇÃO NF4267'!$E$3:$FQ$75,MATCH(B744,'DISTRIBUIÇÃO NF4267'!$E$3:$FQ$3,0)+1,0)</f>
        <v>1</v>
      </c>
      <c r="F744" s="28">
        <f t="shared" si="35"/>
        <v>3</v>
      </c>
    </row>
    <row r="745" spans="1:6" x14ac:dyDescent="0.35">
      <c r="A745">
        <f t="shared" si="36"/>
        <v>0</v>
      </c>
      <c r="B745">
        <f t="shared" si="37"/>
        <v>56</v>
      </c>
      <c r="C745" s="13" t="s">
        <v>27</v>
      </c>
      <c r="D745" s="18">
        <f>VLOOKUP(C745,'DISTRIBUIÇÃO NF4267'!$E$3:$FQ$75,MATCH(B745,'DISTRIBUIÇÃO NF4267'!$E$3:$FQ$3,0)+1,0)</f>
        <v>0</v>
      </c>
      <c r="F745" s="28">
        <f t="shared" si="35"/>
        <v>3</v>
      </c>
    </row>
    <row r="746" spans="1:6" x14ac:dyDescent="0.35">
      <c r="A746">
        <f t="shared" si="36"/>
        <v>0</v>
      </c>
      <c r="B746">
        <f t="shared" si="37"/>
        <v>56</v>
      </c>
      <c r="C746" s="14" t="s">
        <v>138</v>
      </c>
      <c r="D746" s="18">
        <f>VLOOKUP(C746,'DISTRIBUIÇÃO NF4267'!$E$3:$FQ$75,MATCH(B746,'DISTRIBUIÇÃO NF4267'!$E$3:$FQ$3,0)+1,0)</f>
        <v>0</v>
      </c>
      <c r="F746" s="28">
        <f t="shared" si="35"/>
        <v>3</v>
      </c>
    </row>
    <row r="747" spans="1:6" x14ac:dyDescent="0.35">
      <c r="A747">
        <f t="shared" si="36"/>
        <v>0</v>
      </c>
      <c r="B747">
        <f t="shared" si="37"/>
        <v>56</v>
      </c>
      <c r="C747" s="14" t="s">
        <v>139</v>
      </c>
      <c r="D747" s="18">
        <f>VLOOKUP(C747,'DISTRIBUIÇÃO NF4267'!$E$3:$FQ$75,MATCH(B747,'DISTRIBUIÇÃO NF4267'!$E$3:$FQ$3,0)+1,0)</f>
        <v>4</v>
      </c>
      <c r="F747" s="28">
        <f t="shared" si="35"/>
        <v>3</v>
      </c>
    </row>
    <row r="748" spans="1:6" x14ac:dyDescent="0.35">
      <c r="A748">
        <f t="shared" si="36"/>
        <v>0</v>
      </c>
      <c r="B748">
        <f t="shared" si="37"/>
        <v>56</v>
      </c>
      <c r="C748" s="14" t="s">
        <v>140</v>
      </c>
      <c r="D748" s="18">
        <f>VLOOKUP(C748,'DISTRIBUIÇÃO NF4267'!$E$3:$FQ$75,MATCH(B748,'DISTRIBUIÇÃO NF4267'!$E$3:$FQ$3,0)+1,0)</f>
        <v>8</v>
      </c>
      <c r="F748" s="28">
        <f t="shared" si="35"/>
        <v>3</v>
      </c>
    </row>
    <row r="749" spans="1:6" x14ac:dyDescent="0.35">
      <c r="A749">
        <f t="shared" si="36"/>
        <v>0</v>
      </c>
      <c r="B749">
        <f t="shared" si="37"/>
        <v>56</v>
      </c>
      <c r="C749" s="14" t="s">
        <v>141</v>
      </c>
      <c r="D749" s="18">
        <f>VLOOKUP(C749,'DISTRIBUIÇÃO NF4267'!$E$3:$FQ$75,MATCH(B749,'DISTRIBUIÇÃO NF4267'!$E$3:$FQ$3,0)+1,0)</f>
        <v>4</v>
      </c>
      <c r="F749" s="28">
        <f t="shared" si="35"/>
        <v>3</v>
      </c>
    </row>
    <row r="750" spans="1:6" x14ac:dyDescent="0.35">
      <c r="A750">
        <f t="shared" si="36"/>
        <v>0</v>
      </c>
      <c r="B750">
        <f t="shared" si="37"/>
        <v>56</v>
      </c>
      <c r="C750" s="14" t="s">
        <v>142</v>
      </c>
      <c r="D750" s="18">
        <f>VLOOKUP(C750,'DISTRIBUIÇÃO NF4267'!$E$3:$FQ$75,MATCH(B750,'DISTRIBUIÇÃO NF4267'!$E$3:$FQ$3,0)+1,0)</f>
        <v>4</v>
      </c>
      <c r="F750" s="28">
        <f t="shared" si="35"/>
        <v>3</v>
      </c>
    </row>
    <row r="751" spans="1:6" x14ac:dyDescent="0.35">
      <c r="A751">
        <f t="shared" si="36"/>
        <v>0</v>
      </c>
      <c r="B751">
        <f t="shared" si="37"/>
        <v>56</v>
      </c>
      <c r="C751" s="14" t="s">
        <v>143</v>
      </c>
      <c r="D751" s="18">
        <f>VLOOKUP(C751,'DISTRIBUIÇÃO NF4267'!$E$3:$FQ$75,MATCH(B751,'DISTRIBUIÇÃO NF4267'!$E$3:$FQ$3,0)+1,0)</f>
        <v>0</v>
      </c>
      <c r="F751" s="28">
        <f t="shared" si="35"/>
        <v>3</v>
      </c>
    </row>
    <row r="752" spans="1:6" x14ac:dyDescent="0.35">
      <c r="A752">
        <f t="shared" si="36"/>
        <v>0</v>
      </c>
      <c r="B752">
        <f t="shared" si="37"/>
        <v>56</v>
      </c>
      <c r="C752" s="15" t="s">
        <v>145</v>
      </c>
      <c r="D752" s="18">
        <f>VLOOKUP(C752,'DISTRIBUIÇÃO NF4267'!$E$3:$FQ$75,MATCH(B752,'DISTRIBUIÇÃO NF4267'!$E$3:$FQ$3,0)+1,0)</f>
        <v>0</v>
      </c>
      <c r="F752" s="28">
        <f t="shared" si="35"/>
        <v>3</v>
      </c>
    </row>
    <row r="753" spans="1:6" x14ac:dyDescent="0.35">
      <c r="A753">
        <f t="shared" si="36"/>
        <v>0</v>
      </c>
      <c r="B753">
        <f t="shared" si="37"/>
        <v>56</v>
      </c>
      <c r="C753" s="15" t="s">
        <v>146</v>
      </c>
      <c r="D753" s="18">
        <f>VLOOKUP(C753,'DISTRIBUIÇÃO NF4267'!$E$3:$FQ$75,MATCH(B753,'DISTRIBUIÇÃO NF4267'!$E$3:$FQ$3,0)+1,0)</f>
        <v>2</v>
      </c>
      <c r="F753" s="28">
        <f t="shared" si="35"/>
        <v>3</v>
      </c>
    </row>
    <row r="754" spans="1:6" x14ac:dyDescent="0.35">
      <c r="A754">
        <f t="shared" si="36"/>
        <v>0</v>
      </c>
      <c r="B754">
        <f t="shared" si="37"/>
        <v>56</v>
      </c>
      <c r="C754" s="15" t="s">
        <v>147</v>
      </c>
      <c r="D754" s="18">
        <f>VLOOKUP(C754,'DISTRIBUIÇÃO NF4267'!$E$3:$FQ$75,MATCH(B754,'DISTRIBUIÇÃO NF4267'!$E$3:$FQ$3,0)+1,0)</f>
        <v>4</v>
      </c>
      <c r="F754" s="28">
        <f t="shared" si="35"/>
        <v>3</v>
      </c>
    </row>
    <row r="755" spans="1:6" x14ac:dyDescent="0.35">
      <c r="A755">
        <f t="shared" si="36"/>
        <v>0</v>
      </c>
      <c r="B755">
        <f t="shared" si="37"/>
        <v>56</v>
      </c>
      <c r="C755" s="15" t="s">
        <v>148</v>
      </c>
      <c r="D755" s="18">
        <f>VLOOKUP(C755,'DISTRIBUIÇÃO NF4267'!$E$3:$FQ$75,MATCH(B755,'DISTRIBUIÇÃO NF4267'!$E$3:$FQ$3,0)+1,0)</f>
        <v>2</v>
      </c>
      <c r="F755" s="28">
        <f t="shared" si="35"/>
        <v>3</v>
      </c>
    </row>
    <row r="756" spans="1:6" x14ac:dyDescent="0.35">
      <c r="A756">
        <f t="shared" si="36"/>
        <v>0</v>
      </c>
      <c r="B756">
        <f t="shared" si="37"/>
        <v>56</v>
      </c>
      <c r="C756" s="15" t="s">
        <v>149</v>
      </c>
      <c r="D756" s="18">
        <f>VLOOKUP(C756,'DISTRIBUIÇÃO NF4267'!$E$3:$FQ$75,MATCH(B756,'DISTRIBUIÇÃO NF4267'!$E$3:$FQ$3,0)+1,0)</f>
        <v>2</v>
      </c>
      <c r="F756" s="28">
        <f t="shared" si="35"/>
        <v>3</v>
      </c>
    </row>
    <row r="757" spans="1:6" x14ac:dyDescent="0.35">
      <c r="A757">
        <f t="shared" si="36"/>
        <v>0</v>
      </c>
      <c r="B757">
        <f t="shared" si="37"/>
        <v>56</v>
      </c>
      <c r="C757" s="15" t="s">
        <v>150</v>
      </c>
      <c r="D757" s="18">
        <f>VLOOKUP(C757,'DISTRIBUIÇÃO NF4267'!$E$3:$FQ$75,MATCH(B757,'DISTRIBUIÇÃO NF4267'!$E$3:$FQ$3,0)+1,0)</f>
        <v>0</v>
      </c>
      <c r="F757" s="28">
        <f t="shared" si="35"/>
        <v>3</v>
      </c>
    </row>
    <row r="758" spans="1:6" x14ac:dyDescent="0.35">
      <c r="A758">
        <f t="shared" si="36"/>
        <v>0</v>
      </c>
      <c r="B758" t="s">
        <v>40</v>
      </c>
      <c r="C758" s="7" t="s">
        <v>98</v>
      </c>
      <c r="D758" s="18">
        <f>VLOOKUP(C758,'DISTRIBUIÇÃO NF4267'!$E$3:$FQ$75,MATCH(B758,'DISTRIBUIÇÃO NF4267'!$E$3:$FQ$3,0)+1,0)</f>
        <v>0</v>
      </c>
      <c r="F758" s="28">
        <f t="shared" si="35"/>
        <v>3</v>
      </c>
    </row>
    <row r="759" spans="1:6" x14ac:dyDescent="0.35">
      <c r="A759">
        <f t="shared" si="36"/>
        <v>0</v>
      </c>
      <c r="B759" t="str">
        <f>B758</f>
        <v>I6</v>
      </c>
      <c r="C759" s="7" t="s">
        <v>99</v>
      </c>
      <c r="D759" s="18">
        <f>VLOOKUP(C759,'DISTRIBUIÇÃO NF4267'!$E$3:$FQ$75,MATCH(B759,'DISTRIBUIÇÃO NF4267'!$E$3:$FQ$3,0)+1,0)</f>
        <v>4</v>
      </c>
      <c r="F759" s="28">
        <f t="shared" si="35"/>
        <v>3</v>
      </c>
    </row>
    <row r="760" spans="1:6" x14ac:dyDescent="0.35">
      <c r="A760">
        <f t="shared" si="36"/>
        <v>0</v>
      </c>
      <c r="B760" t="str">
        <f t="shared" ref="B760:B811" si="38">B759</f>
        <v>I6</v>
      </c>
      <c r="C760" s="7" t="s">
        <v>100</v>
      </c>
      <c r="D760" s="18">
        <f>VLOOKUP(C760,'DISTRIBUIÇÃO NF4267'!$E$3:$FQ$75,MATCH(B760,'DISTRIBUIÇÃO NF4267'!$E$3:$FQ$3,0)+1,0)</f>
        <v>8</v>
      </c>
      <c r="F760" s="28">
        <f t="shared" ref="F760:F823" si="39">ROUNDUP(SUMIFS(D:D,B:B,B760)/80,0)</f>
        <v>3</v>
      </c>
    </row>
    <row r="761" spans="1:6" x14ac:dyDescent="0.35">
      <c r="A761">
        <f t="shared" si="36"/>
        <v>0</v>
      </c>
      <c r="B761" t="str">
        <f t="shared" si="38"/>
        <v>I6</v>
      </c>
      <c r="C761" s="7" t="s">
        <v>101</v>
      </c>
      <c r="D761" s="18">
        <f>VLOOKUP(C761,'DISTRIBUIÇÃO NF4267'!$E$3:$FQ$75,MATCH(B761,'DISTRIBUIÇÃO NF4267'!$E$3:$FQ$3,0)+1,0)</f>
        <v>4</v>
      </c>
      <c r="F761" s="28">
        <f t="shared" si="39"/>
        <v>3</v>
      </c>
    </row>
    <row r="762" spans="1:6" x14ac:dyDescent="0.35">
      <c r="A762">
        <f t="shared" si="36"/>
        <v>0</v>
      </c>
      <c r="B762" t="str">
        <f t="shared" si="38"/>
        <v>I6</v>
      </c>
      <c r="C762" s="7" t="s">
        <v>102</v>
      </c>
      <c r="D762" s="18">
        <f>VLOOKUP(C762,'DISTRIBUIÇÃO NF4267'!$E$3:$FQ$75,MATCH(B762,'DISTRIBUIÇÃO NF4267'!$E$3:$FQ$3,0)+1,0)</f>
        <v>4</v>
      </c>
      <c r="F762" s="28">
        <f t="shared" si="39"/>
        <v>3</v>
      </c>
    </row>
    <row r="763" spans="1:6" x14ac:dyDescent="0.35">
      <c r="A763">
        <f t="shared" si="36"/>
        <v>0</v>
      </c>
      <c r="B763" t="str">
        <f t="shared" si="38"/>
        <v>I6</v>
      </c>
      <c r="C763" s="7" t="s">
        <v>103</v>
      </c>
      <c r="D763" s="18">
        <f>VLOOKUP(C763,'DISTRIBUIÇÃO NF4267'!$E$3:$FQ$75,MATCH(B763,'DISTRIBUIÇÃO NF4267'!$E$3:$FQ$3,0)+1,0)</f>
        <v>0</v>
      </c>
      <c r="F763" s="28">
        <f t="shared" si="39"/>
        <v>3</v>
      </c>
    </row>
    <row r="764" spans="1:6" x14ac:dyDescent="0.35">
      <c r="A764">
        <f t="shared" si="36"/>
        <v>0</v>
      </c>
      <c r="B764" t="str">
        <f t="shared" si="38"/>
        <v>I6</v>
      </c>
      <c r="C764" s="8" t="s">
        <v>107</v>
      </c>
      <c r="D764" s="18">
        <f>VLOOKUP(C764,'DISTRIBUIÇÃO NF4267'!$E$3:$FQ$75,MATCH(B764,'DISTRIBUIÇÃO NF4267'!$E$3:$FQ$3,0)+1,0)</f>
        <v>0</v>
      </c>
      <c r="F764" s="28">
        <f t="shared" si="39"/>
        <v>3</v>
      </c>
    </row>
    <row r="765" spans="1:6" x14ac:dyDescent="0.35">
      <c r="A765">
        <f t="shared" si="36"/>
        <v>0</v>
      </c>
      <c r="B765" t="str">
        <f t="shared" si="38"/>
        <v>I6</v>
      </c>
      <c r="C765" s="8" t="s">
        <v>108</v>
      </c>
      <c r="D765" s="18">
        <f>VLOOKUP(C765,'DISTRIBUIÇÃO NF4267'!$E$3:$FQ$75,MATCH(B765,'DISTRIBUIÇÃO NF4267'!$E$3:$FQ$3,0)+1,0)</f>
        <v>6</v>
      </c>
      <c r="F765" s="28">
        <f t="shared" si="39"/>
        <v>3</v>
      </c>
    </row>
    <row r="766" spans="1:6" x14ac:dyDescent="0.35">
      <c r="A766">
        <f t="shared" si="36"/>
        <v>0</v>
      </c>
      <c r="B766" t="str">
        <f t="shared" si="38"/>
        <v>I6</v>
      </c>
      <c r="C766" s="8" t="s">
        <v>109</v>
      </c>
      <c r="D766" s="18">
        <f>VLOOKUP(C766,'DISTRIBUIÇÃO NF4267'!$E$3:$FQ$75,MATCH(B766,'DISTRIBUIÇÃO NF4267'!$E$3:$FQ$3,0)+1,0)</f>
        <v>12</v>
      </c>
      <c r="F766" s="28">
        <f t="shared" si="39"/>
        <v>3</v>
      </c>
    </row>
    <row r="767" spans="1:6" x14ac:dyDescent="0.35">
      <c r="A767">
        <f t="shared" si="36"/>
        <v>0</v>
      </c>
      <c r="B767" t="str">
        <f t="shared" si="38"/>
        <v>I6</v>
      </c>
      <c r="C767" s="8" t="s">
        <v>110</v>
      </c>
      <c r="D767" s="18">
        <f>VLOOKUP(C767,'DISTRIBUIÇÃO NF4267'!$E$3:$FQ$75,MATCH(B767,'DISTRIBUIÇÃO NF4267'!$E$3:$FQ$3,0)+1,0)</f>
        <v>6</v>
      </c>
      <c r="F767" s="28">
        <f t="shared" si="39"/>
        <v>3</v>
      </c>
    </row>
    <row r="768" spans="1:6" x14ac:dyDescent="0.35">
      <c r="A768">
        <f t="shared" si="36"/>
        <v>0</v>
      </c>
      <c r="B768" t="str">
        <f t="shared" si="38"/>
        <v>I6</v>
      </c>
      <c r="C768" s="8" t="s">
        <v>111</v>
      </c>
      <c r="D768" s="18">
        <f>VLOOKUP(C768,'DISTRIBUIÇÃO NF4267'!$E$3:$FQ$75,MATCH(B768,'DISTRIBUIÇÃO NF4267'!$E$3:$FQ$3,0)+1,0)</f>
        <v>6</v>
      </c>
      <c r="F768" s="28">
        <f t="shared" si="39"/>
        <v>3</v>
      </c>
    </row>
    <row r="769" spans="1:6" x14ac:dyDescent="0.35">
      <c r="A769">
        <f t="shared" si="36"/>
        <v>0</v>
      </c>
      <c r="B769" t="str">
        <f t="shared" si="38"/>
        <v>I6</v>
      </c>
      <c r="C769" s="8" t="s">
        <v>112</v>
      </c>
      <c r="D769" s="18">
        <f>VLOOKUP(C769,'DISTRIBUIÇÃO NF4267'!$E$3:$FQ$75,MATCH(B769,'DISTRIBUIÇÃO NF4267'!$E$3:$FQ$3,0)+1,0)</f>
        <v>0</v>
      </c>
      <c r="F769" s="28">
        <f t="shared" si="39"/>
        <v>3</v>
      </c>
    </row>
    <row r="770" spans="1:6" x14ac:dyDescent="0.35">
      <c r="A770">
        <f t="shared" ref="A770:A833" si="40">IF(ISERROR(VLOOKUP(C770,I:I,1,0)),0,1)</f>
        <v>0</v>
      </c>
      <c r="B770" t="str">
        <f t="shared" si="38"/>
        <v>I6</v>
      </c>
      <c r="C770" s="9" t="s">
        <v>113</v>
      </c>
      <c r="D770" s="18">
        <f>VLOOKUP(C770,'DISTRIBUIÇÃO NF4267'!$E$3:$FQ$75,MATCH(B770,'DISTRIBUIÇÃO NF4267'!$E$3:$FQ$3,0)+1,0)</f>
        <v>0</v>
      </c>
      <c r="F770" s="28">
        <f t="shared" si="39"/>
        <v>3</v>
      </c>
    </row>
    <row r="771" spans="1:6" x14ac:dyDescent="0.35">
      <c r="A771">
        <f t="shared" si="40"/>
        <v>0</v>
      </c>
      <c r="B771" t="str">
        <f t="shared" si="38"/>
        <v>I6</v>
      </c>
      <c r="C771" s="9" t="s">
        <v>114</v>
      </c>
      <c r="D771" s="18">
        <f>VLOOKUP(C771,'DISTRIBUIÇÃO NF4267'!$E$3:$FQ$75,MATCH(B771,'DISTRIBUIÇÃO NF4267'!$E$3:$FQ$3,0)+1,0)</f>
        <v>6</v>
      </c>
      <c r="F771" s="28">
        <f t="shared" si="39"/>
        <v>3</v>
      </c>
    </row>
    <row r="772" spans="1:6" x14ac:dyDescent="0.35">
      <c r="A772">
        <f t="shared" si="40"/>
        <v>0</v>
      </c>
      <c r="B772" t="str">
        <f t="shared" si="38"/>
        <v>I6</v>
      </c>
      <c r="C772" s="9" t="s">
        <v>115</v>
      </c>
      <c r="D772" s="18">
        <f>VLOOKUP(C772,'DISTRIBUIÇÃO NF4267'!$E$3:$FQ$75,MATCH(B772,'DISTRIBUIÇÃO NF4267'!$E$3:$FQ$3,0)+1,0)</f>
        <v>8</v>
      </c>
      <c r="F772" s="28">
        <f t="shared" si="39"/>
        <v>3</v>
      </c>
    </row>
    <row r="773" spans="1:6" x14ac:dyDescent="0.35">
      <c r="A773">
        <f t="shared" si="40"/>
        <v>0</v>
      </c>
      <c r="B773" t="str">
        <f t="shared" si="38"/>
        <v>I6</v>
      </c>
      <c r="C773" s="9" t="s">
        <v>116</v>
      </c>
      <c r="D773" s="18">
        <f>VLOOKUP(C773,'DISTRIBUIÇÃO NF4267'!$E$3:$FQ$75,MATCH(B773,'DISTRIBUIÇÃO NF4267'!$E$3:$FQ$3,0)+1,0)</f>
        <v>4</v>
      </c>
      <c r="F773" s="28">
        <f t="shared" si="39"/>
        <v>3</v>
      </c>
    </row>
    <row r="774" spans="1:6" x14ac:dyDescent="0.35">
      <c r="A774">
        <f t="shared" si="40"/>
        <v>0</v>
      </c>
      <c r="B774" t="str">
        <f t="shared" si="38"/>
        <v>I6</v>
      </c>
      <c r="C774" s="9" t="s">
        <v>117</v>
      </c>
      <c r="D774" s="18">
        <f>VLOOKUP(C774,'DISTRIBUIÇÃO NF4267'!$E$3:$FQ$75,MATCH(B774,'DISTRIBUIÇÃO NF4267'!$E$3:$FQ$3,0)+1,0)</f>
        <v>2</v>
      </c>
      <c r="F774" s="28">
        <f t="shared" si="39"/>
        <v>3</v>
      </c>
    </row>
    <row r="775" spans="1:6" x14ac:dyDescent="0.35">
      <c r="A775">
        <f t="shared" si="40"/>
        <v>0</v>
      </c>
      <c r="B775" t="str">
        <f t="shared" si="38"/>
        <v>I6</v>
      </c>
      <c r="C775" s="9" t="s">
        <v>118</v>
      </c>
      <c r="D775" s="18">
        <f>VLOOKUP(C775,'DISTRIBUIÇÃO NF4267'!$E$3:$FQ$75,MATCH(B775,'DISTRIBUIÇÃO NF4267'!$E$3:$FQ$3,0)+1,0)</f>
        <v>0</v>
      </c>
      <c r="F775" s="28">
        <f t="shared" si="39"/>
        <v>3</v>
      </c>
    </row>
    <row r="776" spans="1:6" x14ac:dyDescent="0.35">
      <c r="A776">
        <f t="shared" si="40"/>
        <v>0</v>
      </c>
      <c r="B776" t="str">
        <f t="shared" si="38"/>
        <v>I6</v>
      </c>
      <c r="C776" s="10" t="s">
        <v>119</v>
      </c>
      <c r="D776" s="18">
        <f>VLOOKUP(C776,'DISTRIBUIÇÃO NF4267'!$E$3:$FQ$75,MATCH(B776,'DISTRIBUIÇÃO NF4267'!$E$3:$FQ$3,0)+1,0)</f>
        <v>0</v>
      </c>
      <c r="F776" s="28">
        <f t="shared" si="39"/>
        <v>3</v>
      </c>
    </row>
    <row r="777" spans="1:6" x14ac:dyDescent="0.35">
      <c r="A777">
        <f t="shared" si="40"/>
        <v>0</v>
      </c>
      <c r="B777" t="str">
        <f t="shared" si="38"/>
        <v>I6</v>
      </c>
      <c r="C777" s="10" t="s">
        <v>120</v>
      </c>
      <c r="D777" s="18">
        <f>VLOOKUP(C777,'DISTRIBUIÇÃO NF4267'!$E$3:$FQ$75,MATCH(B777,'DISTRIBUIÇÃO NF4267'!$E$3:$FQ$3,0)+1,0)</f>
        <v>48</v>
      </c>
      <c r="F777" s="28">
        <f t="shared" si="39"/>
        <v>3</v>
      </c>
    </row>
    <row r="778" spans="1:6" x14ac:dyDescent="0.35">
      <c r="A778">
        <f t="shared" si="40"/>
        <v>0</v>
      </c>
      <c r="B778" t="str">
        <f t="shared" si="38"/>
        <v>I6</v>
      </c>
      <c r="C778" s="10" t="s">
        <v>121</v>
      </c>
      <c r="D778" s="18">
        <f>VLOOKUP(C778,'DISTRIBUIÇÃO NF4267'!$E$3:$FQ$75,MATCH(B778,'DISTRIBUIÇÃO NF4267'!$E$3:$FQ$3,0)+1,0)</f>
        <v>16</v>
      </c>
      <c r="F778" s="28">
        <f t="shared" si="39"/>
        <v>3</v>
      </c>
    </row>
    <row r="779" spans="1:6" x14ac:dyDescent="0.35">
      <c r="A779">
        <f t="shared" si="40"/>
        <v>0</v>
      </c>
      <c r="B779" t="str">
        <f t="shared" si="38"/>
        <v>I6</v>
      </c>
      <c r="C779" s="10" t="s">
        <v>122</v>
      </c>
      <c r="D779" s="18">
        <f>VLOOKUP(C779,'DISTRIBUIÇÃO NF4267'!$E$3:$FQ$75,MATCH(B779,'DISTRIBUIÇÃO NF4267'!$E$3:$FQ$3,0)+1,0)</f>
        <v>16</v>
      </c>
      <c r="F779" s="28">
        <f t="shared" si="39"/>
        <v>3</v>
      </c>
    </row>
    <row r="780" spans="1:6" x14ac:dyDescent="0.35">
      <c r="A780">
        <f t="shared" si="40"/>
        <v>0</v>
      </c>
      <c r="B780" t="str">
        <f t="shared" si="38"/>
        <v>I6</v>
      </c>
      <c r="C780" s="10" t="s">
        <v>123</v>
      </c>
      <c r="D780" s="18">
        <f>VLOOKUP(C780,'DISTRIBUIÇÃO NF4267'!$E$3:$FQ$75,MATCH(B780,'DISTRIBUIÇÃO NF4267'!$E$3:$FQ$3,0)+1,0)</f>
        <v>0</v>
      </c>
      <c r="F780" s="28">
        <f t="shared" si="39"/>
        <v>3</v>
      </c>
    </row>
    <row r="781" spans="1:6" x14ac:dyDescent="0.35">
      <c r="A781">
        <f t="shared" si="40"/>
        <v>0</v>
      </c>
      <c r="B781" t="str">
        <f t="shared" si="38"/>
        <v>I6</v>
      </c>
      <c r="C781" s="10" t="s">
        <v>124</v>
      </c>
      <c r="D781" s="18">
        <f>VLOOKUP(C781,'DISTRIBUIÇÃO NF4267'!$E$3:$FQ$75,MATCH(B781,'DISTRIBUIÇÃO NF4267'!$E$3:$FQ$3,0)+1,0)</f>
        <v>0</v>
      </c>
      <c r="F781" s="28">
        <f t="shared" si="39"/>
        <v>3</v>
      </c>
    </row>
    <row r="782" spans="1:6" x14ac:dyDescent="0.35">
      <c r="A782">
        <f t="shared" si="40"/>
        <v>0</v>
      </c>
      <c r="B782" t="str">
        <f t="shared" si="38"/>
        <v>I6</v>
      </c>
      <c r="C782" s="11" t="s">
        <v>16</v>
      </c>
      <c r="D782" s="18">
        <f>VLOOKUP(C782,'DISTRIBUIÇÃO NF4267'!$E$3:$FQ$75,MATCH(B782,'DISTRIBUIÇÃO NF4267'!$E$3:$FQ$3,0)+1,0)</f>
        <v>0</v>
      </c>
      <c r="F782" s="28">
        <f t="shared" si="39"/>
        <v>3</v>
      </c>
    </row>
    <row r="783" spans="1:6" x14ac:dyDescent="0.35">
      <c r="A783">
        <f t="shared" si="40"/>
        <v>0</v>
      </c>
      <c r="B783" t="str">
        <f t="shared" si="38"/>
        <v>I6</v>
      </c>
      <c r="C783" s="11" t="s">
        <v>17</v>
      </c>
      <c r="D783" s="18">
        <f>VLOOKUP(C783,'DISTRIBUIÇÃO NF4267'!$E$3:$FQ$75,MATCH(B783,'DISTRIBUIÇÃO NF4267'!$E$3:$FQ$3,0)+1,0)</f>
        <v>12</v>
      </c>
      <c r="F783" s="28">
        <f t="shared" si="39"/>
        <v>3</v>
      </c>
    </row>
    <row r="784" spans="1:6" x14ac:dyDescent="0.35">
      <c r="A784">
        <f t="shared" si="40"/>
        <v>0</v>
      </c>
      <c r="B784" t="str">
        <f t="shared" si="38"/>
        <v>I6</v>
      </c>
      <c r="C784" s="11" t="s">
        <v>18</v>
      </c>
      <c r="D784" s="18">
        <f>VLOOKUP(C784,'DISTRIBUIÇÃO NF4267'!$E$3:$FQ$75,MATCH(B784,'DISTRIBUIÇÃO NF4267'!$E$3:$FQ$3,0)+1,0)</f>
        <v>4</v>
      </c>
      <c r="F784" s="28">
        <f t="shared" si="39"/>
        <v>3</v>
      </c>
    </row>
    <row r="785" spans="1:6" x14ac:dyDescent="0.35">
      <c r="A785">
        <f t="shared" si="40"/>
        <v>0</v>
      </c>
      <c r="B785" t="str">
        <f t="shared" si="38"/>
        <v>I6</v>
      </c>
      <c r="C785" s="11" t="s">
        <v>19</v>
      </c>
      <c r="D785" s="18">
        <f>VLOOKUP(C785,'DISTRIBUIÇÃO NF4267'!$E$3:$FQ$75,MATCH(B785,'DISTRIBUIÇÃO NF4267'!$E$3:$FQ$3,0)+1,0)</f>
        <v>4</v>
      </c>
      <c r="F785" s="28">
        <f t="shared" si="39"/>
        <v>3</v>
      </c>
    </row>
    <row r="786" spans="1:6" x14ac:dyDescent="0.35">
      <c r="A786">
        <f t="shared" si="40"/>
        <v>0</v>
      </c>
      <c r="B786" t="str">
        <f t="shared" si="38"/>
        <v>I6</v>
      </c>
      <c r="C786" s="11" t="s">
        <v>20</v>
      </c>
      <c r="D786" s="18">
        <f>VLOOKUP(C786,'DISTRIBUIÇÃO NF4267'!$E$3:$FQ$75,MATCH(B786,'DISTRIBUIÇÃO NF4267'!$E$3:$FQ$3,0)+1,0)</f>
        <v>20</v>
      </c>
      <c r="F786" s="28">
        <f t="shared" si="39"/>
        <v>3</v>
      </c>
    </row>
    <row r="787" spans="1:6" x14ac:dyDescent="0.35">
      <c r="A787">
        <f t="shared" si="40"/>
        <v>0</v>
      </c>
      <c r="B787" t="str">
        <f t="shared" si="38"/>
        <v>I6</v>
      </c>
      <c r="C787" s="11" t="s">
        <v>21</v>
      </c>
      <c r="D787" s="18">
        <f>VLOOKUP(C787,'DISTRIBUIÇÃO NF4267'!$E$3:$FQ$75,MATCH(B787,'DISTRIBUIÇÃO NF4267'!$E$3:$FQ$3,0)+1,0)</f>
        <v>0</v>
      </c>
      <c r="F787" s="28">
        <f t="shared" si="39"/>
        <v>3</v>
      </c>
    </row>
    <row r="788" spans="1:6" x14ac:dyDescent="0.35">
      <c r="A788">
        <f t="shared" si="40"/>
        <v>0</v>
      </c>
      <c r="B788" t="str">
        <f t="shared" si="38"/>
        <v>I6</v>
      </c>
      <c r="C788" s="12" t="s">
        <v>130</v>
      </c>
      <c r="D788" s="18">
        <f>VLOOKUP(C788,'DISTRIBUIÇÃO NF4267'!$E$3:$FQ$75,MATCH(B788,'DISTRIBUIÇÃO NF4267'!$E$3:$FQ$3,0)+1,0)</f>
        <v>0</v>
      </c>
      <c r="F788" s="28">
        <f t="shared" si="39"/>
        <v>3</v>
      </c>
    </row>
    <row r="789" spans="1:6" x14ac:dyDescent="0.35">
      <c r="A789">
        <f t="shared" si="40"/>
        <v>0</v>
      </c>
      <c r="B789" t="str">
        <f t="shared" si="38"/>
        <v>I6</v>
      </c>
      <c r="C789" s="12" t="s">
        <v>131</v>
      </c>
      <c r="D789" s="18">
        <f>VLOOKUP(C789,'DISTRIBUIÇÃO NF4267'!$E$3:$FQ$75,MATCH(B789,'DISTRIBUIÇÃO NF4267'!$E$3:$FQ$3,0)+1,0)</f>
        <v>1</v>
      </c>
      <c r="F789" s="28">
        <f t="shared" si="39"/>
        <v>3</v>
      </c>
    </row>
    <row r="790" spans="1:6" x14ac:dyDescent="0.35">
      <c r="A790">
        <f t="shared" si="40"/>
        <v>0</v>
      </c>
      <c r="B790" t="str">
        <f t="shared" si="38"/>
        <v>I6</v>
      </c>
      <c r="C790" s="12" t="s">
        <v>132</v>
      </c>
      <c r="D790" s="18">
        <f>VLOOKUP(C790,'DISTRIBUIÇÃO NF4267'!$E$3:$FQ$75,MATCH(B790,'DISTRIBUIÇÃO NF4267'!$E$3:$FQ$3,0)+1,0)</f>
        <v>4</v>
      </c>
      <c r="F790" s="28">
        <f t="shared" si="39"/>
        <v>3</v>
      </c>
    </row>
    <row r="791" spans="1:6" x14ac:dyDescent="0.35">
      <c r="A791">
        <f t="shared" si="40"/>
        <v>0</v>
      </c>
      <c r="B791" t="str">
        <f t="shared" si="38"/>
        <v>I6</v>
      </c>
      <c r="C791" s="12" t="s">
        <v>133</v>
      </c>
      <c r="D791" s="18">
        <f>VLOOKUP(C791,'DISTRIBUIÇÃO NF4267'!$E$3:$FQ$75,MATCH(B791,'DISTRIBUIÇÃO NF4267'!$E$3:$FQ$3,0)+1,0)</f>
        <v>3</v>
      </c>
      <c r="F791" s="28">
        <f t="shared" si="39"/>
        <v>3</v>
      </c>
    </row>
    <row r="792" spans="1:6" x14ac:dyDescent="0.35">
      <c r="A792">
        <f t="shared" si="40"/>
        <v>0</v>
      </c>
      <c r="B792" t="str">
        <f t="shared" si="38"/>
        <v>I6</v>
      </c>
      <c r="C792" s="12" t="s">
        <v>134</v>
      </c>
      <c r="D792" s="18">
        <f>VLOOKUP(C792,'DISTRIBUIÇÃO NF4267'!$E$3:$FQ$75,MATCH(B792,'DISTRIBUIÇÃO NF4267'!$E$3:$FQ$3,0)+1,0)</f>
        <v>2</v>
      </c>
      <c r="F792" s="28">
        <f t="shared" si="39"/>
        <v>3</v>
      </c>
    </row>
    <row r="793" spans="1:6" x14ac:dyDescent="0.35">
      <c r="A793">
        <f t="shared" si="40"/>
        <v>0</v>
      </c>
      <c r="B793" t="str">
        <f t="shared" si="38"/>
        <v>I6</v>
      </c>
      <c r="C793" s="12" t="s">
        <v>135</v>
      </c>
      <c r="D793" s="18">
        <f>VLOOKUP(C793,'DISTRIBUIÇÃO NF4267'!$E$3:$FQ$75,MATCH(B793,'DISTRIBUIÇÃO NF4267'!$E$3:$FQ$3,0)+1,0)</f>
        <v>0</v>
      </c>
      <c r="F793" s="28">
        <f t="shared" si="39"/>
        <v>3</v>
      </c>
    </row>
    <row r="794" spans="1:6" x14ac:dyDescent="0.35">
      <c r="A794">
        <f t="shared" si="40"/>
        <v>0</v>
      </c>
      <c r="B794" t="str">
        <f t="shared" si="38"/>
        <v>I6</v>
      </c>
      <c r="C794" s="13" t="s">
        <v>22</v>
      </c>
      <c r="D794" s="18">
        <f>VLOOKUP(C794,'DISTRIBUIÇÃO NF4267'!$E$3:$FQ$75,MATCH(B794,'DISTRIBUIÇÃO NF4267'!$E$3:$FQ$3,0)+1,0)</f>
        <v>0</v>
      </c>
      <c r="F794" s="28">
        <f t="shared" si="39"/>
        <v>3</v>
      </c>
    </row>
    <row r="795" spans="1:6" x14ac:dyDescent="0.35">
      <c r="A795">
        <f t="shared" si="40"/>
        <v>0</v>
      </c>
      <c r="B795" t="str">
        <f t="shared" si="38"/>
        <v>I6</v>
      </c>
      <c r="C795" s="13" t="s">
        <v>23</v>
      </c>
      <c r="D795" s="18">
        <f>VLOOKUP(C795,'DISTRIBUIÇÃO NF4267'!$E$3:$FQ$75,MATCH(B795,'DISTRIBUIÇÃO NF4267'!$E$3:$FQ$3,0)+1,0)</f>
        <v>1</v>
      </c>
      <c r="F795" s="28">
        <f t="shared" si="39"/>
        <v>3</v>
      </c>
    </row>
    <row r="796" spans="1:6" x14ac:dyDescent="0.35">
      <c r="A796">
        <f t="shared" si="40"/>
        <v>0</v>
      </c>
      <c r="B796" t="str">
        <f t="shared" si="38"/>
        <v>I6</v>
      </c>
      <c r="C796" s="13" t="s">
        <v>24</v>
      </c>
      <c r="D796" s="18">
        <f>VLOOKUP(C796,'DISTRIBUIÇÃO NF4267'!$E$3:$FQ$75,MATCH(B796,'DISTRIBUIÇÃO NF4267'!$E$3:$FQ$3,0)+1,0)</f>
        <v>6</v>
      </c>
      <c r="F796" s="28">
        <f t="shared" si="39"/>
        <v>3</v>
      </c>
    </row>
    <row r="797" spans="1:6" x14ac:dyDescent="0.35">
      <c r="A797">
        <f t="shared" si="40"/>
        <v>0</v>
      </c>
      <c r="B797" t="str">
        <f t="shared" si="38"/>
        <v>I6</v>
      </c>
      <c r="C797" s="13" t="s">
        <v>25</v>
      </c>
      <c r="D797" s="18">
        <f>VLOOKUP(C797,'DISTRIBUIÇÃO NF4267'!$E$3:$FQ$75,MATCH(B797,'DISTRIBUIÇÃO NF4267'!$E$3:$FQ$3,0)+1,0)</f>
        <v>2</v>
      </c>
      <c r="F797" s="28">
        <f t="shared" si="39"/>
        <v>3</v>
      </c>
    </row>
    <row r="798" spans="1:6" x14ac:dyDescent="0.35">
      <c r="A798">
        <f t="shared" si="40"/>
        <v>0</v>
      </c>
      <c r="B798" t="str">
        <f t="shared" si="38"/>
        <v>I6</v>
      </c>
      <c r="C798" s="13" t="s">
        <v>26</v>
      </c>
      <c r="D798" s="18">
        <f>VLOOKUP(C798,'DISTRIBUIÇÃO NF4267'!$E$3:$FQ$75,MATCH(B798,'DISTRIBUIÇÃO NF4267'!$E$3:$FQ$3,0)+1,0)</f>
        <v>1</v>
      </c>
      <c r="F798" s="28">
        <f t="shared" si="39"/>
        <v>3</v>
      </c>
    </row>
    <row r="799" spans="1:6" x14ac:dyDescent="0.35">
      <c r="A799">
        <f t="shared" si="40"/>
        <v>0</v>
      </c>
      <c r="B799" t="str">
        <f t="shared" si="38"/>
        <v>I6</v>
      </c>
      <c r="C799" s="13" t="s">
        <v>27</v>
      </c>
      <c r="D799" s="18">
        <f>VLOOKUP(C799,'DISTRIBUIÇÃO NF4267'!$E$3:$FQ$75,MATCH(B799,'DISTRIBUIÇÃO NF4267'!$E$3:$FQ$3,0)+1,0)</f>
        <v>0</v>
      </c>
      <c r="F799" s="28">
        <f t="shared" si="39"/>
        <v>3</v>
      </c>
    </row>
    <row r="800" spans="1:6" x14ac:dyDescent="0.35">
      <c r="A800">
        <f t="shared" si="40"/>
        <v>0</v>
      </c>
      <c r="B800" t="str">
        <f t="shared" si="38"/>
        <v>I6</v>
      </c>
      <c r="C800" s="14" t="s">
        <v>138</v>
      </c>
      <c r="D800" s="18">
        <f>VLOOKUP(C800,'DISTRIBUIÇÃO NF4267'!$E$3:$FQ$75,MATCH(B800,'DISTRIBUIÇÃO NF4267'!$E$3:$FQ$3,0)+1,0)</f>
        <v>0</v>
      </c>
      <c r="F800" s="28">
        <f t="shared" si="39"/>
        <v>3</v>
      </c>
    </row>
    <row r="801" spans="1:6" x14ac:dyDescent="0.35">
      <c r="A801">
        <f t="shared" si="40"/>
        <v>0</v>
      </c>
      <c r="B801" t="str">
        <f t="shared" si="38"/>
        <v>I6</v>
      </c>
      <c r="C801" s="14" t="s">
        <v>139</v>
      </c>
      <c r="D801" s="18">
        <f>VLOOKUP(C801,'DISTRIBUIÇÃO NF4267'!$E$3:$FQ$75,MATCH(B801,'DISTRIBUIÇÃO NF4267'!$E$3:$FQ$3,0)+1,0)</f>
        <v>4</v>
      </c>
      <c r="F801" s="28">
        <f t="shared" si="39"/>
        <v>3</v>
      </c>
    </row>
    <row r="802" spans="1:6" x14ac:dyDescent="0.35">
      <c r="A802">
        <f t="shared" si="40"/>
        <v>0</v>
      </c>
      <c r="B802" t="str">
        <f t="shared" si="38"/>
        <v>I6</v>
      </c>
      <c r="C802" s="14" t="s">
        <v>140</v>
      </c>
      <c r="D802" s="18">
        <f>VLOOKUP(C802,'DISTRIBUIÇÃO NF4267'!$E$3:$FQ$75,MATCH(B802,'DISTRIBUIÇÃO NF4267'!$E$3:$FQ$3,0)+1,0)</f>
        <v>8</v>
      </c>
      <c r="F802" s="28">
        <f t="shared" si="39"/>
        <v>3</v>
      </c>
    </row>
    <row r="803" spans="1:6" x14ac:dyDescent="0.35">
      <c r="A803">
        <f t="shared" si="40"/>
        <v>0</v>
      </c>
      <c r="B803" t="str">
        <f t="shared" si="38"/>
        <v>I6</v>
      </c>
      <c r="C803" s="14" t="s">
        <v>141</v>
      </c>
      <c r="D803" s="18">
        <f>VLOOKUP(C803,'DISTRIBUIÇÃO NF4267'!$E$3:$FQ$75,MATCH(B803,'DISTRIBUIÇÃO NF4267'!$E$3:$FQ$3,0)+1,0)</f>
        <v>4</v>
      </c>
      <c r="F803" s="28">
        <f t="shared" si="39"/>
        <v>3</v>
      </c>
    </row>
    <row r="804" spans="1:6" x14ac:dyDescent="0.35">
      <c r="A804">
        <f t="shared" si="40"/>
        <v>0</v>
      </c>
      <c r="B804" t="str">
        <f t="shared" si="38"/>
        <v>I6</v>
      </c>
      <c r="C804" s="14" t="s">
        <v>142</v>
      </c>
      <c r="D804" s="18">
        <f>VLOOKUP(C804,'DISTRIBUIÇÃO NF4267'!$E$3:$FQ$75,MATCH(B804,'DISTRIBUIÇÃO NF4267'!$E$3:$FQ$3,0)+1,0)</f>
        <v>4</v>
      </c>
      <c r="F804" s="28">
        <f t="shared" si="39"/>
        <v>3</v>
      </c>
    </row>
    <row r="805" spans="1:6" x14ac:dyDescent="0.35">
      <c r="A805">
        <f t="shared" si="40"/>
        <v>0</v>
      </c>
      <c r="B805" t="str">
        <f t="shared" si="38"/>
        <v>I6</v>
      </c>
      <c r="C805" s="14" t="s">
        <v>143</v>
      </c>
      <c r="D805" s="18">
        <f>VLOOKUP(C805,'DISTRIBUIÇÃO NF4267'!$E$3:$FQ$75,MATCH(B805,'DISTRIBUIÇÃO NF4267'!$E$3:$FQ$3,0)+1,0)</f>
        <v>0</v>
      </c>
      <c r="F805" s="28">
        <f t="shared" si="39"/>
        <v>3</v>
      </c>
    </row>
    <row r="806" spans="1:6" x14ac:dyDescent="0.35">
      <c r="A806">
        <f t="shared" si="40"/>
        <v>0</v>
      </c>
      <c r="B806" t="str">
        <f t="shared" si="38"/>
        <v>I6</v>
      </c>
      <c r="C806" s="15" t="s">
        <v>145</v>
      </c>
      <c r="D806" s="18">
        <f>VLOOKUP(C806,'DISTRIBUIÇÃO NF4267'!$E$3:$FQ$75,MATCH(B806,'DISTRIBUIÇÃO NF4267'!$E$3:$FQ$3,0)+1,0)</f>
        <v>0</v>
      </c>
      <c r="F806" s="28">
        <f t="shared" si="39"/>
        <v>3</v>
      </c>
    </row>
    <row r="807" spans="1:6" x14ac:dyDescent="0.35">
      <c r="A807">
        <f t="shared" si="40"/>
        <v>0</v>
      </c>
      <c r="B807" t="str">
        <f t="shared" si="38"/>
        <v>I6</v>
      </c>
      <c r="C807" s="15" t="s">
        <v>146</v>
      </c>
      <c r="D807" s="18">
        <f>VLOOKUP(C807,'DISTRIBUIÇÃO NF4267'!$E$3:$FQ$75,MATCH(B807,'DISTRIBUIÇÃO NF4267'!$E$3:$FQ$3,0)+1,0)</f>
        <v>2</v>
      </c>
      <c r="F807" s="28">
        <f t="shared" si="39"/>
        <v>3</v>
      </c>
    </row>
    <row r="808" spans="1:6" x14ac:dyDescent="0.35">
      <c r="A808">
        <f t="shared" si="40"/>
        <v>0</v>
      </c>
      <c r="B808" t="str">
        <f t="shared" si="38"/>
        <v>I6</v>
      </c>
      <c r="C808" s="15" t="s">
        <v>147</v>
      </c>
      <c r="D808" s="18">
        <f>VLOOKUP(C808,'DISTRIBUIÇÃO NF4267'!$E$3:$FQ$75,MATCH(B808,'DISTRIBUIÇÃO NF4267'!$E$3:$FQ$3,0)+1,0)</f>
        <v>4</v>
      </c>
      <c r="F808" s="28">
        <f t="shared" si="39"/>
        <v>3</v>
      </c>
    </row>
    <row r="809" spans="1:6" x14ac:dyDescent="0.35">
      <c r="A809">
        <f t="shared" si="40"/>
        <v>0</v>
      </c>
      <c r="B809" t="str">
        <f t="shared" si="38"/>
        <v>I6</v>
      </c>
      <c r="C809" s="15" t="s">
        <v>148</v>
      </c>
      <c r="D809" s="18">
        <f>VLOOKUP(C809,'DISTRIBUIÇÃO NF4267'!$E$3:$FQ$75,MATCH(B809,'DISTRIBUIÇÃO NF4267'!$E$3:$FQ$3,0)+1,0)</f>
        <v>2</v>
      </c>
      <c r="F809" s="28">
        <f t="shared" si="39"/>
        <v>3</v>
      </c>
    </row>
    <row r="810" spans="1:6" x14ac:dyDescent="0.35">
      <c r="A810">
        <f t="shared" si="40"/>
        <v>0</v>
      </c>
      <c r="B810" t="str">
        <f t="shared" si="38"/>
        <v>I6</v>
      </c>
      <c r="C810" s="15" t="s">
        <v>149</v>
      </c>
      <c r="D810" s="18">
        <f>VLOOKUP(C810,'DISTRIBUIÇÃO NF4267'!$E$3:$FQ$75,MATCH(B810,'DISTRIBUIÇÃO NF4267'!$E$3:$FQ$3,0)+1,0)</f>
        <v>2</v>
      </c>
      <c r="F810" s="28">
        <f t="shared" si="39"/>
        <v>3</v>
      </c>
    </row>
    <row r="811" spans="1:6" x14ac:dyDescent="0.35">
      <c r="A811">
        <f t="shared" si="40"/>
        <v>0</v>
      </c>
      <c r="B811" t="str">
        <f t="shared" si="38"/>
        <v>I6</v>
      </c>
      <c r="C811" s="15" t="s">
        <v>150</v>
      </c>
      <c r="D811" s="18">
        <f>VLOOKUP(C811,'DISTRIBUIÇÃO NF4267'!$E$3:$FQ$75,MATCH(B811,'DISTRIBUIÇÃO NF4267'!$E$3:$FQ$3,0)+1,0)</f>
        <v>0</v>
      </c>
      <c r="F811" s="28">
        <f t="shared" si="39"/>
        <v>3</v>
      </c>
    </row>
    <row r="812" spans="1:6" x14ac:dyDescent="0.35">
      <c r="A812">
        <f t="shared" si="40"/>
        <v>0</v>
      </c>
      <c r="B812">
        <v>28</v>
      </c>
      <c r="C812" s="7" t="s">
        <v>98</v>
      </c>
      <c r="D812" s="18">
        <f>VLOOKUP(C812,'DISTRIBUIÇÃO NF4267'!$E$3:$FQ$75,MATCH(B812,'DISTRIBUIÇÃO NF4267'!$E$3:$FQ$3,0)+1,0)</f>
        <v>0</v>
      </c>
      <c r="F812" s="28">
        <f t="shared" si="39"/>
        <v>3</v>
      </c>
    </row>
    <row r="813" spans="1:6" x14ac:dyDescent="0.35">
      <c r="A813">
        <f t="shared" si="40"/>
        <v>0</v>
      </c>
      <c r="B813">
        <f>B812</f>
        <v>28</v>
      </c>
      <c r="C813" s="7" t="s">
        <v>99</v>
      </c>
      <c r="D813" s="18">
        <f>VLOOKUP(C813,'DISTRIBUIÇÃO NF4267'!$E$3:$FQ$75,MATCH(B813,'DISTRIBUIÇÃO NF4267'!$E$3:$FQ$3,0)+1,0)</f>
        <v>4</v>
      </c>
      <c r="F813" s="28">
        <f t="shared" si="39"/>
        <v>3</v>
      </c>
    </row>
    <row r="814" spans="1:6" x14ac:dyDescent="0.35">
      <c r="A814">
        <f t="shared" si="40"/>
        <v>0</v>
      </c>
      <c r="B814">
        <f t="shared" ref="B814:B865" si="41">B813</f>
        <v>28</v>
      </c>
      <c r="C814" s="7" t="s">
        <v>100</v>
      </c>
      <c r="D814" s="18">
        <f>VLOOKUP(C814,'DISTRIBUIÇÃO NF4267'!$E$3:$FQ$75,MATCH(B814,'DISTRIBUIÇÃO NF4267'!$E$3:$FQ$3,0)+1,0)</f>
        <v>8</v>
      </c>
      <c r="F814" s="28">
        <f t="shared" si="39"/>
        <v>3</v>
      </c>
    </row>
    <row r="815" spans="1:6" x14ac:dyDescent="0.35">
      <c r="A815">
        <f t="shared" si="40"/>
        <v>0</v>
      </c>
      <c r="B815">
        <f t="shared" si="41"/>
        <v>28</v>
      </c>
      <c r="C815" s="7" t="s">
        <v>101</v>
      </c>
      <c r="D815" s="18">
        <f>VLOOKUP(C815,'DISTRIBUIÇÃO NF4267'!$E$3:$FQ$75,MATCH(B815,'DISTRIBUIÇÃO NF4267'!$E$3:$FQ$3,0)+1,0)</f>
        <v>4</v>
      </c>
      <c r="F815" s="28">
        <f t="shared" si="39"/>
        <v>3</v>
      </c>
    </row>
    <row r="816" spans="1:6" x14ac:dyDescent="0.35">
      <c r="A816">
        <f t="shared" si="40"/>
        <v>0</v>
      </c>
      <c r="B816">
        <f t="shared" si="41"/>
        <v>28</v>
      </c>
      <c r="C816" s="7" t="s">
        <v>102</v>
      </c>
      <c r="D816" s="18">
        <f>VLOOKUP(C816,'DISTRIBUIÇÃO NF4267'!$E$3:$FQ$75,MATCH(B816,'DISTRIBUIÇÃO NF4267'!$E$3:$FQ$3,0)+1,0)</f>
        <v>4</v>
      </c>
      <c r="F816" s="28">
        <f t="shared" si="39"/>
        <v>3</v>
      </c>
    </row>
    <row r="817" spans="1:6" x14ac:dyDescent="0.35">
      <c r="A817">
        <f t="shared" si="40"/>
        <v>0</v>
      </c>
      <c r="B817">
        <f t="shared" si="41"/>
        <v>28</v>
      </c>
      <c r="C817" s="7" t="s">
        <v>103</v>
      </c>
      <c r="D817" s="18">
        <f>VLOOKUP(C817,'DISTRIBUIÇÃO NF4267'!$E$3:$FQ$75,MATCH(B817,'DISTRIBUIÇÃO NF4267'!$E$3:$FQ$3,0)+1,0)</f>
        <v>0</v>
      </c>
      <c r="F817" s="28">
        <f t="shared" si="39"/>
        <v>3</v>
      </c>
    </row>
    <row r="818" spans="1:6" x14ac:dyDescent="0.35">
      <c r="A818">
        <f t="shared" si="40"/>
        <v>0</v>
      </c>
      <c r="B818">
        <f t="shared" si="41"/>
        <v>28</v>
      </c>
      <c r="C818" s="8" t="s">
        <v>107</v>
      </c>
      <c r="D818" s="18">
        <f>VLOOKUP(C818,'DISTRIBUIÇÃO NF4267'!$E$3:$FQ$75,MATCH(B818,'DISTRIBUIÇÃO NF4267'!$E$3:$FQ$3,0)+1,0)</f>
        <v>0</v>
      </c>
      <c r="F818" s="28">
        <f t="shared" si="39"/>
        <v>3</v>
      </c>
    </row>
    <row r="819" spans="1:6" x14ac:dyDescent="0.35">
      <c r="A819">
        <f t="shared" si="40"/>
        <v>0</v>
      </c>
      <c r="B819">
        <f t="shared" si="41"/>
        <v>28</v>
      </c>
      <c r="C819" s="8" t="s">
        <v>108</v>
      </c>
      <c r="D819" s="18">
        <f>VLOOKUP(C819,'DISTRIBUIÇÃO NF4267'!$E$3:$FQ$75,MATCH(B819,'DISTRIBUIÇÃO NF4267'!$E$3:$FQ$3,0)+1,0)</f>
        <v>4</v>
      </c>
      <c r="F819" s="28">
        <f t="shared" si="39"/>
        <v>3</v>
      </c>
    </row>
    <row r="820" spans="1:6" x14ac:dyDescent="0.35">
      <c r="A820">
        <f t="shared" si="40"/>
        <v>0</v>
      </c>
      <c r="B820">
        <f t="shared" si="41"/>
        <v>28</v>
      </c>
      <c r="C820" s="8" t="s">
        <v>109</v>
      </c>
      <c r="D820" s="18">
        <f>VLOOKUP(C820,'DISTRIBUIÇÃO NF4267'!$E$3:$FQ$75,MATCH(B820,'DISTRIBUIÇÃO NF4267'!$E$3:$FQ$3,0)+1,0)</f>
        <v>8</v>
      </c>
      <c r="F820" s="28">
        <f t="shared" si="39"/>
        <v>3</v>
      </c>
    </row>
    <row r="821" spans="1:6" x14ac:dyDescent="0.35">
      <c r="A821">
        <f t="shared" si="40"/>
        <v>0</v>
      </c>
      <c r="B821">
        <f t="shared" si="41"/>
        <v>28</v>
      </c>
      <c r="C821" s="8" t="s">
        <v>110</v>
      </c>
      <c r="D821" s="18">
        <f>VLOOKUP(C821,'DISTRIBUIÇÃO NF4267'!$E$3:$FQ$75,MATCH(B821,'DISTRIBUIÇÃO NF4267'!$E$3:$FQ$3,0)+1,0)</f>
        <v>4</v>
      </c>
      <c r="F821" s="28">
        <f t="shared" si="39"/>
        <v>3</v>
      </c>
    </row>
    <row r="822" spans="1:6" x14ac:dyDescent="0.35">
      <c r="A822">
        <f t="shared" si="40"/>
        <v>0</v>
      </c>
      <c r="B822">
        <f t="shared" si="41"/>
        <v>28</v>
      </c>
      <c r="C822" s="8" t="s">
        <v>111</v>
      </c>
      <c r="D822" s="18">
        <f>VLOOKUP(C822,'DISTRIBUIÇÃO NF4267'!$E$3:$FQ$75,MATCH(B822,'DISTRIBUIÇÃO NF4267'!$E$3:$FQ$3,0)+1,0)</f>
        <v>4</v>
      </c>
      <c r="F822" s="28">
        <f t="shared" si="39"/>
        <v>3</v>
      </c>
    </row>
    <row r="823" spans="1:6" x14ac:dyDescent="0.35">
      <c r="A823">
        <f t="shared" si="40"/>
        <v>0</v>
      </c>
      <c r="B823">
        <f t="shared" si="41"/>
        <v>28</v>
      </c>
      <c r="C823" s="8" t="s">
        <v>112</v>
      </c>
      <c r="D823" s="18">
        <f>VLOOKUP(C823,'DISTRIBUIÇÃO NF4267'!$E$3:$FQ$75,MATCH(B823,'DISTRIBUIÇÃO NF4267'!$E$3:$FQ$3,0)+1,0)</f>
        <v>0</v>
      </c>
      <c r="F823" s="28">
        <f t="shared" si="39"/>
        <v>3</v>
      </c>
    </row>
    <row r="824" spans="1:6" x14ac:dyDescent="0.35">
      <c r="A824">
        <f t="shared" si="40"/>
        <v>0</v>
      </c>
      <c r="B824">
        <f t="shared" si="41"/>
        <v>28</v>
      </c>
      <c r="C824" s="9" t="s">
        <v>113</v>
      </c>
      <c r="D824" s="18">
        <f>VLOOKUP(C824,'DISTRIBUIÇÃO NF4267'!$E$3:$FQ$75,MATCH(B824,'DISTRIBUIÇÃO NF4267'!$E$3:$FQ$3,0)+1,0)</f>
        <v>0</v>
      </c>
      <c r="F824" s="28">
        <f t="shared" ref="F824:F887" si="42">ROUNDUP(SUMIFS(D:D,B:B,B824)/80,0)</f>
        <v>3</v>
      </c>
    </row>
    <row r="825" spans="1:6" x14ac:dyDescent="0.35">
      <c r="A825">
        <f t="shared" si="40"/>
        <v>0</v>
      </c>
      <c r="B825">
        <f t="shared" si="41"/>
        <v>28</v>
      </c>
      <c r="C825" s="9" t="s">
        <v>114</v>
      </c>
      <c r="D825" s="18">
        <f>VLOOKUP(C825,'DISTRIBUIÇÃO NF4267'!$E$3:$FQ$75,MATCH(B825,'DISTRIBUIÇÃO NF4267'!$E$3:$FQ$3,0)+1,0)</f>
        <v>6</v>
      </c>
      <c r="F825" s="28">
        <f t="shared" si="42"/>
        <v>3</v>
      </c>
    </row>
    <row r="826" spans="1:6" x14ac:dyDescent="0.35">
      <c r="A826">
        <f t="shared" si="40"/>
        <v>0</v>
      </c>
      <c r="B826">
        <f t="shared" si="41"/>
        <v>28</v>
      </c>
      <c r="C826" s="9" t="s">
        <v>115</v>
      </c>
      <c r="D826" s="18">
        <f>VLOOKUP(C826,'DISTRIBUIÇÃO NF4267'!$E$3:$FQ$75,MATCH(B826,'DISTRIBUIÇÃO NF4267'!$E$3:$FQ$3,0)+1,0)</f>
        <v>8</v>
      </c>
      <c r="F826" s="28">
        <f t="shared" si="42"/>
        <v>3</v>
      </c>
    </row>
    <row r="827" spans="1:6" x14ac:dyDescent="0.35">
      <c r="A827">
        <f t="shared" si="40"/>
        <v>0</v>
      </c>
      <c r="B827">
        <f t="shared" si="41"/>
        <v>28</v>
      </c>
      <c r="C827" s="9" t="s">
        <v>116</v>
      </c>
      <c r="D827" s="18">
        <f>VLOOKUP(C827,'DISTRIBUIÇÃO NF4267'!$E$3:$FQ$75,MATCH(B827,'DISTRIBUIÇÃO NF4267'!$E$3:$FQ$3,0)+1,0)</f>
        <v>4</v>
      </c>
      <c r="F827" s="28">
        <f t="shared" si="42"/>
        <v>3</v>
      </c>
    </row>
    <row r="828" spans="1:6" x14ac:dyDescent="0.35">
      <c r="A828">
        <f t="shared" si="40"/>
        <v>0</v>
      </c>
      <c r="B828">
        <f t="shared" si="41"/>
        <v>28</v>
      </c>
      <c r="C828" s="9" t="s">
        <v>117</v>
      </c>
      <c r="D828" s="18">
        <f>VLOOKUP(C828,'DISTRIBUIÇÃO NF4267'!$E$3:$FQ$75,MATCH(B828,'DISTRIBUIÇÃO NF4267'!$E$3:$FQ$3,0)+1,0)</f>
        <v>2</v>
      </c>
      <c r="F828" s="28">
        <f t="shared" si="42"/>
        <v>3</v>
      </c>
    </row>
    <row r="829" spans="1:6" x14ac:dyDescent="0.35">
      <c r="A829">
        <f t="shared" si="40"/>
        <v>0</v>
      </c>
      <c r="B829">
        <f t="shared" si="41"/>
        <v>28</v>
      </c>
      <c r="C829" s="9" t="s">
        <v>118</v>
      </c>
      <c r="D829" s="18">
        <f>VLOOKUP(C829,'DISTRIBUIÇÃO NF4267'!$E$3:$FQ$75,MATCH(B829,'DISTRIBUIÇÃO NF4267'!$E$3:$FQ$3,0)+1,0)</f>
        <v>0</v>
      </c>
      <c r="F829" s="28">
        <f t="shared" si="42"/>
        <v>3</v>
      </c>
    </row>
    <row r="830" spans="1:6" x14ac:dyDescent="0.35">
      <c r="A830">
        <f t="shared" si="40"/>
        <v>0</v>
      </c>
      <c r="B830">
        <f t="shared" si="41"/>
        <v>28</v>
      </c>
      <c r="C830" s="10" t="s">
        <v>119</v>
      </c>
      <c r="D830" s="18">
        <f>VLOOKUP(C830,'DISTRIBUIÇÃO NF4267'!$E$3:$FQ$75,MATCH(B830,'DISTRIBUIÇÃO NF4267'!$E$3:$FQ$3,0)+1,0)</f>
        <v>0</v>
      </c>
      <c r="F830" s="28">
        <f t="shared" si="42"/>
        <v>3</v>
      </c>
    </row>
    <row r="831" spans="1:6" x14ac:dyDescent="0.35">
      <c r="A831">
        <f t="shared" si="40"/>
        <v>0</v>
      </c>
      <c r="B831">
        <f t="shared" si="41"/>
        <v>28</v>
      </c>
      <c r="C831" s="10" t="s">
        <v>120</v>
      </c>
      <c r="D831" s="18">
        <f>VLOOKUP(C831,'DISTRIBUIÇÃO NF4267'!$E$3:$FQ$75,MATCH(B831,'DISTRIBUIÇÃO NF4267'!$E$3:$FQ$3,0)+1,0)</f>
        <v>48</v>
      </c>
      <c r="F831" s="28">
        <f t="shared" si="42"/>
        <v>3</v>
      </c>
    </row>
    <row r="832" spans="1:6" x14ac:dyDescent="0.35">
      <c r="A832">
        <f t="shared" si="40"/>
        <v>0</v>
      </c>
      <c r="B832">
        <f t="shared" si="41"/>
        <v>28</v>
      </c>
      <c r="C832" s="10" t="s">
        <v>121</v>
      </c>
      <c r="D832" s="18">
        <f>VLOOKUP(C832,'DISTRIBUIÇÃO NF4267'!$E$3:$FQ$75,MATCH(B832,'DISTRIBUIÇÃO NF4267'!$E$3:$FQ$3,0)+1,0)</f>
        <v>16</v>
      </c>
      <c r="F832" s="28">
        <f t="shared" si="42"/>
        <v>3</v>
      </c>
    </row>
    <row r="833" spans="1:6" x14ac:dyDescent="0.35">
      <c r="A833">
        <f t="shared" si="40"/>
        <v>0</v>
      </c>
      <c r="B833">
        <f t="shared" si="41"/>
        <v>28</v>
      </c>
      <c r="C833" s="10" t="s">
        <v>122</v>
      </c>
      <c r="D833" s="18">
        <f>VLOOKUP(C833,'DISTRIBUIÇÃO NF4267'!$E$3:$FQ$75,MATCH(B833,'DISTRIBUIÇÃO NF4267'!$E$3:$FQ$3,0)+1,0)</f>
        <v>16</v>
      </c>
      <c r="F833" s="28">
        <f t="shared" si="42"/>
        <v>3</v>
      </c>
    </row>
    <row r="834" spans="1:6" x14ac:dyDescent="0.35">
      <c r="A834">
        <f t="shared" ref="A834:A897" si="43">IF(ISERROR(VLOOKUP(C834,I:I,1,0)),0,1)</f>
        <v>0</v>
      </c>
      <c r="B834">
        <f t="shared" si="41"/>
        <v>28</v>
      </c>
      <c r="C834" s="10" t="s">
        <v>123</v>
      </c>
      <c r="D834" s="18">
        <f>VLOOKUP(C834,'DISTRIBUIÇÃO NF4267'!$E$3:$FQ$75,MATCH(B834,'DISTRIBUIÇÃO NF4267'!$E$3:$FQ$3,0)+1,0)</f>
        <v>0</v>
      </c>
      <c r="F834" s="28">
        <f t="shared" si="42"/>
        <v>3</v>
      </c>
    </row>
    <row r="835" spans="1:6" x14ac:dyDescent="0.35">
      <c r="A835">
        <f t="shared" si="43"/>
        <v>0</v>
      </c>
      <c r="B835">
        <f t="shared" si="41"/>
        <v>28</v>
      </c>
      <c r="C835" s="10" t="s">
        <v>124</v>
      </c>
      <c r="D835" s="18">
        <f>VLOOKUP(C835,'DISTRIBUIÇÃO NF4267'!$E$3:$FQ$75,MATCH(B835,'DISTRIBUIÇÃO NF4267'!$E$3:$FQ$3,0)+1,0)</f>
        <v>0</v>
      </c>
      <c r="F835" s="28">
        <f t="shared" si="42"/>
        <v>3</v>
      </c>
    </row>
    <row r="836" spans="1:6" x14ac:dyDescent="0.35">
      <c r="A836">
        <f t="shared" si="43"/>
        <v>0</v>
      </c>
      <c r="B836">
        <f t="shared" si="41"/>
        <v>28</v>
      </c>
      <c r="C836" s="11" t="s">
        <v>16</v>
      </c>
      <c r="D836" s="18">
        <f>VLOOKUP(C836,'DISTRIBUIÇÃO NF4267'!$E$3:$FQ$75,MATCH(B836,'DISTRIBUIÇÃO NF4267'!$E$3:$FQ$3,0)+1,0)</f>
        <v>0</v>
      </c>
      <c r="F836" s="28">
        <f t="shared" si="42"/>
        <v>3</v>
      </c>
    </row>
    <row r="837" spans="1:6" x14ac:dyDescent="0.35">
      <c r="A837">
        <f t="shared" si="43"/>
        <v>0</v>
      </c>
      <c r="B837">
        <f t="shared" si="41"/>
        <v>28</v>
      </c>
      <c r="C837" s="11" t="s">
        <v>17</v>
      </c>
      <c r="D837" s="18">
        <f>VLOOKUP(C837,'DISTRIBUIÇÃO NF4267'!$E$3:$FQ$75,MATCH(B837,'DISTRIBUIÇÃO NF4267'!$E$3:$FQ$3,0)+1,0)</f>
        <v>12</v>
      </c>
      <c r="F837" s="28">
        <f t="shared" si="42"/>
        <v>3</v>
      </c>
    </row>
    <row r="838" spans="1:6" x14ac:dyDescent="0.35">
      <c r="A838">
        <f t="shared" si="43"/>
        <v>0</v>
      </c>
      <c r="B838">
        <f t="shared" si="41"/>
        <v>28</v>
      </c>
      <c r="C838" s="11" t="s">
        <v>18</v>
      </c>
      <c r="D838" s="18">
        <f>VLOOKUP(C838,'DISTRIBUIÇÃO NF4267'!$E$3:$FQ$75,MATCH(B838,'DISTRIBUIÇÃO NF4267'!$E$3:$FQ$3,0)+1,0)</f>
        <v>4</v>
      </c>
      <c r="F838" s="28">
        <f t="shared" si="42"/>
        <v>3</v>
      </c>
    </row>
    <row r="839" spans="1:6" x14ac:dyDescent="0.35">
      <c r="A839">
        <f t="shared" si="43"/>
        <v>0</v>
      </c>
      <c r="B839">
        <f t="shared" si="41"/>
        <v>28</v>
      </c>
      <c r="C839" s="11" t="s">
        <v>19</v>
      </c>
      <c r="D839" s="18">
        <f>VLOOKUP(C839,'DISTRIBUIÇÃO NF4267'!$E$3:$FQ$75,MATCH(B839,'DISTRIBUIÇÃO NF4267'!$E$3:$FQ$3,0)+1,0)</f>
        <v>4</v>
      </c>
      <c r="F839" s="28">
        <f t="shared" si="42"/>
        <v>3</v>
      </c>
    </row>
    <row r="840" spans="1:6" x14ac:dyDescent="0.35">
      <c r="A840">
        <f t="shared" si="43"/>
        <v>0</v>
      </c>
      <c r="B840">
        <f t="shared" si="41"/>
        <v>28</v>
      </c>
      <c r="C840" s="11" t="s">
        <v>20</v>
      </c>
      <c r="D840" s="18">
        <f>VLOOKUP(C840,'DISTRIBUIÇÃO NF4267'!$E$3:$FQ$75,MATCH(B840,'DISTRIBUIÇÃO NF4267'!$E$3:$FQ$3,0)+1,0)</f>
        <v>20</v>
      </c>
      <c r="F840" s="28">
        <f t="shared" si="42"/>
        <v>3</v>
      </c>
    </row>
    <row r="841" spans="1:6" x14ac:dyDescent="0.35">
      <c r="A841">
        <f t="shared" si="43"/>
        <v>0</v>
      </c>
      <c r="B841">
        <f t="shared" si="41"/>
        <v>28</v>
      </c>
      <c r="C841" s="11" t="s">
        <v>21</v>
      </c>
      <c r="D841" s="18">
        <f>VLOOKUP(C841,'DISTRIBUIÇÃO NF4267'!$E$3:$FQ$75,MATCH(B841,'DISTRIBUIÇÃO NF4267'!$E$3:$FQ$3,0)+1,0)</f>
        <v>0</v>
      </c>
      <c r="F841" s="28">
        <f t="shared" si="42"/>
        <v>3</v>
      </c>
    </row>
    <row r="842" spans="1:6" x14ac:dyDescent="0.35">
      <c r="A842">
        <f t="shared" si="43"/>
        <v>0</v>
      </c>
      <c r="B842">
        <f t="shared" si="41"/>
        <v>28</v>
      </c>
      <c r="C842" s="12" t="s">
        <v>130</v>
      </c>
      <c r="D842" s="18">
        <f>VLOOKUP(C842,'DISTRIBUIÇÃO NF4267'!$E$3:$FQ$75,MATCH(B842,'DISTRIBUIÇÃO NF4267'!$E$3:$FQ$3,0)+1,0)</f>
        <v>0</v>
      </c>
      <c r="F842" s="28">
        <f t="shared" si="42"/>
        <v>3</v>
      </c>
    </row>
    <row r="843" spans="1:6" x14ac:dyDescent="0.35">
      <c r="A843">
        <f t="shared" si="43"/>
        <v>0</v>
      </c>
      <c r="B843">
        <f t="shared" si="41"/>
        <v>28</v>
      </c>
      <c r="C843" s="12" t="s">
        <v>131</v>
      </c>
      <c r="D843" s="18">
        <f>VLOOKUP(C843,'DISTRIBUIÇÃO NF4267'!$E$3:$FQ$75,MATCH(B843,'DISTRIBUIÇÃO NF4267'!$E$3:$FQ$3,0)+1,0)</f>
        <v>1</v>
      </c>
      <c r="F843" s="28">
        <f t="shared" si="42"/>
        <v>3</v>
      </c>
    </row>
    <row r="844" spans="1:6" x14ac:dyDescent="0.35">
      <c r="A844">
        <f t="shared" si="43"/>
        <v>0</v>
      </c>
      <c r="B844">
        <f t="shared" si="41"/>
        <v>28</v>
      </c>
      <c r="C844" s="12" t="s">
        <v>132</v>
      </c>
      <c r="D844" s="18">
        <f>VLOOKUP(C844,'DISTRIBUIÇÃO NF4267'!$E$3:$FQ$75,MATCH(B844,'DISTRIBUIÇÃO NF4267'!$E$3:$FQ$3,0)+1,0)</f>
        <v>4</v>
      </c>
      <c r="F844" s="28">
        <f t="shared" si="42"/>
        <v>3</v>
      </c>
    </row>
    <row r="845" spans="1:6" x14ac:dyDescent="0.35">
      <c r="A845">
        <f t="shared" si="43"/>
        <v>0</v>
      </c>
      <c r="B845">
        <f t="shared" si="41"/>
        <v>28</v>
      </c>
      <c r="C845" s="12" t="s">
        <v>133</v>
      </c>
      <c r="D845" s="18">
        <f>VLOOKUP(C845,'DISTRIBUIÇÃO NF4267'!$E$3:$FQ$75,MATCH(B845,'DISTRIBUIÇÃO NF4267'!$E$3:$FQ$3,0)+1,0)</f>
        <v>3</v>
      </c>
      <c r="F845" s="28">
        <f t="shared" si="42"/>
        <v>3</v>
      </c>
    </row>
    <row r="846" spans="1:6" x14ac:dyDescent="0.35">
      <c r="A846">
        <f t="shared" si="43"/>
        <v>0</v>
      </c>
      <c r="B846">
        <f t="shared" si="41"/>
        <v>28</v>
      </c>
      <c r="C846" s="12" t="s">
        <v>134</v>
      </c>
      <c r="D846" s="18">
        <f>VLOOKUP(C846,'DISTRIBUIÇÃO NF4267'!$E$3:$FQ$75,MATCH(B846,'DISTRIBUIÇÃO NF4267'!$E$3:$FQ$3,0)+1,0)</f>
        <v>2</v>
      </c>
      <c r="F846" s="28">
        <f t="shared" si="42"/>
        <v>3</v>
      </c>
    </row>
    <row r="847" spans="1:6" x14ac:dyDescent="0.35">
      <c r="A847">
        <f t="shared" si="43"/>
        <v>0</v>
      </c>
      <c r="B847">
        <f t="shared" si="41"/>
        <v>28</v>
      </c>
      <c r="C847" s="12" t="s">
        <v>135</v>
      </c>
      <c r="D847" s="18">
        <f>VLOOKUP(C847,'DISTRIBUIÇÃO NF4267'!$E$3:$FQ$75,MATCH(B847,'DISTRIBUIÇÃO NF4267'!$E$3:$FQ$3,0)+1,0)</f>
        <v>0</v>
      </c>
      <c r="F847" s="28">
        <f t="shared" si="42"/>
        <v>3</v>
      </c>
    </row>
    <row r="848" spans="1:6" x14ac:dyDescent="0.35">
      <c r="A848">
        <f t="shared" si="43"/>
        <v>0</v>
      </c>
      <c r="B848">
        <f t="shared" si="41"/>
        <v>28</v>
      </c>
      <c r="C848" s="13" t="s">
        <v>22</v>
      </c>
      <c r="D848" s="18">
        <f>VLOOKUP(C848,'DISTRIBUIÇÃO NF4267'!$E$3:$FQ$75,MATCH(B848,'DISTRIBUIÇÃO NF4267'!$E$3:$FQ$3,0)+1,0)</f>
        <v>0</v>
      </c>
      <c r="F848" s="28">
        <f t="shared" si="42"/>
        <v>3</v>
      </c>
    </row>
    <row r="849" spans="1:6" x14ac:dyDescent="0.35">
      <c r="A849">
        <f t="shared" si="43"/>
        <v>0</v>
      </c>
      <c r="B849">
        <f t="shared" si="41"/>
        <v>28</v>
      </c>
      <c r="C849" s="13" t="s">
        <v>23</v>
      </c>
      <c r="D849" s="18">
        <f>VLOOKUP(C849,'DISTRIBUIÇÃO NF4267'!$E$3:$FQ$75,MATCH(B849,'DISTRIBUIÇÃO NF4267'!$E$3:$FQ$3,0)+1,0)</f>
        <v>1</v>
      </c>
      <c r="F849" s="28">
        <f t="shared" si="42"/>
        <v>3</v>
      </c>
    </row>
    <row r="850" spans="1:6" x14ac:dyDescent="0.35">
      <c r="A850">
        <f t="shared" si="43"/>
        <v>0</v>
      </c>
      <c r="B850">
        <f t="shared" si="41"/>
        <v>28</v>
      </c>
      <c r="C850" s="13" t="s">
        <v>24</v>
      </c>
      <c r="D850" s="18">
        <f>VLOOKUP(C850,'DISTRIBUIÇÃO NF4267'!$E$3:$FQ$75,MATCH(B850,'DISTRIBUIÇÃO NF4267'!$E$3:$FQ$3,0)+1,0)</f>
        <v>6</v>
      </c>
      <c r="F850" s="28">
        <f t="shared" si="42"/>
        <v>3</v>
      </c>
    </row>
    <row r="851" spans="1:6" x14ac:dyDescent="0.35">
      <c r="A851">
        <f t="shared" si="43"/>
        <v>0</v>
      </c>
      <c r="B851">
        <f t="shared" si="41"/>
        <v>28</v>
      </c>
      <c r="C851" s="13" t="s">
        <v>25</v>
      </c>
      <c r="D851" s="18">
        <f>VLOOKUP(C851,'DISTRIBUIÇÃO NF4267'!$E$3:$FQ$75,MATCH(B851,'DISTRIBUIÇÃO NF4267'!$E$3:$FQ$3,0)+1,0)</f>
        <v>2</v>
      </c>
      <c r="F851" s="28">
        <f t="shared" si="42"/>
        <v>3</v>
      </c>
    </row>
    <row r="852" spans="1:6" x14ac:dyDescent="0.35">
      <c r="A852">
        <f t="shared" si="43"/>
        <v>0</v>
      </c>
      <c r="B852">
        <f t="shared" si="41"/>
        <v>28</v>
      </c>
      <c r="C852" s="13" t="s">
        <v>26</v>
      </c>
      <c r="D852" s="18">
        <f>VLOOKUP(C852,'DISTRIBUIÇÃO NF4267'!$E$3:$FQ$75,MATCH(B852,'DISTRIBUIÇÃO NF4267'!$E$3:$FQ$3,0)+1,0)</f>
        <v>1</v>
      </c>
      <c r="F852" s="28">
        <f t="shared" si="42"/>
        <v>3</v>
      </c>
    </row>
    <row r="853" spans="1:6" x14ac:dyDescent="0.35">
      <c r="A853">
        <f t="shared" si="43"/>
        <v>0</v>
      </c>
      <c r="B853">
        <f t="shared" si="41"/>
        <v>28</v>
      </c>
      <c r="C853" s="13" t="s">
        <v>27</v>
      </c>
      <c r="D853" s="18">
        <f>VLOOKUP(C853,'DISTRIBUIÇÃO NF4267'!$E$3:$FQ$75,MATCH(B853,'DISTRIBUIÇÃO NF4267'!$E$3:$FQ$3,0)+1,0)</f>
        <v>0</v>
      </c>
      <c r="F853" s="28">
        <f t="shared" si="42"/>
        <v>3</v>
      </c>
    </row>
    <row r="854" spans="1:6" x14ac:dyDescent="0.35">
      <c r="A854">
        <f t="shared" si="43"/>
        <v>0</v>
      </c>
      <c r="B854">
        <f t="shared" si="41"/>
        <v>28</v>
      </c>
      <c r="C854" s="14" t="s">
        <v>138</v>
      </c>
      <c r="D854" s="18">
        <f>VLOOKUP(C854,'DISTRIBUIÇÃO NF4267'!$E$3:$FQ$75,MATCH(B854,'DISTRIBUIÇÃO NF4267'!$E$3:$FQ$3,0)+1,0)</f>
        <v>0</v>
      </c>
      <c r="F854" s="28">
        <f t="shared" si="42"/>
        <v>3</v>
      </c>
    </row>
    <row r="855" spans="1:6" x14ac:dyDescent="0.35">
      <c r="A855">
        <f t="shared" si="43"/>
        <v>0</v>
      </c>
      <c r="B855">
        <f t="shared" si="41"/>
        <v>28</v>
      </c>
      <c r="C855" s="14" t="s">
        <v>139</v>
      </c>
      <c r="D855" s="18">
        <f>VLOOKUP(C855,'DISTRIBUIÇÃO NF4267'!$E$3:$FQ$75,MATCH(B855,'DISTRIBUIÇÃO NF4267'!$E$3:$FQ$3,0)+1,0)</f>
        <v>4</v>
      </c>
      <c r="F855" s="28">
        <f t="shared" si="42"/>
        <v>3</v>
      </c>
    </row>
    <row r="856" spans="1:6" x14ac:dyDescent="0.35">
      <c r="A856">
        <f t="shared" si="43"/>
        <v>0</v>
      </c>
      <c r="B856">
        <f t="shared" si="41"/>
        <v>28</v>
      </c>
      <c r="C856" s="14" t="s">
        <v>140</v>
      </c>
      <c r="D856" s="18">
        <f>VLOOKUP(C856,'DISTRIBUIÇÃO NF4267'!$E$3:$FQ$75,MATCH(B856,'DISTRIBUIÇÃO NF4267'!$E$3:$FQ$3,0)+1,0)</f>
        <v>8</v>
      </c>
      <c r="F856" s="28">
        <f t="shared" si="42"/>
        <v>3</v>
      </c>
    </row>
    <row r="857" spans="1:6" x14ac:dyDescent="0.35">
      <c r="A857">
        <f t="shared" si="43"/>
        <v>0</v>
      </c>
      <c r="B857">
        <f t="shared" si="41"/>
        <v>28</v>
      </c>
      <c r="C857" s="14" t="s">
        <v>141</v>
      </c>
      <c r="D857" s="18">
        <f>VLOOKUP(C857,'DISTRIBUIÇÃO NF4267'!$E$3:$FQ$75,MATCH(B857,'DISTRIBUIÇÃO NF4267'!$E$3:$FQ$3,0)+1,0)</f>
        <v>4</v>
      </c>
      <c r="F857" s="28">
        <f t="shared" si="42"/>
        <v>3</v>
      </c>
    </row>
    <row r="858" spans="1:6" x14ac:dyDescent="0.35">
      <c r="A858">
        <f t="shared" si="43"/>
        <v>0</v>
      </c>
      <c r="B858">
        <f t="shared" si="41"/>
        <v>28</v>
      </c>
      <c r="C858" s="14" t="s">
        <v>142</v>
      </c>
      <c r="D858" s="18">
        <f>VLOOKUP(C858,'DISTRIBUIÇÃO NF4267'!$E$3:$FQ$75,MATCH(B858,'DISTRIBUIÇÃO NF4267'!$E$3:$FQ$3,0)+1,0)</f>
        <v>4</v>
      </c>
      <c r="F858" s="28">
        <f t="shared" si="42"/>
        <v>3</v>
      </c>
    </row>
    <row r="859" spans="1:6" x14ac:dyDescent="0.35">
      <c r="A859">
        <f t="shared" si="43"/>
        <v>0</v>
      </c>
      <c r="B859">
        <f t="shared" si="41"/>
        <v>28</v>
      </c>
      <c r="C859" s="14" t="s">
        <v>143</v>
      </c>
      <c r="D859" s="18">
        <f>VLOOKUP(C859,'DISTRIBUIÇÃO NF4267'!$E$3:$FQ$75,MATCH(B859,'DISTRIBUIÇÃO NF4267'!$E$3:$FQ$3,0)+1,0)</f>
        <v>0</v>
      </c>
      <c r="F859" s="28">
        <f t="shared" si="42"/>
        <v>3</v>
      </c>
    </row>
    <row r="860" spans="1:6" x14ac:dyDescent="0.35">
      <c r="A860">
        <f t="shared" si="43"/>
        <v>0</v>
      </c>
      <c r="B860">
        <f t="shared" si="41"/>
        <v>28</v>
      </c>
      <c r="C860" s="15" t="s">
        <v>145</v>
      </c>
      <c r="D860" s="18">
        <f>VLOOKUP(C860,'DISTRIBUIÇÃO NF4267'!$E$3:$FQ$75,MATCH(B860,'DISTRIBUIÇÃO NF4267'!$E$3:$FQ$3,0)+1,0)</f>
        <v>0</v>
      </c>
      <c r="F860" s="28">
        <f t="shared" si="42"/>
        <v>3</v>
      </c>
    </row>
    <row r="861" spans="1:6" x14ac:dyDescent="0.35">
      <c r="A861">
        <f t="shared" si="43"/>
        <v>0</v>
      </c>
      <c r="B861">
        <f t="shared" si="41"/>
        <v>28</v>
      </c>
      <c r="C861" s="15" t="s">
        <v>146</v>
      </c>
      <c r="D861" s="18">
        <f>VLOOKUP(C861,'DISTRIBUIÇÃO NF4267'!$E$3:$FQ$75,MATCH(B861,'DISTRIBUIÇÃO NF4267'!$E$3:$FQ$3,0)+1,0)</f>
        <v>2</v>
      </c>
      <c r="F861" s="28">
        <f t="shared" si="42"/>
        <v>3</v>
      </c>
    </row>
    <row r="862" spans="1:6" x14ac:dyDescent="0.35">
      <c r="A862">
        <f t="shared" si="43"/>
        <v>0</v>
      </c>
      <c r="B862">
        <f t="shared" si="41"/>
        <v>28</v>
      </c>
      <c r="C862" s="15" t="s">
        <v>147</v>
      </c>
      <c r="D862" s="18">
        <f>VLOOKUP(C862,'DISTRIBUIÇÃO NF4267'!$E$3:$FQ$75,MATCH(B862,'DISTRIBUIÇÃO NF4267'!$E$3:$FQ$3,0)+1,0)</f>
        <v>4</v>
      </c>
      <c r="F862" s="28">
        <f t="shared" si="42"/>
        <v>3</v>
      </c>
    </row>
    <row r="863" spans="1:6" x14ac:dyDescent="0.35">
      <c r="A863">
        <f t="shared" si="43"/>
        <v>0</v>
      </c>
      <c r="B863">
        <f t="shared" si="41"/>
        <v>28</v>
      </c>
      <c r="C863" s="15" t="s">
        <v>148</v>
      </c>
      <c r="D863" s="18">
        <f>VLOOKUP(C863,'DISTRIBUIÇÃO NF4267'!$E$3:$FQ$75,MATCH(B863,'DISTRIBUIÇÃO NF4267'!$E$3:$FQ$3,0)+1,0)</f>
        <v>2</v>
      </c>
      <c r="F863" s="28">
        <f t="shared" si="42"/>
        <v>3</v>
      </c>
    </row>
    <row r="864" spans="1:6" x14ac:dyDescent="0.35">
      <c r="A864">
        <f t="shared" si="43"/>
        <v>0</v>
      </c>
      <c r="B864">
        <f t="shared" si="41"/>
        <v>28</v>
      </c>
      <c r="C864" s="15" t="s">
        <v>149</v>
      </c>
      <c r="D864" s="18">
        <f>VLOOKUP(C864,'DISTRIBUIÇÃO NF4267'!$E$3:$FQ$75,MATCH(B864,'DISTRIBUIÇÃO NF4267'!$E$3:$FQ$3,0)+1,0)</f>
        <v>2</v>
      </c>
      <c r="F864" s="28">
        <f t="shared" si="42"/>
        <v>3</v>
      </c>
    </row>
    <row r="865" spans="1:6" x14ac:dyDescent="0.35">
      <c r="A865">
        <f t="shared" si="43"/>
        <v>0</v>
      </c>
      <c r="B865">
        <f t="shared" si="41"/>
        <v>28</v>
      </c>
      <c r="C865" s="15" t="s">
        <v>150</v>
      </c>
      <c r="D865" s="18">
        <f>VLOOKUP(C865,'DISTRIBUIÇÃO NF4267'!$E$3:$FQ$75,MATCH(B865,'DISTRIBUIÇÃO NF4267'!$E$3:$FQ$3,0)+1,0)</f>
        <v>0</v>
      </c>
      <c r="F865" s="28">
        <f t="shared" si="42"/>
        <v>3</v>
      </c>
    </row>
    <row r="866" spans="1:6" x14ac:dyDescent="0.35">
      <c r="A866">
        <f t="shared" si="43"/>
        <v>0</v>
      </c>
      <c r="B866" t="s">
        <v>41</v>
      </c>
      <c r="C866" s="7" t="s">
        <v>98</v>
      </c>
      <c r="D866" s="18">
        <f>VLOOKUP(C866,'DISTRIBUIÇÃO NF4267'!$E$3:$FQ$75,MATCH(B866,'DISTRIBUIÇÃO NF4267'!$E$3:$FQ$3,0)+1,0)</f>
        <v>0</v>
      </c>
      <c r="F866" s="28">
        <f t="shared" si="42"/>
        <v>3</v>
      </c>
    </row>
    <row r="867" spans="1:6" x14ac:dyDescent="0.35">
      <c r="A867">
        <f t="shared" si="43"/>
        <v>0</v>
      </c>
      <c r="B867" t="str">
        <f>B866</f>
        <v>P4</v>
      </c>
      <c r="C867" s="7" t="s">
        <v>99</v>
      </c>
      <c r="D867" s="18">
        <f>VLOOKUP(C867,'DISTRIBUIÇÃO NF4267'!$E$3:$FQ$75,MATCH(B867,'DISTRIBUIÇÃO NF4267'!$E$3:$FQ$3,0)+1,0)</f>
        <v>4</v>
      </c>
      <c r="F867" s="28">
        <f t="shared" si="42"/>
        <v>3</v>
      </c>
    </row>
    <row r="868" spans="1:6" x14ac:dyDescent="0.35">
      <c r="A868">
        <f t="shared" si="43"/>
        <v>0</v>
      </c>
      <c r="B868" t="str">
        <f t="shared" ref="B868:B919" si="44">B867</f>
        <v>P4</v>
      </c>
      <c r="C868" s="7" t="s">
        <v>100</v>
      </c>
      <c r="D868" s="18">
        <f>VLOOKUP(C868,'DISTRIBUIÇÃO NF4267'!$E$3:$FQ$75,MATCH(B868,'DISTRIBUIÇÃO NF4267'!$E$3:$FQ$3,0)+1,0)</f>
        <v>8</v>
      </c>
      <c r="F868" s="28">
        <f t="shared" si="42"/>
        <v>3</v>
      </c>
    </row>
    <row r="869" spans="1:6" x14ac:dyDescent="0.35">
      <c r="A869">
        <f t="shared" si="43"/>
        <v>0</v>
      </c>
      <c r="B869" t="str">
        <f t="shared" si="44"/>
        <v>P4</v>
      </c>
      <c r="C869" s="7" t="s">
        <v>101</v>
      </c>
      <c r="D869" s="18">
        <f>VLOOKUP(C869,'DISTRIBUIÇÃO NF4267'!$E$3:$FQ$75,MATCH(B869,'DISTRIBUIÇÃO NF4267'!$E$3:$FQ$3,0)+1,0)</f>
        <v>4</v>
      </c>
      <c r="F869" s="28">
        <f t="shared" si="42"/>
        <v>3</v>
      </c>
    </row>
    <row r="870" spans="1:6" x14ac:dyDescent="0.35">
      <c r="A870">
        <f t="shared" si="43"/>
        <v>0</v>
      </c>
      <c r="B870" t="str">
        <f t="shared" si="44"/>
        <v>P4</v>
      </c>
      <c r="C870" s="7" t="s">
        <v>102</v>
      </c>
      <c r="D870" s="18">
        <f>VLOOKUP(C870,'DISTRIBUIÇÃO NF4267'!$E$3:$FQ$75,MATCH(B870,'DISTRIBUIÇÃO NF4267'!$E$3:$FQ$3,0)+1,0)</f>
        <v>4</v>
      </c>
      <c r="F870" s="28">
        <f t="shared" si="42"/>
        <v>3</v>
      </c>
    </row>
    <row r="871" spans="1:6" x14ac:dyDescent="0.35">
      <c r="A871">
        <f t="shared" si="43"/>
        <v>0</v>
      </c>
      <c r="B871" t="str">
        <f t="shared" si="44"/>
        <v>P4</v>
      </c>
      <c r="C871" s="7" t="s">
        <v>103</v>
      </c>
      <c r="D871" s="18">
        <f>VLOOKUP(C871,'DISTRIBUIÇÃO NF4267'!$E$3:$FQ$75,MATCH(B871,'DISTRIBUIÇÃO NF4267'!$E$3:$FQ$3,0)+1,0)</f>
        <v>0</v>
      </c>
      <c r="F871" s="28">
        <f t="shared" si="42"/>
        <v>3</v>
      </c>
    </row>
    <row r="872" spans="1:6" x14ac:dyDescent="0.35">
      <c r="A872">
        <f t="shared" si="43"/>
        <v>0</v>
      </c>
      <c r="B872" t="str">
        <f t="shared" si="44"/>
        <v>P4</v>
      </c>
      <c r="C872" s="8" t="s">
        <v>107</v>
      </c>
      <c r="D872" s="18">
        <f>VLOOKUP(C872,'DISTRIBUIÇÃO NF4267'!$E$3:$FQ$75,MATCH(B872,'DISTRIBUIÇÃO NF4267'!$E$3:$FQ$3,0)+1,0)</f>
        <v>0</v>
      </c>
      <c r="F872" s="28">
        <f t="shared" si="42"/>
        <v>3</v>
      </c>
    </row>
    <row r="873" spans="1:6" x14ac:dyDescent="0.35">
      <c r="A873">
        <f t="shared" si="43"/>
        <v>0</v>
      </c>
      <c r="B873" t="str">
        <f t="shared" si="44"/>
        <v>P4</v>
      </c>
      <c r="C873" s="8" t="s">
        <v>108</v>
      </c>
      <c r="D873" s="18">
        <f>VLOOKUP(C873,'DISTRIBUIÇÃO NF4267'!$E$3:$FQ$75,MATCH(B873,'DISTRIBUIÇÃO NF4267'!$E$3:$FQ$3,0)+1,0)</f>
        <v>2</v>
      </c>
      <c r="F873" s="28">
        <f t="shared" si="42"/>
        <v>3</v>
      </c>
    </row>
    <row r="874" spans="1:6" x14ac:dyDescent="0.35">
      <c r="A874">
        <f t="shared" si="43"/>
        <v>0</v>
      </c>
      <c r="B874" t="str">
        <f t="shared" si="44"/>
        <v>P4</v>
      </c>
      <c r="C874" s="8" t="s">
        <v>109</v>
      </c>
      <c r="D874" s="18">
        <f>VLOOKUP(C874,'DISTRIBUIÇÃO NF4267'!$E$3:$FQ$75,MATCH(B874,'DISTRIBUIÇÃO NF4267'!$E$3:$FQ$3,0)+1,0)</f>
        <v>4</v>
      </c>
      <c r="F874" s="28">
        <f t="shared" si="42"/>
        <v>3</v>
      </c>
    </row>
    <row r="875" spans="1:6" x14ac:dyDescent="0.35">
      <c r="A875">
        <f t="shared" si="43"/>
        <v>0</v>
      </c>
      <c r="B875" t="str">
        <f t="shared" si="44"/>
        <v>P4</v>
      </c>
      <c r="C875" s="8" t="s">
        <v>110</v>
      </c>
      <c r="D875" s="18">
        <f>VLOOKUP(C875,'DISTRIBUIÇÃO NF4267'!$E$3:$FQ$75,MATCH(B875,'DISTRIBUIÇÃO NF4267'!$E$3:$FQ$3,0)+1,0)</f>
        <v>2</v>
      </c>
      <c r="F875" s="28">
        <f t="shared" si="42"/>
        <v>3</v>
      </c>
    </row>
    <row r="876" spans="1:6" x14ac:dyDescent="0.35">
      <c r="A876">
        <f t="shared" si="43"/>
        <v>0</v>
      </c>
      <c r="B876" t="str">
        <f t="shared" si="44"/>
        <v>P4</v>
      </c>
      <c r="C876" s="8" t="s">
        <v>111</v>
      </c>
      <c r="D876" s="18">
        <f>VLOOKUP(C876,'DISTRIBUIÇÃO NF4267'!$E$3:$FQ$75,MATCH(B876,'DISTRIBUIÇÃO NF4267'!$E$3:$FQ$3,0)+1,0)</f>
        <v>2</v>
      </c>
      <c r="F876" s="28">
        <f t="shared" si="42"/>
        <v>3</v>
      </c>
    </row>
    <row r="877" spans="1:6" x14ac:dyDescent="0.35">
      <c r="A877">
        <f t="shared" si="43"/>
        <v>0</v>
      </c>
      <c r="B877" t="str">
        <f t="shared" si="44"/>
        <v>P4</v>
      </c>
      <c r="C877" s="8" t="s">
        <v>112</v>
      </c>
      <c r="D877" s="18">
        <f>VLOOKUP(C877,'DISTRIBUIÇÃO NF4267'!$E$3:$FQ$75,MATCH(B877,'DISTRIBUIÇÃO NF4267'!$E$3:$FQ$3,0)+1,0)</f>
        <v>0</v>
      </c>
      <c r="F877" s="28">
        <f t="shared" si="42"/>
        <v>3</v>
      </c>
    </row>
    <row r="878" spans="1:6" x14ac:dyDescent="0.35">
      <c r="A878">
        <f t="shared" si="43"/>
        <v>0</v>
      </c>
      <c r="B878" t="str">
        <f t="shared" si="44"/>
        <v>P4</v>
      </c>
      <c r="C878" s="9" t="s">
        <v>113</v>
      </c>
      <c r="D878" s="18">
        <f>VLOOKUP(C878,'DISTRIBUIÇÃO NF4267'!$E$3:$FQ$75,MATCH(B878,'DISTRIBUIÇÃO NF4267'!$E$3:$FQ$3,0)+1,0)</f>
        <v>0</v>
      </c>
      <c r="F878" s="28">
        <f t="shared" si="42"/>
        <v>3</v>
      </c>
    </row>
    <row r="879" spans="1:6" x14ac:dyDescent="0.35">
      <c r="A879">
        <f t="shared" si="43"/>
        <v>0</v>
      </c>
      <c r="B879" t="str">
        <f t="shared" si="44"/>
        <v>P4</v>
      </c>
      <c r="C879" s="9" t="s">
        <v>114</v>
      </c>
      <c r="D879" s="18">
        <f>VLOOKUP(C879,'DISTRIBUIÇÃO NF4267'!$E$3:$FQ$75,MATCH(B879,'DISTRIBUIÇÃO NF4267'!$E$3:$FQ$3,0)+1,0)</f>
        <v>6</v>
      </c>
      <c r="F879" s="28">
        <f t="shared" si="42"/>
        <v>3</v>
      </c>
    </row>
    <row r="880" spans="1:6" x14ac:dyDescent="0.35">
      <c r="A880">
        <f t="shared" si="43"/>
        <v>0</v>
      </c>
      <c r="B880" t="str">
        <f t="shared" si="44"/>
        <v>P4</v>
      </c>
      <c r="C880" s="9" t="s">
        <v>115</v>
      </c>
      <c r="D880" s="18">
        <f>VLOOKUP(C880,'DISTRIBUIÇÃO NF4267'!$E$3:$FQ$75,MATCH(B880,'DISTRIBUIÇÃO NF4267'!$E$3:$FQ$3,0)+1,0)</f>
        <v>8</v>
      </c>
      <c r="F880" s="28">
        <f t="shared" si="42"/>
        <v>3</v>
      </c>
    </row>
    <row r="881" spans="1:6" x14ac:dyDescent="0.35">
      <c r="A881">
        <f t="shared" si="43"/>
        <v>0</v>
      </c>
      <c r="B881" t="str">
        <f t="shared" si="44"/>
        <v>P4</v>
      </c>
      <c r="C881" s="9" t="s">
        <v>116</v>
      </c>
      <c r="D881" s="18">
        <f>VLOOKUP(C881,'DISTRIBUIÇÃO NF4267'!$E$3:$FQ$75,MATCH(B881,'DISTRIBUIÇÃO NF4267'!$E$3:$FQ$3,0)+1,0)</f>
        <v>4</v>
      </c>
      <c r="F881" s="28">
        <f t="shared" si="42"/>
        <v>3</v>
      </c>
    </row>
    <row r="882" spans="1:6" x14ac:dyDescent="0.35">
      <c r="A882">
        <f t="shared" si="43"/>
        <v>0</v>
      </c>
      <c r="B882" t="str">
        <f t="shared" si="44"/>
        <v>P4</v>
      </c>
      <c r="C882" s="9" t="s">
        <v>117</v>
      </c>
      <c r="D882" s="18">
        <f>VLOOKUP(C882,'DISTRIBUIÇÃO NF4267'!$E$3:$FQ$75,MATCH(B882,'DISTRIBUIÇÃO NF4267'!$E$3:$FQ$3,0)+1,0)</f>
        <v>2</v>
      </c>
      <c r="F882" s="28">
        <f t="shared" si="42"/>
        <v>3</v>
      </c>
    </row>
    <row r="883" spans="1:6" x14ac:dyDescent="0.35">
      <c r="A883">
        <f t="shared" si="43"/>
        <v>0</v>
      </c>
      <c r="B883" t="str">
        <f t="shared" si="44"/>
        <v>P4</v>
      </c>
      <c r="C883" s="9" t="s">
        <v>118</v>
      </c>
      <c r="D883" s="18">
        <f>VLOOKUP(C883,'DISTRIBUIÇÃO NF4267'!$E$3:$FQ$75,MATCH(B883,'DISTRIBUIÇÃO NF4267'!$E$3:$FQ$3,0)+1,0)</f>
        <v>0</v>
      </c>
      <c r="F883" s="28">
        <f t="shared" si="42"/>
        <v>3</v>
      </c>
    </row>
    <row r="884" spans="1:6" x14ac:dyDescent="0.35">
      <c r="A884">
        <f t="shared" si="43"/>
        <v>0</v>
      </c>
      <c r="B884" t="str">
        <f t="shared" si="44"/>
        <v>P4</v>
      </c>
      <c r="C884" s="10" t="s">
        <v>119</v>
      </c>
      <c r="D884" s="18">
        <f>VLOOKUP(C884,'DISTRIBUIÇÃO NF4267'!$E$3:$FQ$75,MATCH(B884,'DISTRIBUIÇÃO NF4267'!$E$3:$FQ$3,0)+1,0)</f>
        <v>0</v>
      </c>
      <c r="F884" s="28">
        <f t="shared" si="42"/>
        <v>3</v>
      </c>
    </row>
    <row r="885" spans="1:6" x14ac:dyDescent="0.35">
      <c r="A885">
        <f t="shared" si="43"/>
        <v>0</v>
      </c>
      <c r="B885" t="str">
        <f t="shared" si="44"/>
        <v>P4</v>
      </c>
      <c r="C885" s="10" t="s">
        <v>120</v>
      </c>
      <c r="D885" s="18">
        <f>VLOOKUP(C885,'DISTRIBUIÇÃO NF4267'!$E$3:$FQ$75,MATCH(B885,'DISTRIBUIÇÃO NF4267'!$E$3:$FQ$3,0)+1,0)</f>
        <v>48</v>
      </c>
      <c r="F885" s="28">
        <f t="shared" si="42"/>
        <v>3</v>
      </c>
    </row>
    <row r="886" spans="1:6" x14ac:dyDescent="0.35">
      <c r="A886">
        <f t="shared" si="43"/>
        <v>0</v>
      </c>
      <c r="B886" t="str">
        <f t="shared" si="44"/>
        <v>P4</v>
      </c>
      <c r="C886" s="10" t="s">
        <v>121</v>
      </c>
      <c r="D886" s="18">
        <f>VLOOKUP(C886,'DISTRIBUIÇÃO NF4267'!$E$3:$FQ$75,MATCH(B886,'DISTRIBUIÇÃO NF4267'!$E$3:$FQ$3,0)+1,0)</f>
        <v>16</v>
      </c>
      <c r="F886" s="28">
        <f t="shared" si="42"/>
        <v>3</v>
      </c>
    </row>
    <row r="887" spans="1:6" x14ac:dyDescent="0.35">
      <c r="A887">
        <f t="shared" si="43"/>
        <v>0</v>
      </c>
      <c r="B887" t="str">
        <f t="shared" si="44"/>
        <v>P4</v>
      </c>
      <c r="C887" s="10" t="s">
        <v>122</v>
      </c>
      <c r="D887" s="18">
        <f>VLOOKUP(C887,'DISTRIBUIÇÃO NF4267'!$E$3:$FQ$75,MATCH(B887,'DISTRIBUIÇÃO NF4267'!$E$3:$FQ$3,0)+1,0)</f>
        <v>16</v>
      </c>
      <c r="F887" s="28">
        <f t="shared" si="42"/>
        <v>3</v>
      </c>
    </row>
    <row r="888" spans="1:6" x14ac:dyDescent="0.35">
      <c r="A888">
        <f t="shared" si="43"/>
        <v>0</v>
      </c>
      <c r="B888" t="str">
        <f t="shared" si="44"/>
        <v>P4</v>
      </c>
      <c r="C888" s="10" t="s">
        <v>123</v>
      </c>
      <c r="D888" s="18">
        <f>VLOOKUP(C888,'DISTRIBUIÇÃO NF4267'!$E$3:$FQ$75,MATCH(B888,'DISTRIBUIÇÃO NF4267'!$E$3:$FQ$3,0)+1,0)</f>
        <v>0</v>
      </c>
      <c r="F888" s="28">
        <f t="shared" ref="F888:F951" si="45">ROUNDUP(SUMIFS(D:D,B:B,B888)/80,0)</f>
        <v>3</v>
      </c>
    </row>
    <row r="889" spans="1:6" x14ac:dyDescent="0.35">
      <c r="A889">
        <f t="shared" si="43"/>
        <v>0</v>
      </c>
      <c r="B889" t="str">
        <f t="shared" si="44"/>
        <v>P4</v>
      </c>
      <c r="C889" s="10" t="s">
        <v>124</v>
      </c>
      <c r="D889" s="18">
        <f>VLOOKUP(C889,'DISTRIBUIÇÃO NF4267'!$E$3:$FQ$75,MATCH(B889,'DISTRIBUIÇÃO NF4267'!$E$3:$FQ$3,0)+1,0)</f>
        <v>0</v>
      </c>
      <c r="F889" s="28">
        <f t="shared" si="45"/>
        <v>3</v>
      </c>
    </row>
    <row r="890" spans="1:6" x14ac:dyDescent="0.35">
      <c r="A890">
        <f t="shared" si="43"/>
        <v>0</v>
      </c>
      <c r="B890" t="str">
        <f t="shared" si="44"/>
        <v>P4</v>
      </c>
      <c r="C890" s="11" t="s">
        <v>16</v>
      </c>
      <c r="D890" s="18">
        <f>VLOOKUP(C890,'DISTRIBUIÇÃO NF4267'!$E$3:$FQ$75,MATCH(B890,'DISTRIBUIÇÃO NF4267'!$E$3:$FQ$3,0)+1,0)</f>
        <v>0</v>
      </c>
      <c r="F890" s="28">
        <f t="shared" si="45"/>
        <v>3</v>
      </c>
    </row>
    <row r="891" spans="1:6" x14ac:dyDescent="0.35">
      <c r="A891">
        <f t="shared" si="43"/>
        <v>0</v>
      </c>
      <c r="B891" t="str">
        <f t="shared" si="44"/>
        <v>P4</v>
      </c>
      <c r="C891" s="11" t="s">
        <v>17</v>
      </c>
      <c r="D891" s="18">
        <f>VLOOKUP(C891,'DISTRIBUIÇÃO NF4267'!$E$3:$FQ$75,MATCH(B891,'DISTRIBUIÇÃO NF4267'!$E$3:$FQ$3,0)+1,0)</f>
        <v>12</v>
      </c>
      <c r="F891" s="28">
        <f t="shared" si="45"/>
        <v>3</v>
      </c>
    </row>
    <row r="892" spans="1:6" x14ac:dyDescent="0.35">
      <c r="A892">
        <f t="shared" si="43"/>
        <v>0</v>
      </c>
      <c r="B892" t="str">
        <f t="shared" si="44"/>
        <v>P4</v>
      </c>
      <c r="C892" s="11" t="s">
        <v>18</v>
      </c>
      <c r="D892" s="18">
        <f>VLOOKUP(C892,'DISTRIBUIÇÃO NF4267'!$E$3:$FQ$75,MATCH(B892,'DISTRIBUIÇÃO NF4267'!$E$3:$FQ$3,0)+1,0)</f>
        <v>4</v>
      </c>
      <c r="F892" s="28">
        <f t="shared" si="45"/>
        <v>3</v>
      </c>
    </row>
    <row r="893" spans="1:6" x14ac:dyDescent="0.35">
      <c r="A893">
        <f t="shared" si="43"/>
        <v>0</v>
      </c>
      <c r="B893" t="str">
        <f t="shared" si="44"/>
        <v>P4</v>
      </c>
      <c r="C893" s="11" t="s">
        <v>19</v>
      </c>
      <c r="D893" s="18">
        <f>VLOOKUP(C893,'DISTRIBUIÇÃO NF4267'!$E$3:$FQ$75,MATCH(B893,'DISTRIBUIÇÃO NF4267'!$E$3:$FQ$3,0)+1,0)</f>
        <v>4</v>
      </c>
      <c r="F893" s="28">
        <f t="shared" si="45"/>
        <v>3</v>
      </c>
    </row>
    <row r="894" spans="1:6" x14ac:dyDescent="0.35">
      <c r="A894">
        <f t="shared" si="43"/>
        <v>0</v>
      </c>
      <c r="B894" t="str">
        <f t="shared" si="44"/>
        <v>P4</v>
      </c>
      <c r="C894" s="11" t="s">
        <v>20</v>
      </c>
      <c r="D894" s="18">
        <f>VLOOKUP(C894,'DISTRIBUIÇÃO NF4267'!$E$3:$FQ$75,MATCH(B894,'DISTRIBUIÇÃO NF4267'!$E$3:$FQ$3,0)+1,0)</f>
        <v>20</v>
      </c>
      <c r="F894" s="28">
        <f t="shared" si="45"/>
        <v>3</v>
      </c>
    </row>
    <row r="895" spans="1:6" x14ac:dyDescent="0.35">
      <c r="A895">
        <f t="shared" si="43"/>
        <v>0</v>
      </c>
      <c r="B895" t="str">
        <f t="shared" si="44"/>
        <v>P4</v>
      </c>
      <c r="C895" s="11" t="s">
        <v>21</v>
      </c>
      <c r="D895" s="18">
        <f>VLOOKUP(C895,'DISTRIBUIÇÃO NF4267'!$E$3:$FQ$75,MATCH(B895,'DISTRIBUIÇÃO NF4267'!$E$3:$FQ$3,0)+1,0)</f>
        <v>0</v>
      </c>
      <c r="F895" s="28">
        <f t="shared" si="45"/>
        <v>3</v>
      </c>
    </row>
    <row r="896" spans="1:6" x14ac:dyDescent="0.35">
      <c r="A896">
        <f t="shared" si="43"/>
        <v>0</v>
      </c>
      <c r="B896" t="str">
        <f t="shared" si="44"/>
        <v>P4</v>
      </c>
      <c r="C896" s="12" t="s">
        <v>130</v>
      </c>
      <c r="D896" s="18">
        <f>VLOOKUP(C896,'DISTRIBUIÇÃO NF4267'!$E$3:$FQ$75,MATCH(B896,'DISTRIBUIÇÃO NF4267'!$E$3:$FQ$3,0)+1,0)</f>
        <v>0</v>
      </c>
      <c r="F896" s="28">
        <f t="shared" si="45"/>
        <v>3</v>
      </c>
    </row>
    <row r="897" spans="1:6" x14ac:dyDescent="0.35">
      <c r="A897">
        <f t="shared" si="43"/>
        <v>0</v>
      </c>
      <c r="B897" t="str">
        <f t="shared" si="44"/>
        <v>P4</v>
      </c>
      <c r="C897" s="12" t="s">
        <v>131</v>
      </c>
      <c r="D897" s="18">
        <f>VLOOKUP(C897,'DISTRIBUIÇÃO NF4267'!$E$3:$FQ$75,MATCH(B897,'DISTRIBUIÇÃO NF4267'!$E$3:$FQ$3,0)+1,0)</f>
        <v>1</v>
      </c>
      <c r="F897" s="28">
        <f t="shared" si="45"/>
        <v>3</v>
      </c>
    </row>
    <row r="898" spans="1:6" x14ac:dyDescent="0.35">
      <c r="A898">
        <f t="shared" ref="A898:A961" si="46">IF(ISERROR(VLOOKUP(C898,I:I,1,0)),0,1)</f>
        <v>0</v>
      </c>
      <c r="B898" t="str">
        <f t="shared" si="44"/>
        <v>P4</v>
      </c>
      <c r="C898" s="12" t="s">
        <v>132</v>
      </c>
      <c r="D898" s="18">
        <f>VLOOKUP(C898,'DISTRIBUIÇÃO NF4267'!$E$3:$FQ$75,MATCH(B898,'DISTRIBUIÇÃO NF4267'!$E$3:$FQ$3,0)+1,0)</f>
        <v>4</v>
      </c>
      <c r="F898" s="28">
        <f t="shared" si="45"/>
        <v>3</v>
      </c>
    </row>
    <row r="899" spans="1:6" x14ac:dyDescent="0.35">
      <c r="A899">
        <f t="shared" si="46"/>
        <v>0</v>
      </c>
      <c r="B899" t="str">
        <f t="shared" si="44"/>
        <v>P4</v>
      </c>
      <c r="C899" s="12" t="s">
        <v>133</v>
      </c>
      <c r="D899" s="18">
        <f>VLOOKUP(C899,'DISTRIBUIÇÃO NF4267'!$E$3:$FQ$75,MATCH(B899,'DISTRIBUIÇÃO NF4267'!$E$3:$FQ$3,0)+1,0)</f>
        <v>3</v>
      </c>
      <c r="F899" s="28">
        <f t="shared" si="45"/>
        <v>3</v>
      </c>
    </row>
    <row r="900" spans="1:6" x14ac:dyDescent="0.35">
      <c r="A900">
        <f t="shared" si="46"/>
        <v>0</v>
      </c>
      <c r="B900" t="str">
        <f t="shared" si="44"/>
        <v>P4</v>
      </c>
      <c r="C900" s="12" t="s">
        <v>134</v>
      </c>
      <c r="D900" s="18">
        <f>VLOOKUP(C900,'DISTRIBUIÇÃO NF4267'!$E$3:$FQ$75,MATCH(B900,'DISTRIBUIÇÃO NF4267'!$E$3:$FQ$3,0)+1,0)</f>
        <v>2</v>
      </c>
      <c r="F900" s="28">
        <f t="shared" si="45"/>
        <v>3</v>
      </c>
    </row>
    <row r="901" spans="1:6" x14ac:dyDescent="0.35">
      <c r="A901">
        <f t="shared" si="46"/>
        <v>0</v>
      </c>
      <c r="B901" t="str">
        <f t="shared" si="44"/>
        <v>P4</v>
      </c>
      <c r="C901" s="12" t="s">
        <v>135</v>
      </c>
      <c r="D901" s="18">
        <f>VLOOKUP(C901,'DISTRIBUIÇÃO NF4267'!$E$3:$FQ$75,MATCH(B901,'DISTRIBUIÇÃO NF4267'!$E$3:$FQ$3,0)+1,0)</f>
        <v>0</v>
      </c>
      <c r="F901" s="28">
        <f t="shared" si="45"/>
        <v>3</v>
      </c>
    </row>
    <row r="902" spans="1:6" x14ac:dyDescent="0.35">
      <c r="A902">
        <f t="shared" si="46"/>
        <v>0</v>
      </c>
      <c r="B902" t="str">
        <f t="shared" si="44"/>
        <v>P4</v>
      </c>
      <c r="C902" s="13" t="s">
        <v>22</v>
      </c>
      <c r="D902" s="18">
        <f>VLOOKUP(C902,'DISTRIBUIÇÃO NF4267'!$E$3:$FQ$75,MATCH(B902,'DISTRIBUIÇÃO NF4267'!$E$3:$FQ$3,0)+1,0)</f>
        <v>0</v>
      </c>
      <c r="F902" s="28">
        <f t="shared" si="45"/>
        <v>3</v>
      </c>
    </row>
    <row r="903" spans="1:6" x14ac:dyDescent="0.35">
      <c r="A903">
        <f t="shared" si="46"/>
        <v>0</v>
      </c>
      <c r="B903" t="str">
        <f t="shared" si="44"/>
        <v>P4</v>
      </c>
      <c r="C903" s="13" t="s">
        <v>23</v>
      </c>
      <c r="D903" s="18">
        <f>VLOOKUP(C903,'DISTRIBUIÇÃO NF4267'!$E$3:$FQ$75,MATCH(B903,'DISTRIBUIÇÃO NF4267'!$E$3:$FQ$3,0)+1,0)</f>
        <v>1</v>
      </c>
      <c r="F903" s="28">
        <f t="shared" si="45"/>
        <v>3</v>
      </c>
    </row>
    <row r="904" spans="1:6" x14ac:dyDescent="0.35">
      <c r="A904">
        <f t="shared" si="46"/>
        <v>0</v>
      </c>
      <c r="B904" t="str">
        <f t="shared" si="44"/>
        <v>P4</v>
      </c>
      <c r="C904" s="13" t="s">
        <v>24</v>
      </c>
      <c r="D904" s="18">
        <f>VLOOKUP(C904,'DISTRIBUIÇÃO NF4267'!$E$3:$FQ$75,MATCH(B904,'DISTRIBUIÇÃO NF4267'!$E$3:$FQ$3,0)+1,0)</f>
        <v>6</v>
      </c>
      <c r="F904" s="28">
        <f t="shared" si="45"/>
        <v>3</v>
      </c>
    </row>
    <row r="905" spans="1:6" x14ac:dyDescent="0.35">
      <c r="A905">
        <f t="shared" si="46"/>
        <v>0</v>
      </c>
      <c r="B905" t="str">
        <f t="shared" si="44"/>
        <v>P4</v>
      </c>
      <c r="C905" s="13" t="s">
        <v>25</v>
      </c>
      <c r="D905" s="18">
        <f>VLOOKUP(C905,'DISTRIBUIÇÃO NF4267'!$E$3:$FQ$75,MATCH(B905,'DISTRIBUIÇÃO NF4267'!$E$3:$FQ$3,0)+1,0)</f>
        <v>2</v>
      </c>
      <c r="F905" s="28">
        <f t="shared" si="45"/>
        <v>3</v>
      </c>
    </row>
    <row r="906" spans="1:6" x14ac:dyDescent="0.35">
      <c r="A906">
        <f t="shared" si="46"/>
        <v>0</v>
      </c>
      <c r="B906" t="str">
        <f t="shared" si="44"/>
        <v>P4</v>
      </c>
      <c r="C906" s="13" t="s">
        <v>26</v>
      </c>
      <c r="D906" s="18">
        <f>VLOOKUP(C906,'DISTRIBUIÇÃO NF4267'!$E$3:$FQ$75,MATCH(B906,'DISTRIBUIÇÃO NF4267'!$E$3:$FQ$3,0)+1,0)</f>
        <v>1</v>
      </c>
      <c r="F906" s="28">
        <f t="shared" si="45"/>
        <v>3</v>
      </c>
    </row>
    <row r="907" spans="1:6" x14ac:dyDescent="0.35">
      <c r="A907">
        <f t="shared" si="46"/>
        <v>0</v>
      </c>
      <c r="B907" t="str">
        <f t="shared" si="44"/>
        <v>P4</v>
      </c>
      <c r="C907" s="13" t="s">
        <v>27</v>
      </c>
      <c r="D907" s="18">
        <f>VLOOKUP(C907,'DISTRIBUIÇÃO NF4267'!$E$3:$FQ$75,MATCH(B907,'DISTRIBUIÇÃO NF4267'!$E$3:$FQ$3,0)+1,0)</f>
        <v>0</v>
      </c>
      <c r="F907" s="28">
        <f t="shared" si="45"/>
        <v>3</v>
      </c>
    </row>
    <row r="908" spans="1:6" x14ac:dyDescent="0.35">
      <c r="A908">
        <f t="shared" si="46"/>
        <v>0</v>
      </c>
      <c r="B908" t="str">
        <f t="shared" si="44"/>
        <v>P4</v>
      </c>
      <c r="C908" s="14" t="s">
        <v>138</v>
      </c>
      <c r="D908" s="18">
        <f>VLOOKUP(C908,'DISTRIBUIÇÃO NF4267'!$E$3:$FQ$75,MATCH(B908,'DISTRIBUIÇÃO NF4267'!$E$3:$FQ$3,0)+1,0)</f>
        <v>0</v>
      </c>
      <c r="F908" s="28">
        <f t="shared" si="45"/>
        <v>3</v>
      </c>
    </row>
    <row r="909" spans="1:6" x14ac:dyDescent="0.35">
      <c r="A909">
        <f t="shared" si="46"/>
        <v>0</v>
      </c>
      <c r="B909" t="str">
        <f t="shared" si="44"/>
        <v>P4</v>
      </c>
      <c r="C909" s="14" t="s">
        <v>139</v>
      </c>
      <c r="D909" s="18">
        <f>VLOOKUP(C909,'DISTRIBUIÇÃO NF4267'!$E$3:$FQ$75,MATCH(B909,'DISTRIBUIÇÃO NF4267'!$E$3:$FQ$3,0)+1,0)</f>
        <v>4</v>
      </c>
      <c r="F909" s="28">
        <f t="shared" si="45"/>
        <v>3</v>
      </c>
    </row>
    <row r="910" spans="1:6" x14ac:dyDescent="0.35">
      <c r="A910">
        <f t="shared" si="46"/>
        <v>0</v>
      </c>
      <c r="B910" t="str">
        <f t="shared" si="44"/>
        <v>P4</v>
      </c>
      <c r="C910" s="14" t="s">
        <v>140</v>
      </c>
      <c r="D910" s="18">
        <f>VLOOKUP(C910,'DISTRIBUIÇÃO NF4267'!$E$3:$FQ$75,MATCH(B910,'DISTRIBUIÇÃO NF4267'!$E$3:$FQ$3,0)+1,0)</f>
        <v>8</v>
      </c>
      <c r="F910" s="28">
        <f t="shared" si="45"/>
        <v>3</v>
      </c>
    </row>
    <row r="911" spans="1:6" x14ac:dyDescent="0.35">
      <c r="A911">
        <f t="shared" si="46"/>
        <v>0</v>
      </c>
      <c r="B911" t="str">
        <f t="shared" si="44"/>
        <v>P4</v>
      </c>
      <c r="C911" s="14" t="s">
        <v>141</v>
      </c>
      <c r="D911" s="18">
        <f>VLOOKUP(C911,'DISTRIBUIÇÃO NF4267'!$E$3:$FQ$75,MATCH(B911,'DISTRIBUIÇÃO NF4267'!$E$3:$FQ$3,0)+1,0)</f>
        <v>4</v>
      </c>
      <c r="F911" s="28">
        <f t="shared" si="45"/>
        <v>3</v>
      </c>
    </row>
    <row r="912" spans="1:6" x14ac:dyDescent="0.35">
      <c r="A912">
        <f t="shared" si="46"/>
        <v>0</v>
      </c>
      <c r="B912" t="str">
        <f t="shared" si="44"/>
        <v>P4</v>
      </c>
      <c r="C912" s="14" t="s">
        <v>142</v>
      </c>
      <c r="D912" s="18">
        <f>VLOOKUP(C912,'DISTRIBUIÇÃO NF4267'!$E$3:$FQ$75,MATCH(B912,'DISTRIBUIÇÃO NF4267'!$E$3:$FQ$3,0)+1,0)</f>
        <v>4</v>
      </c>
      <c r="F912" s="28">
        <f t="shared" si="45"/>
        <v>3</v>
      </c>
    </row>
    <row r="913" spans="1:6" x14ac:dyDescent="0.35">
      <c r="A913">
        <f t="shared" si="46"/>
        <v>0</v>
      </c>
      <c r="B913" t="str">
        <f t="shared" si="44"/>
        <v>P4</v>
      </c>
      <c r="C913" s="14" t="s">
        <v>143</v>
      </c>
      <c r="D913" s="18">
        <f>VLOOKUP(C913,'DISTRIBUIÇÃO NF4267'!$E$3:$FQ$75,MATCH(B913,'DISTRIBUIÇÃO NF4267'!$E$3:$FQ$3,0)+1,0)</f>
        <v>0</v>
      </c>
      <c r="F913" s="28">
        <f t="shared" si="45"/>
        <v>3</v>
      </c>
    </row>
    <row r="914" spans="1:6" x14ac:dyDescent="0.35">
      <c r="A914">
        <f t="shared" si="46"/>
        <v>0</v>
      </c>
      <c r="B914" t="str">
        <f t="shared" si="44"/>
        <v>P4</v>
      </c>
      <c r="C914" s="15" t="s">
        <v>145</v>
      </c>
      <c r="D914" s="18">
        <f>VLOOKUP(C914,'DISTRIBUIÇÃO NF4267'!$E$3:$FQ$75,MATCH(B914,'DISTRIBUIÇÃO NF4267'!$E$3:$FQ$3,0)+1,0)</f>
        <v>0</v>
      </c>
      <c r="F914" s="28">
        <f t="shared" si="45"/>
        <v>3</v>
      </c>
    </row>
    <row r="915" spans="1:6" x14ac:dyDescent="0.35">
      <c r="A915">
        <f t="shared" si="46"/>
        <v>0</v>
      </c>
      <c r="B915" t="str">
        <f t="shared" si="44"/>
        <v>P4</v>
      </c>
      <c r="C915" s="15" t="s">
        <v>146</v>
      </c>
      <c r="D915" s="18">
        <f>VLOOKUP(C915,'DISTRIBUIÇÃO NF4267'!$E$3:$FQ$75,MATCH(B915,'DISTRIBUIÇÃO NF4267'!$E$3:$FQ$3,0)+1,0)</f>
        <v>2</v>
      </c>
      <c r="F915" s="28">
        <f t="shared" si="45"/>
        <v>3</v>
      </c>
    </row>
    <row r="916" spans="1:6" x14ac:dyDescent="0.35">
      <c r="A916">
        <f t="shared" si="46"/>
        <v>0</v>
      </c>
      <c r="B916" t="str">
        <f t="shared" si="44"/>
        <v>P4</v>
      </c>
      <c r="C916" s="15" t="s">
        <v>147</v>
      </c>
      <c r="D916" s="18">
        <f>VLOOKUP(C916,'DISTRIBUIÇÃO NF4267'!$E$3:$FQ$75,MATCH(B916,'DISTRIBUIÇÃO NF4267'!$E$3:$FQ$3,0)+1,0)</f>
        <v>4</v>
      </c>
      <c r="F916" s="28">
        <f t="shared" si="45"/>
        <v>3</v>
      </c>
    </row>
    <row r="917" spans="1:6" x14ac:dyDescent="0.35">
      <c r="A917">
        <f t="shared" si="46"/>
        <v>0</v>
      </c>
      <c r="B917" t="str">
        <f t="shared" si="44"/>
        <v>P4</v>
      </c>
      <c r="C917" s="15" t="s">
        <v>148</v>
      </c>
      <c r="D917" s="18">
        <f>VLOOKUP(C917,'DISTRIBUIÇÃO NF4267'!$E$3:$FQ$75,MATCH(B917,'DISTRIBUIÇÃO NF4267'!$E$3:$FQ$3,0)+1,0)</f>
        <v>2</v>
      </c>
      <c r="F917" s="28">
        <f t="shared" si="45"/>
        <v>3</v>
      </c>
    </row>
    <row r="918" spans="1:6" x14ac:dyDescent="0.35">
      <c r="A918">
        <f t="shared" si="46"/>
        <v>0</v>
      </c>
      <c r="B918" t="str">
        <f t="shared" si="44"/>
        <v>P4</v>
      </c>
      <c r="C918" s="15" t="s">
        <v>149</v>
      </c>
      <c r="D918" s="18">
        <f>VLOOKUP(C918,'DISTRIBUIÇÃO NF4267'!$E$3:$FQ$75,MATCH(B918,'DISTRIBUIÇÃO NF4267'!$E$3:$FQ$3,0)+1,0)</f>
        <v>2</v>
      </c>
      <c r="F918" s="28">
        <f t="shared" si="45"/>
        <v>3</v>
      </c>
    </row>
    <row r="919" spans="1:6" x14ac:dyDescent="0.35">
      <c r="A919">
        <f t="shared" si="46"/>
        <v>0</v>
      </c>
      <c r="B919" t="str">
        <f t="shared" si="44"/>
        <v>P4</v>
      </c>
      <c r="C919" s="15" t="s">
        <v>150</v>
      </c>
      <c r="D919" s="18">
        <f>VLOOKUP(C919,'DISTRIBUIÇÃO NF4267'!$E$3:$FQ$75,MATCH(B919,'DISTRIBUIÇÃO NF4267'!$E$3:$FQ$3,0)+1,0)</f>
        <v>0</v>
      </c>
      <c r="F919" s="28">
        <f t="shared" si="45"/>
        <v>3</v>
      </c>
    </row>
    <row r="920" spans="1:6" x14ac:dyDescent="0.35">
      <c r="A920">
        <f t="shared" si="46"/>
        <v>0</v>
      </c>
      <c r="B920" t="s">
        <v>42</v>
      </c>
      <c r="C920" s="7" t="s">
        <v>98</v>
      </c>
      <c r="D920" s="18">
        <f>VLOOKUP(C920,'DISTRIBUIÇÃO NF4267'!$E$3:$FQ$75,MATCH(B920,'DISTRIBUIÇÃO NF4267'!$E$3:$FQ$3,0)+1,0)</f>
        <v>0</v>
      </c>
      <c r="F920" s="28">
        <f t="shared" si="45"/>
        <v>3</v>
      </c>
    </row>
    <row r="921" spans="1:6" x14ac:dyDescent="0.35">
      <c r="A921">
        <f t="shared" si="46"/>
        <v>0</v>
      </c>
      <c r="B921" t="str">
        <f>B920</f>
        <v>BY</v>
      </c>
      <c r="C921" s="7" t="s">
        <v>99</v>
      </c>
      <c r="D921" s="18">
        <f>VLOOKUP(C921,'DISTRIBUIÇÃO NF4267'!$E$3:$FQ$75,MATCH(B921,'DISTRIBUIÇÃO NF4267'!$E$3:$FQ$3,0)+1,0)</f>
        <v>4</v>
      </c>
      <c r="F921" s="28">
        <f t="shared" si="45"/>
        <v>3</v>
      </c>
    </row>
    <row r="922" spans="1:6" x14ac:dyDescent="0.35">
      <c r="A922">
        <f t="shared" si="46"/>
        <v>0</v>
      </c>
      <c r="B922" t="str">
        <f t="shared" ref="B922:B973" si="47">B921</f>
        <v>BY</v>
      </c>
      <c r="C922" s="7" t="s">
        <v>100</v>
      </c>
      <c r="D922" s="18">
        <f>VLOOKUP(C922,'DISTRIBUIÇÃO NF4267'!$E$3:$FQ$75,MATCH(B922,'DISTRIBUIÇÃO NF4267'!$E$3:$FQ$3,0)+1,0)</f>
        <v>8</v>
      </c>
      <c r="F922" s="28">
        <f t="shared" si="45"/>
        <v>3</v>
      </c>
    </row>
    <row r="923" spans="1:6" x14ac:dyDescent="0.35">
      <c r="A923">
        <f t="shared" si="46"/>
        <v>0</v>
      </c>
      <c r="B923" t="str">
        <f t="shared" si="47"/>
        <v>BY</v>
      </c>
      <c r="C923" s="7" t="s">
        <v>101</v>
      </c>
      <c r="D923" s="18">
        <f>VLOOKUP(C923,'DISTRIBUIÇÃO NF4267'!$E$3:$FQ$75,MATCH(B923,'DISTRIBUIÇÃO NF4267'!$E$3:$FQ$3,0)+1,0)</f>
        <v>4</v>
      </c>
      <c r="F923" s="28">
        <f t="shared" si="45"/>
        <v>3</v>
      </c>
    </row>
    <row r="924" spans="1:6" x14ac:dyDescent="0.35">
      <c r="A924">
        <f t="shared" si="46"/>
        <v>0</v>
      </c>
      <c r="B924" t="str">
        <f t="shared" si="47"/>
        <v>BY</v>
      </c>
      <c r="C924" s="7" t="s">
        <v>102</v>
      </c>
      <c r="D924" s="18">
        <f>VLOOKUP(C924,'DISTRIBUIÇÃO NF4267'!$E$3:$FQ$75,MATCH(B924,'DISTRIBUIÇÃO NF4267'!$E$3:$FQ$3,0)+1,0)</f>
        <v>4</v>
      </c>
      <c r="F924" s="28">
        <f t="shared" si="45"/>
        <v>3</v>
      </c>
    </row>
    <row r="925" spans="1:6" x14ac:dyDescent="0.35">
      <c r="A925">
        <f t="shared" si="46"/>
        <v>0</v>
      </c>
      <c r="B925" t="str">
        <f t="shared" si="47"/>
        <v>BY</v>
      </c>
      <c r="C925" s="7" t="s">
        <v>103</v>
      </c>
      <c r="D925" s="18">
        <f>VLOOKUP(C925,'DISTRIBUIÇÃO NF4267'!$E$3:$FQ$75,MATCH(B925,'DISTRIBUIÇÃO NF4267'!$E$3:$FQ$3,0)+1,0)</f>
        <v>0</v>
      </c>
      <c r="F925" s="28">
        <f t="shared" si="45"/>
        <v>3</v>
      </c>
    </row>
    <row r="926" spans="1:6" x14ac:dyDescent="0.35">
      <c r="A926">
        <f t="shared" si="46"/>
        <v>0</v>
      </c>
      <c r="B926" t="str">
        <f t="shared" si="47"/>
        <v>BY</v>
      </c>
      <c r="C926" s="8" t="s">
        <v>107</v>
      </c>
      <c r="D926" s="18">
        <f>VLOOKUP(C926,'DISTRIBUIÇÃO NF4267'!$E$3:$FQ$75,MATCH(B926,'DISTRIBUIÇÃO NF4267'!$E$3:$FQ$3,0)+1,0)</f>
        <v>0</v>
      </c>
      <c r="F926" s="28">
        <f t="shared" si="45"/>
        <v>3</v>
      </c>
    </row>
    <row r="927" spans="1:6" x14ac:dyDescent="0.35">
      <c r="A927">
        <f t="shared" si="46"/>
        <v>0</v>
      </c>
      <c r="B927" t="str">
        <f t="shared" si="47"/>
        <v>BY</v>
      </c>
      <c r="C927" s="8" t="s">
        <v>108</v>
      </c>
      <c r="D927" s="18">
        <f>VLOOKUP(C927,'DISTRIBUIÇÃO NF4267'!$E$3:$FQ$75,MATCH(B927,'DISTRIBUIÇÃO NF4267'!$E$3:$FQ$3,0)+1,0)</f>
        <v>2</v>
      </c>
      <c r="F927" s="28">
        <f t="shared" si="45"/>
        <v>3</v>
      </c>
    </row>
    <row r="928" spans="1:6" x14ac:dyDescent="0.35">
      <c r="A928">
        <f t="shared" si="46"/>
        <v>0</v>
      </c>
      <c r="B928" t="str">
        <f t="shared" si="47"/>
        <v>BY</v>
      </c>
      <c r="C928" s="8" t="s">
        <v>109</v>
      </c>
      <c r="D928" s="18">
        <f>VLOOKUP(C928,'DISTRIBUIÇÃO NF4267'!$E$3:$FQ$75,MATCH(B928,'DISTRIBUIÇÃO NF4267'!$E$3:$FQ$3,0)+1,0)</f>
        <v>4</v>
      </c>
      <c r="F928" s="28">
        <f t="shared" si="45"/>
        <v>3</v>
      </c>
    </row>
    <row r="929" spans="1:6" x14ac:dyDescent="0.35">
      <c r="A929">
        <f t="shared" si="46"/>
        <v>0</v>
      </c>
      <c r="B929" t="str">
        <f t="shared" si="47"/>
        <v>BY</v>
      </c>
      <c r="C929" s="8" t="s">
        <v>110</v>
      </c>
      <c r="D929" s="18">
        <f>VLOOKUP(C929,'DISTRIBUIÇÃO NF4267'!$E$3:$FQ$75,MATCH(B929,'DISTRIBUIÇÃO NF4267'!$E$3:$FQ$3,0)+1,0)</f>
        <v>2</v>
      </c>
      <c r="F929" s="28">
        <f t="shared" si="45"/>
        <v>3</v>
      </c>
    </row>
    <row r="930" spans="1:6" x14ac:dyDescent="0.35">
      <c r="A930">
        <f t="shared" si="46"/>
        <v>0</v>
      </c>
      <c r="B930" t="str">
        <f t="shared" si="47"/>
        <v>BY</v>
      </c>
      <c r="C930" s="8" t="s">
        <v>111</v>
      </c>
      <c r="D930" s="18">
        <f>VLOOKUP(C930,'DISTRIBUIÇÃO NF4267'!$E$3:$FQ$75,MATCH(B930,'DISTRIBUIÇÃO NF4267'!$E$3:$FQ$3,0)+1,0)</f>
        <v>2</v>
      </c>
      <c r="F930" s="28">
        <f t="shared" si="45"/>
        <v>3</v>
      </c>
    </row>
    <row r="931" spans="1:6" x14ac:dyDescent="0.35">
      <c r="A931">
        <f t="shared" si="46"/>
        <v>0</v>
      </c>
      <c r="B931" t="str">
        <f t="shared" si="47"/>
        <v>BY</v>
      </c>
      <c r="C931" s="8" t="s">
        <v>112</v>
      </c>
      <c r="D931" s="18">
        <f>VLOOKUP(C931,'DISTRIBUIÇÃO NF4267'!$E$3:$FQ$75,MATCH(B931,'DISTRIBUIÇÃO NF4267'!$E$3:$FQ$3,0)+1,0)</f>
        <v>0</v>
      </c>
      <c r="F931" s="28">
        <f t="shared" si="45"/>
        <v>3</v>
      </c>
    </row>
    <row r="932" spans="1:6" x14ac:dyDescent="0.35">
      <c r="A932">
        <f t="shared" si="46"/>
        <v>0</v>
      </c>
      <c r="B932" t="str">
        <f t="shared" si="47"/>
        <v>BY</v>
      </c>
      <c r="C932" s="9" t="s">
        <v>113</v>
      </c>
      <c r="D932" s="18">
        <f>VLOOKUP(C932,'DISTRIBUIÇÃO NF4267'!$E$3:$FQ$75,MATCH(B932,'DISTRIBUIÇÃO NF4267'!$E$3:$FQ$3,0)+1,0)</f>
        <v>0</v>
      </c>
      <c r="F932" s="28">
        <f t="shared" si="45"/>
        <v>3</v>
      </c>
    </row>
    <row r="933" spans="1:6" x14ac:dyDescent="0.35">
      <c r="A933">
        <f t="shared" si="46"/>
        <v>0</v>
      </c>
      <c r="B933" t="str">
        <f t="shared" si="47"/>
        <v>BY</v>
      </c>
      <c r="C933" s="9" t="s">
        <v>114</v>
      </c>
      <c r="D933" s="18">
        <f>VLOOKUP(C933,'DISTRIBUIÇÃO NF4267'!$E$3:$FQ$75,MATCH(B933,'DISTRIBUIÇÃO NF4267'!$E$3:$FQ$3,0)+1,0)</f>
        <v>6</v>
      </c>
      <c r="F933" s="28">
        <f t="shared" si="45"/>
        <v>3</v>
      </c>
    </row>
    <row r="934" spans="1:6" x14ac:dyDescent="0.35">
      <c r="A934">
        <f t="shared" si="46"/>
        <v>0</v>
      </c>
      <c r="B934" t="str">
        <f t="shared" si="47"/>
        <v>BY</v>
      </c>
      <c r="C934" s="9" t="s">
        <v>115</v>
      </c>
      <c r="D934" s="18">
        <f>VLOOKUP(C934,'DISTRIBUIÇÃO NF4267'!$E$3:$FQ$75,MATCH(B934,'DISTRIBUIÇÃO NF4267'!$E$3:$FQ$3,0)+1,0)</f>
        <v>8</v>
      </c>
      <c r="F934" s="28">
        <f t="shared" si="45"/>
        <v>3</v>
      </c>
    </row>
    <row r="935" spans="1:6" x14ac:dyDescent="0.35">
      <c r="A935">
        <f t="shared" si="46"/>
        <v>0</v>
      </c>
      <c r="B935" t="str">
        <f t="shared" si="47"/>
        <v>BY</v>
      </c>
      <c r="C935" s="9" t="s">
        <v>116</v>
      </c>
      <c r="D935" s="18">
        <f>VLOOKUP(C935,'DISTRIBUIÇÃO NF4267'!$E$3:$FQ$75,MATCH(B935,'DISTRIBUIÇÃO NF4267'!$E$3:$FQ$3,0)+1,0)</f>
        <v>4</v>
      </c>
      <c r="F935" s="28">
        <f t="shared" si="45"/>
        <v>3</v>
      </c>
    </row>
    <row r="936" spans="1:6" x14ac:dyDescent="0.35">
      <c r="A936">
        <f t="shared" si="46"/>
        <v>0</v>
      </c>
      <c r="B936" t="str">
        <f t="shared" si="47"/>
        <v>BY</v>
      </c>
      <c r="C936" s="9" t="s">
        <v>117</v>
      </c>
      <c r="D936" s="18">
        <f>VLOOKUP(C936,'DISTRIBUIÇÃO NF4267'!$E$3:$FQ$75,MATCH(B936,'DISTRIBUIÇÃO NF4267'!$E$3:$FQ$3,0)+1,0)</f>
        <v>2</v>
      </c>
      <c r="F936" s="28">
        <f t="shared" si="45"/>
        <v>3</v>
      </c>
    </row>
    <row r="937" spans="1:6" x14ac:dyDescent="0.35">
      <c r="A937">
        <f t="shared" si="46"/>
        <v>0</v>
      </c>
      <c r="B937" t="str">
        <f t="shared" si="47"/>
        <v>BY</v>
      </c>
      <c r="C937" s="9" t="s">
        <v>118</v>
      </c>
      <c r="D937" s="18">
        <f>VLOOKUP(C937,'DISTRIBUIÇÃO NF4267'!$E$3:$FQ$75,MATCH(B937,'DISTRIBUIÇÃO NF4267'!$E$3:$FQ$3,0)+1,0)</f>
        <v>0</v>
      </c>
      <c r="F937" s="28">
        <f t="shared" si="45"/>
        <v>3</v>
      </c>
    </row>
    <row r="938" spans="1:6" x14ac:dyDescent="0.35">
      <c r="A938">
        <f t="shared" si="46"/>
        <v>0</v>
      </c>
      <c r="B938" t="str">
        <f t="shared" si="47"/>
        <v>BY</v>
      </c>
      <c r="C938" s="10" t="s">
        <v>119</v>
      </c>
      <c r="D938" s="18">
        <f>VLOOKUP(C938,'DISTRIBUIÇÃO NF4267'!$E$3:$FQ$75,MATCH(B938,'DISTRIBUIÇÃO NF4267'!$E$3:$FQ$3,0)+1,0)</f>
        <v>0</v>
      </c>
      <c r="F938" s="28">
        <f t="shared" si="45"/>
        <v>3</v>
      </c>
    </row>
    <row r="939" spans="1:6" x14ac:dyDescent="0.35">
      <c r="A939">
        <f t="shared" si="46"/>
        <v>0</v>
      </c>
      <c r="B939" t="str">
        <f t="shared" si="47"/>
        <v>BY</v>
      </c>
      <c r="C939" s="10" t="s">
        <v>120</v>
      </c>
      <c r="D939" s="18">
        <f>VLOOKUP(C939,'DISTRIBUIÇÃO NF4267'!$E$3:$FQ$75,MATCH(B939,'DISTRIBUIÇÃO NF4267'!$E$3:$FQ$3,0)+1,0)</f>
        <v>48</v>
      </c>
      <c r="F939" s="28">
        <f t="shared" si="45"/>
        <v>3</v>
      </c>
    </row>
    <row r="940" spans="1:6" x14ac:dyDescent="0.35">
      <c r="A940">
        <f t="shared" si="46"/>
        <v>0</v>
      </c>
      <c r="B940" t="str">
        <f t="shared" si="47"/>
        <v>BY</v>
      </c>
      <c r="C940" s="10" t="s">
        <v>121</v>
      </c>
      <c r="D940" s="18">
        <f>VLOOKUP(C940,'DISTRIBUIÇÃO NF4267'!$E$3:$FQ$75,MATCH(B940,'DISTRIBUIÇÃO NF4267'!$E$3:$FQ$3,0)+1,0)</f>
        <v>16</v>
      </c>
      <c r="F940" s="28">
        <f t="shared" si="45"/>
        <v>3</v>
      </c>
    </row>
    <row r="941" spans="1:6" x14ac:dyDescent="0.35">
      <c r="A941">
        <f t="shared" si="46"/>
        <v>0</v>
      </c>
      <c r="B941" t="str">
        <f t="shared" si="47"/>
        <v>BY</v>
      </c>
      <c r="C941" s="10" t="s">
        <v>122</v>
      </c>
      <c r="D941" s="18">
        <f>VLOOKUP(C941,'DISTRIBUIÇÃO NF4267'!$E$3:$FQ$75,MATCH(B941,'DISTRIBUIÇÃO NF4267'!$E$3:$FQ$3,0)+1,0)</f>
        <v>16</v>
      </c>
      <c r="F941" s="28">
        <f t="shared" si="45"/>
        <v>3</v>
      </c>
    </row>
    <row r="942" spans="1:6" x14ac:dyDescent="0.35">
      <c r="A942">
        <f t="shared" si="46"/>
        <v>0</v>
      </c>
      <c r="B942" t="str">
        <f t="shared" si="47"/>
        <v>BY</v>
      </c>
      <c r="C942" s="10" t="s">
        <v>123</v>
      </c>
      <c r="D942" s="18">
        <f>VLOOKUP(C942,'DISTRIBUIÇÃO NF4267'!$E$3:$FQ$75,MATCH(B942,'DISTRIBUIÇÃO NF4267'!$E$3:$FQ$3,0)+1,0)</f>
        <v>0</v>
      </c>
      <c r="F942" s="28">
        <f t="shared" si="45"/>
        <v>3</v>
      </c>
    </row>
    <row r="943" spans="1:6" x14ac:dyDescent="0.35">
      <c r="A943">
        <f t="shared" si="46"/>
        <v>0</v>
      </c>
      <c r="B943" t="str">
        <f t="shared" si="47"/>
        <v>BY</v>
      </c>
      <c r="C943" s="10" t="s">
        <v>124</v>
      </c>
      <c r="D943" s="18">
        <f>VLOOKUP(C943,'DISTRIBUIÇÃO NF4267'!$E$3:$FQ$75,MATCH(B943,'DISTRIBUIÇÃO NF4267'!$E$3:$FQ$3,0)+1,0)</f>
        <v>0</v>
      </c>
      <c r="F943" s="28">
        <f t="shared" si="45"/>
        <v>3</v>
      </c>
    </row>
    <row r="944" spans="1:6" x14ac:dyDescent="0.35">
      <c r="A944">
        <f t="shared" si="46"/>
        <v>0</v>
      </c>
      <c r="B944" t="str">
        <f t="shared" si="47"/>
        <v>BY</v>
      </c>
      <c r="C944" s="11" t="s">
        <v>16</v>
      </c>
      <c r="D944" s="18">
        <f>VLOOKUP(C944,'DISTRIBUIÇÃO NF4267'!$E$3:$FQ$75,MATCH(B944,'DISTRIBUIÇÃO NF4267'!$E$3:$FQ$3,0)+1,0)</f>
        <v>0</v>
      </c>
      <c r="F944" s="28">
        <f t="shared" si="45"/>
        <v>3</v>
      </c>
    </row>
    <row r="945" spans="1:6" x14ac:dyDescent="0.35">
      <c r="A945">
        <f t="shared" si="46"/>
        <v>0</v>
      </c>
      <c r="B945" t="str">
        <f t="shared" si="47"/>
        <v>BY</v>
      </c>
      <c r="C945" s="11" t="s">
        <v>17</v>
      </c>
      <c r="D945" s="18">
        <f>VLOOKUP(C945,'DISTRIBUIÇÃO NF4267'!$E$3:$FQ$75,MATCH(B945,'DISTRIBUIÇÃO NF4267'!$E$3:$FQ$3,0)+1,0)</f>
        <v>12</v>
      </c>
      <c r="F945" s="28">
        <f t="shared" si="45"/>
        <v>3</v>
      </c>
    </row>
    <row r="946" spans="1:6" x14ac:dyDescent="0.35">
      <c r="A946">
        <f t="shared" si="46"/>
        <v>0</v>
      </c>
      <c r="B946" t="str">
        <f t="shared" si="47"/>
        <v>BY</v>
      </c>
      <c r="C946" s="11" t="s">
        <v>18</v>
      </c>
      <c r="D946" s="18">
        <f>VLOOKUP(C946,'DISTRIBUIÇÃO NF4267'!$E$3:$FQ$75,MATCH(B946,'DISTRIBUIÇÃO NF4267'!$E$3:$FQ$3,0)+1,0)</f>
        <v>4</v>
      </c>
      <c r="F946" s="28">
        <f t="shared" si="45"/>
        <v>3</v>
      </c>
    </row>
    <row r="947" spans="1:6" x14ac:dyDescent="0.35">
      <c r="A947">
        <f t="shared" si="46"/>
        <v>0</v>
      </c>
      <c r="B947" t="str">
        <f t="shared" si="47"/>
        <v>BY</v>
      </c>
      <c r="C947" s="11" t="s">
        <v>19</v>
      </c>
      <c r="D947" s="18">
        <f>VLOOKUP(C947,'DISTRIBUIÇÃO NF4267'!$E$3:$FQ$75,MATCH(B947,'DISTRIBUIÇÃO NF4267'!$E$3:$FQ$3,0)+1,0)</f>
        <v>4</v>
      </c>
      <c r="F947" s="28">
        <f t="shared" si="45"/>
        <v>3</v>
      </c>
    </row>
    <row r="948" spans="1:6" x14ac:dyDescent="0.35">
      <c r="A948">
        <f t="shared" si="46"/>
        <v>0</v>
      </c>
      <c r="B948" t="str">
        <f t="shared" si="47"/>
        <v>BY</v>
      </c>
      <c r="C948" s="11" t="s">
        <v>20</v>
      </c>
      <c r="D948" s="18">
        <f>VLOOKUP(C948,'DISTRIBUIÇÃO NF4267'!$E$3:$FQ$75,MATCH(B948,'DISTRIBUIÇÃO NF4267'!$E$3:$FQ$3,0)+1,0)</f>
        <v>20</v>
      </c>
      <c r="F948" s="28">
        <f t="shared" si="45"/>
        <v>3</v>
      </c>
    </row>
    <row r="949" spans="1:6" x14ac:dyDescent="0.35">
      <c r="A949">
        <f t="shared" si="46"/>
        <v>0</v>
      </c>
      <c r="B949" t="str">
        <f t="shared" si="47"/>
        <v>BY</v>
      </c>
      <c r="C949" s="11" t="s">
        <v>21</v>
      </c>
      <c r="D949" s="18">
        <f>VLOOKUP(C949,'DISTRIBUIÇÃO NF4267'!$E$3:$FQ$75,MATCH(B949,'DISTRIBUIÇÃO NF4267'!$E$3:$FQ$3,0)+1,0)</f>
        <v>0</v>
      </c>
      <c r="F949" s="28">
        <f t="shared" si="45"/>
        <v>3</v>
      </c>
    </row>
    <row r="950" spans="1:6" x14ac:dyDescent="0.35">
      <c r="A950">
        <f t="shared" si="46"/>
        <v>0</v>
      </c>
      <c r="B950" t="str">
        <f t="shared" si="47"/>
        <v>BY</v>
      </c>
      <c r="C950" s="12" t="s">
        <v>130</v>
      </c>
      <c r="D950" s="18">
        <f>VLOOKUP(C950,'DISTRIBUIÇÃO NF4267'!$E$3:$FQ$75,MATCH(B950,'DISTRIBUIÇÃO NF4267'!$E$3:$FQ$3,0)+1,0)</f>
        <v>0</v>
      </c>
      <c r="F950" s="28">
        <f t="shared" si="45"/>
        <v>3</v>
      </c>
    </row>
    <row r="951" spans="1:6" x14ac:dyDescent="0.35">
      <c r="A951">
        <f t="shared" si="46"/>
        <v>0</v>
      </c>
      <c r="B951" t="str">
        <f t="shared" si="47"/>
        <v>BY</v>
      </c>
      <c r="C951" s="12" t="s">
        <v>131</v>
      </c>
      <c r="D951" s="18">
        <f>VLOOKUP(C951,'DISTRIBUIÇÃO NF4267'!$E$3:$FQ$75,MATCH(B951,'DISTRIBUIÇÃO NF4267'!$E$3:$FQ$3,0)+1,0)</f>
        <v>1</v>
      </c>
      <c r="F951" s="28">
        <f t="shared" si="45"/>
        <v>3</v>
      </c>
    </row>
    <row r="952" spans="1:6" x14ac:dyDescent="0.35">
      <c r="A952">
        <f t="shared" si="46"/>
        <v>0</v>
      </c>
      <c r="B952" t="str">
        <f t="shared" si="47"/>
        <v>BY</v>
      </c>
      <c r="C952" s="12" t="s">
        <v>132</v>
      </c>
      <c r="D952" s="18">
        <f>VLOOKUP(C952,'DISTRIBUIÇÃO NF4267'!$E$3:$FQ$75,MATCH(B952,'DISTRIBUIÇÃO NF4267'!$E$3:$FQ$3,0)+1,0)</f>
        <v>4</v>
      </c>
      <c r="F952" s="28">
        <f t="shared" ref="F952:F1015" si="48">ROUNDUP(SUMIFS(D:D,B:B,B952)/80,0)</f>
        <v>3</v>
      </c>
    </row>
    <row r="953" spans="1:6" x14ac:dyDescent="0.35">
      <c r="A953">
        <f t="shared" si="46"/>
        <v>0</v>
      </c>
      <c r="B953" t="str">
        <f t="shared" si="47"/>
        <v>BY</v>
      </c>
      <c r="C953" s="12" t="s">
        <v>133</v>
      </c>
      <c r="D953" s="18">
        <f>VLOOKUP(C953,'DISTRIBUIÇÃO NF4267'!$E$3:$FQ$75,MATCH(B953,'DISTRIBUIÇÃO NF4267'!$E$3:$FQ$3,0)+1,0)</f>
        <v>3</v>
      </c>
      <c r="F953" s="28">
        <f t="shared" si="48"/>
        <v>3</v>
      </c>
    </row>
    <row r="954" spans="1:6" x14ac:dyDescent="0.35">
      <c r="A954">
        <f t="shared" si="46"/>
        <v>0</v>
      </c>
      <c r="B954" t="str">
        <f t="shared" si="47"/>
        <v>BY</v>
      </c>
      <c r="C954" s="12" t="s">
        <v>134</v>
      </c>
      <c r="D954" s="18">
        <f>VLOOKUP(C954,'DISTRIBUIÇÃO NF4267'!$E$3:$FQ$75,MATCH(B954,'DISTRIBUIÇÃO NF4267'!$E$3:$FQ$3,0)+1,0)</f>
        <v>2</v>
      </c>
      <c r="F954" s="28">
        <f t="shared" si="48"/>
        <v>3</v>
      </c>
    </row>
    <row r="955" spans="1:6" x14ac:dyDescent="0.35">
      <c r="A955">
        <f t="shared" si="46"/>
        <v>0</v>
      </c>
      <c r="B955" t="str">
        <f t="shared" si="47"/>
        <v>BY</v>
      </c>
      <c r="C955" s="12" t="s">
        <v>135</v>
      </c>
      <c r="D955" s="18">
        <f>VLOOKUP(C955,'DISTRIBUIÇÃO NF4267'!$E$3:$FQ$75,MATCH(B955,'DISTRIBUIÇÃO NF4267'!$E$3:$FQ$3,0)+1,0)</f>
        <v>0</v>
      </c>
      <c r="F955" s="28">
        <f t="shared" si="48"/>
        <v>3</v>
      </c>
    </row>
    <row r="956" spans="1:6" x14ac:dyDescent="0.35">
      <c r="A956">
        <f t="shared" si="46"/>
        <v>0</v>
      </c>
      <c r="B956" t="str">
        <f t="shared" si="47"/>
        <v>BY</v>
      </c>
      <c r="C956" s="13" t="s">
        <v>22</v>
      </c>
      <c r="D956" s="18">
        <f>VLOOKUP(C956,'DISTRIBUIÇÃO NF4267'!$E$3:$FQ$75,MATCH(B956,'DISTRIBUIÇÃO NF4267'!$E$3:$FQ$3,0)+1,0)</f>
        <v>0</v>
      </c>
      <c r="F956" s="28">
        <f t="shared" si="48"/>
        <v>3</v>
      </c>
    </row>
    <row r="957" spans="1:6" x14ac:dyDescent="0.35">
      <c r="A957">
        <f t="shared" si="46"/>
        <v>0</v>
      </c>
      <c r="B957" t="str">
        <f t="shared" si="47"/>
        <v>BY</v>
      </c>
      <c r="C957" s="13" t="s">
        <v>23</v>
      </c>
      <c r="D957" s="18">
        <f>VLOOKUP(C957,'DISTRIBUIÇÃO NF4267'!$E$3:$FQ$75,MATCH(B957,'DISTRIBUIÇÃO NF4267'!$E$3:$FQ$3,0)+1,0)</f>
        <v>1</v>
      </c>
      <c r="F957" s="28">
        <f t="shared" si="48"/>
        <v>3</v>
      </c>
    </row>
    <row r="958" spans="1:6" x14ac:dyDescent="0.35">
      <c r="A958">
        <f t="shared" si="46"/>
        <v>0</v>
      </c>
      <c r="B958" t="str">
        <f t="shared" si="47"/>
        <v>BY</v>
      </c>
      <c r="C958" s="13" t="s">
        <v>24</v>
      </c>
      <c r="D958" s="18">
        <f>VLOOKUP(C958,'DISTRIBUIÇÃO NF4267'!$E$3:$FQ$75,MATCH(B958,'DISTRIBUIÇÃO NF4267'!$E$3:$FQ$3,0)+1,0)</f>
        <v>6</v>
      </c>
      <c r="F958" s="28">
        <f t="shared" si="48"/>
        <v>3</v>
      </c>
    </row>
    <row r="959" spans="1:6" x14ac:dyDescent="0.35">
      <c r="A959">
        <f t="shared" si="46"/>
        <v>0</v>
      </c>
      <c r="B959" t="str">
        <f t="shared" si="47"/>
        <v>BY</v>
      </c>
      <c r="C959" s="13" t="s">
        <v>25</v>
      </c>
      <c r="D959" s="18">
        <f>VLOOKUP(C959,'DISTRIBUIÇÃO NF4267'!$E$3:$FQ$75,MATCH(B959,'DISTRIBUIÇÃO NF4267'!$E$3:$FQ$3,0)+1,0)</f>
        <v>2</v>
      </c>
      <c r="F959" s="28">
        <f t="shared" si="48"/>
        <v>3</v>
      </c>
    </row>
    <row r="960" spans="1:6" x14ac:dyDescent="0.35">
      <c r="A960">
        <f t="shared" si="46"/>
        <v>0</v>
      </c>
      <c r="B960" t="str">
        <f t="shared" si="47"/>
        <v>BY</v>
      </c>
      <c r="C960" s="13" t="s">
        <v>26</v>
      </c>
      <c r="D960" s="18">
        <f>VLOOKUP(C960,'DISTRIBUIÇÃO NF4267'!$E$3:$FQ$75,MATCH(B960,'DISTRIBUIÇÃO NF4267'!$E$3:$FQ$3,0)+1,0)</f>
        <v>1</v>
      </c>
      <c r="F960" s="28">
        <f t="shared" si="48"/>
        <v>3</v>
      </c>
    </row>
    <row r="961" spans="1:6" x14ac:dyDescent="0.35">
      <c r="A961">
        <f t="shared" si="46"/>
        <v>0</v>
      </c>
      <c r="B961" t="str">
        <f t="shared" si="47"/>
        <v>BY</v>
      </c>
      <c r="C961" s="13" t="s">
        <v>27</v>
      </c>
      <c r="D961" s="18">
        <f>VLOOKUP(C961,'DISTRIBUIÇÃO NF4267'!$E$3:$FQ$75,MATCH(B961,'DISTRIBUIÇÃO NF4267'!$E$3:$FQ$3,0)+1,0)</f>
        <v>0</v>
      </c>
      <c r="F961" s="28">
        <f t="shared" si="48"/>
        <v>3</v>
      </c>
    </row>
    <row r="962" spans="1:6" x14ac:dyDescent="0.35">
      <c r="A962">
        <f t="shared" ref="A962:A1025" si="49">IF(ISERROR(VLOOKUP(C962,I:I,1,0)),0,1)</f>
        <v>0</v>
      </c>
      <c r="B962" t="str">
        <f t="shared" si="47"/>
        <v>BY</v>
      </c>
      <c r="C962" s="14" t="s">
        <v>138</v>
      </c>
      <c r="D962" s="18">
        <f>VLOOKUP(C962,'DISTRIBUIÇÃO NF4267'!$E$3:$FQ$75,MATCH(B962,'DISTRIBUIÇÃO NF4267'!$E$3:$FQ$3,0)+1,0)</f>
        <v>0</v>
      </c>
      <c r="F962" s="28">
        <f t="shared" si="48"/>
        <v>3</v>
      </c>
    </row>
    <row r="963" spans="1:6" x14ac:dyDescent="0.35">
      <c r="A963">
        <f t="shared" si="49"/>
        <v>0</v>
      </c>
      <c r="B963" t="str">
        <f t="shared" si="47"/>
        <v>BY</v>
      </c>
      <c r="C963" s="14" t="s">
        <v>139</v>
      </c>
      <c r="D963" s="18">
        <f>VLOOKUP(C963,'DISTRIBUIÇÃO NF4267'!$E$3:$FQ$75,MATCH(B963,'DISTRIBUIÇÃO NF4267'!$E$3:$FQ$3,0)+1,0)</f>
        <v>4</v>
      </c>
      <c r="F963" s="28">
        <f t="shared" si="48"/>
        <v>3</v>
      </c>
    </row>
    <row r="964" spans="1:6" x14ac:dyDescent="0.35">
      <c r="A964">
        <f t="shared" si="49"/>
        <v>0</v>
      </c>
      <c r="B964" t="str">
        <f t="shared" si="47"/>
        <v>BY</v>
      </c>
      <c r="C964" s="14" t="s">
        <v>140</v>
      </c>
      <c r="D964" s="18">
        <f>VLOOKUP(C964,'DISTRIBUIÇÃO NF4267'!$E$3:$FQ$75,MATCH(B964,'DISTRIBUIÇÃO NF4267'!$E$3:$FQ$3,0)+1,0)</f>
        <v>8</v>
      </c>
      <c r="F964" s="28">
        <f t="shared" si="48"/>
        <v>3</v>
      </c>
    </row>
    <row r="965" spans="1:6" x14ac:dyDescent="0.35">
      <c r="A965">
        <f t="shared" si="49"/>
        <v>0</v>
      </c>
      <c r="B965" t="str">
        <f t="shared" si="47"/>
        <v>BY</v>
      </c>
      <c r="C965" s="14" t="s">
        <v>141</v>
      </c>
      <c r="D965" s="18">
        <f>VLOOKUP(C965,'DISTRIBUIÇÃO NF4267'!$E$3:$FQ$75,MATCH(B965,'DISTRIBUIÇÃO NF4267'!$E$3:$FQ$3,0)+1,0)</f>
        <v>4</v>
      </c>
      <c r="F965" s="28">
        <f t="shared" si="48"/>
        <v>3</v>
      </c>
    </row>
    <row r="966" spans="1:6" x14ac:dyDescent="0.35">
      <c r="A966">
        <f t="shared" si="49"/>
        <v>0</v>
      </c>
      <c r="B966" t="str">
        <f t="shared" si="47"/>
        <v>BY</v>
      </c>
      <c r="C966" s="14" t="s">
        <v>142</v>
      </c>
      <c r="D966" s="18">
        <f>VLOOKUP(C966,'DISTRIBUIÇÃO NF4267'!$E$3:$FQ$75,MATCH(B966,'DISTRIBUIÇÃO NF4267'!$E$3:$FQ$3,0)+1,0)</f>
        <v>4</v>
      </c>
      <c r="F966" s="28">
        <f t="shared" si="48"/>
        <v>3</v>
      </c>
    </row>
    <row r="967" spans="1:6" x14ac:dyDescent="0.35">
      <c r="A967">
        <f t="shared" si="49"/>
        <v>0</v>
      </c>
      <c r="B967" t="str">
        <f t="shared" si="47"/>
        <v>BY</v>
      </c>
      <c r="C967" s="14" t="s">
        <v>143</v>
      </c>
      <c r="D967" s="18">
        <f>VLOOKUP(C967,'DISTRIBUIÇÃO NF4267'!$E$3:$FQ$75,MATCH(B967,'DISTRIBUIÇÃO NF4267'!$E$3:$FQ$3,0)+1,0)</f>
        <v>0</v>
      </c>
      <c r="F967" s="28">
        <f t="shared" si="48"/>
        <v>3</v>
      </c>
    </row>
    <row r="968" spans="1:6" x14ac:dyDescent="0.35">
      <c r="A968">
        <f t="shared" si="49"/>
        <v>0</v>
      </c>
      <c r="B968" t="str">
        <f t="shared" si="47"/>
        <v>BY</v>
      </c>
      <c r="C968" s="15" t="s">
        <v>145</v>
      </c>
      <c r="D968" s="18">
        <f>VLOOKUP(C968,'DISTRIBUIÇÃO NF4267'!$E$3:$FQ$75,MATCH(B968,'DISTRIBUIÇÃO NF4267'!$E$3:$FQ$3,0)+1,0)</f>
        <v>0</v>
      </c>
      <c r="F968" s="28">
        <f t="shared" si="48"/>
        <v>3</v>
      </c>
    </row>
    <row r="969" spans="1:6" x14ac:dyDescent="0.35">
      <c r="A969">
        <f t="shared" si="49"/>
        <v>0</v>
      </c>
      <c r="B969" t="str">
        <f t="shared" si="47"/>
        <v>BY</v>
      </c>
      <c r="C969" s="15" t="s">
        <v>146</v>
      </c>
      <c r="D969" s="18">
        <f>VLOOKUP(C969,'DISTRIBUIÇÃO NF4267'!$E$3:$FQ$75,MATCH(B969,'DISTRIBUIÇÃO NF4267'!$E$3:$FQ$3,0)+1,0)</f>
        <v>2</v>
      </c>
      <c r="F969" s="28">
        <f t="shared" si="48"/>
        <v>3</v>
      </c>
    </row>
    <row r="970" spans="1:6" x14ac:dyDescent="0.35">
      <c r="A970">
        <f t="shared" si="49"/>
        <v>0</v>
      </c>
      <c r="B970" t="str">
        <f t="shared" si="47"/>
        <v>BY</v>
      </c>
      <c r="C970" s="15" t="s">
        <v>147</v>
      </c>
      <c r="D970" s="18">
        <f>VLOOKUP(C970,'DISTRIBUIÇÃO NF4267'!$E$3:$FQ$75,MATCH(B970,'DISTRIBUIÇÃO NF4267'!$E$3:$FQ$3,0)+1,0)</f>
        <v>4</v>
      </c>
      <c r="F970" s="28">
        <f t="shared" si="48"/>
        <v>3</v>
      </c>
    </row>
    <row r="971" spans="1:6" x14ac:dyDescent="0.35">
      <c r="A971">
        <f t="shared" si="49"/>
        <v>0</v>
      </c>
      <c r="B971" t="str">
        <f t="shared" si="47"/>
        <v>BY</v>
      </c>
      <c r="C971" s="15" t="s">
        <v>148</v>
      </c>
      <c r="D971" s="18">
        <f>VLOOKUP(C971,'DISTRIBUIÇÃO NF4267'!$E$3:$FQ$75,MATCH(B971,'DISTRIBUIÇÃO NF4267'!$E$3:$FQ$3,0)+1,0)</f>
        <v>2</v>
      </c>
      <c r="F971" s="28">
        <f t="shared" si="48"/>
        <v>3</v>
      </c>
    </row>
    <row r="972" spans="1:6" x14ac:dyDescent="0.35">
      <c r="A972">
        <f t="shared" si="49"/>
        <v>0</v>
      </c>
      <c r="B972" t="str">
        <f t="shared" si="47"/>
        <v>BY</v>
      </c>
      <c r="C972" s="15" t="s">
        <v>149</v>
      </c>
      <c r="D972" s="18">
        <f>VLOOKUP(C972,'DISTRIBUIÇÃO NF4267'!$E$3:$FQ$75,MATCH(B972,'DISTRIBUIÇÃO NF4267'!$E$3:$FQ$3,0)+1,0)</f>
        <v>2</v>
      </c>
      <c r="F972" s="28">
        <f t="shared" si="48"/>
        <v>3</v>
      </c>
    </row>
    <row r="973" spans="1:6" x14ac:dyDescent="0.35">
      <c r="A973">
        <f t="shared" si="49"/>
        <v>0</v>
      </c>
      <c r="B973" t="str">
        <f t="shared" si="47"/>
        <v>BY</v>
      </c>
      <c r="C973" s="15" t="s">
        <v>150</v>
      </c>
      <c r="D973" s="18">
        <f>VLOOKUP(C973,'DISTRIBUIÇÃO NF4267'!$E$3:$FQ$75,MATCH(B973,'DISTRIBUIÇÃO NF4267'!$E$3:$FQ$3,0)+1,0)</f>
        <v>0</v>
      </c>
      <c r="F973" s="28">
        <f t="shared" si="48"/>
        <v>3</v>
      </c>
    </row>
    <row r="974" spans="1:6" x14ac:dyDescent="0.35">
      <c r="A974">
        <f t="shared" si="49"/>
        <v>0</v>
      </c>
      <c r="B974">
        <v>46</v>
      </c>
      <c r="C974" s="7" t="s">
        <v>98</v>
      </c>
      <c r="D974" s="18">
        <f>VLOOKUP(C974,'DISTRIBUIÇÃO NF4267'!$E$3:$FQ$75,MATCH(B974,'DISTRIBUIÇÃO NF4267'!$E$3:$FQ$3,0)+1,0)</f>
        <v>0</v>
      </c>
      <c r="F974" s="28">
        <f t="shared" si="48"/>
        <v>3</v>
      </c>
    </row>
    <row r="975" spans="1:6" x14ac:dyDescent="0.35">
      <c r="A975">
        <f t="shared" si="49"/>
        <v>0</v>
      </c>
      <c r="B975">
        <f>B974</f>
        <v>46</v>
      </c>
      <c r="C975" s="7" t="s">
        <v>99</v>
      </c>
      <c r="D975" s="18">
        <f>VLOOKUP(C975,'DISTRIBUIÇÃO NF4267'!$E$3:$FQ$75,MATCH(B975,'DISTRIBUIÇÃO NF4267'!$E$3:$FQ$3,0)+1,0)</f>
        <v>4</v>
      </c>
      <c r="F975" s="28">
        <f t="shared" si="48"/>
        <v>3</v>
      </c>
    </row>
    <row r="976" spans="1:6" x14ac:dyDescent="0.35">
      <c r="A976">
        <f t="shared" si="49"/>
        <v>0</v>
      </c>
      <c r="B976">
        <f t="shared" ref="B976:B1027" si="50">B975</f>
        <v>46</v>
      </c>
      <c r="C976" s="7" t="s">
        <v>100</v>
      </c>
      <c r="D976" s="18">
        <f>VLOOKUP(C976,'DISTRIBUIÇÃO NF4267'!$E$3:$FQ$75,MATCH(B976,'DISTRIBUIÇÃO NF4267'!$E$3:$FQ$3,0)+1,0)</f>
        <v>8</v>
      </c>
      <c r="F976" s="28">
        <f t="shared" si="48"/>
        <v>3</v>
      </c>
    </row>
    <row r="977" spans="1:6" x14ac:dyDescent="0.35">
      <c r="A977">
        <f t="shared" si="49"/>
        <v>0</v>
      </c>
      <c r="B977">
        <f t="shared" si="50"/>
        <v>46</v>
      </c>
      <c r="C977" s="7" t="s">
        <v>101</v>
      </c>
      <c r="D977" s="18">
        <f>VLOOKUP(C977,'DISTRIBUIÇÃO NF4267'!$E$3:$FQ$75,MATCH(B977,'DISTRIBUIÇÃO NF4267'!$E$3:$FQ$3,0)+1,0)</f>
        <v>4</v>
      </c>
      <c r="F977" s="28">
        <f t="shared" si="48"/>
        <v>3</v>
      </c>
    </row>
    <row r="978" spans="1:6" x14ac:dyDescent="0.35">
      <c r="A978">
        <f t="shared" si="49"/>
        <v>0</v>
      </c>
      <c r="B978">
        <f t="shared" si="50"/>
        <v>46</v>
      </c>
      <c r="C978" s="7" t="s">
        <v>102</v>
      </c>
      <c r="D978" s="18">
        <f>VLOOKUP(C978,'DISTRIBUIÇÃO NF4267'!$E$3:$FQ$75,MATCH(B978,'DISTRIBUIÇÃO NF4267'!$E$3:$FQ$3,0)+1,0)</f>
        <v>4</v>
      </c>
      <c r="F978" s="28">
        <f t="shared" si="48"/>
        <v>3</v>
      </c>
    </row>
    <row r="979" spans="1:6" x14ac:dyDescent="0.35">
      <c r="A979">
        <f t="shared" si="49"/>
        <v>0</v>
      </c>
      <c r="B979">
        <f t="shared" si="50"/>
        <v>46</v>
      </c>
      <c r="C979" s="7" t="s">
        <v>103</v>
      </c>
      <c r="D979" s="18">
        <f>VLOOKUP(C979,'DISTRIBUIÇÃO NF4267'!$E$3:$FQ$75,MATCH(B979,'DISTRIBUIÇÃO NF4267'!$E$3:$FQ$3,0)+1,0)</f>
        <v>0</v>
      </c>
      <c r="F979" s="28">
        <f t="shared" si="48"/>
        <v>3</v>
      </c>
    </row>
    <row r="980" spans="1:6" x14ac:dyDescent="0.35">
      <c r="A980">
        <f t="shared" si="49"/>
        <v>0</v>
      </c>
      <c r="B980">
        <f t="shared" si="50"/>
        <v>46</v>
      </c>
      <c r="C980" s="8" t="s">
        <v>107</v>
      </c>
      <c r="D980" s="18">
        <f>VLOOKUP(C980,'DISTRIBUIÇÃO NF4267'!$E$3:$FQ$75,MATCH(B980,'DISTRIBUIÇÃO NF4267'!$E$3:$FQ$3,0)+1,0)</f>
        <v>0</v>
      </c>
      <c r="F980" s="28">
        <f t="shared" si="48"/>
        <v>3</v>
      </c>
    </row>
    <row r="981" spans="1:6" x14ac:dyDescent="0.35">
      <c r="A981">
        <f t="shared" si="49"/>
        <v>0</v>
      </c>
      <c r="B981">
        <f t="shared" si="50"/>
        <v>46</v>
      </c>
      <c r="C981" s="8" t="s">
        <v>108</v>
      </c>
      <c r="D981" s="18">
        <f>VLOOKUP(C981,'DISTRIBUIÇÃO NF4267'!$E$3:$FQ$75,MATCH(B981,'DISTRIBUIÇÃO NF4267'!$E$3:$FQ$3,0)+1,0)</f>
        <v>2</v>
      </c>
      <c r="F981" s="28">
        <f t="shared" si="48"/>
        <v>3</v>
      </c>
    </row>
    <row r="982" spans="1:6" x14ac:dyDescent="0.35">
      <c r="A982">
        <f t="shared" si="49"/>
        <v>0</v>
      </c>
      <c r="B982">
        <f t="shared" si="50"/>
        <v>46</v>
      </c>
      <c r="C982" s="8" t="s">
        <v>109</v>
      </c>
      <c r="D982" s="18">
        <f>VLOOKUP(C982,'DISTRIBUIÇÃO NF4267'!$E$3:$FQ$75,MATCH(B982,'DISTRIBUIÇÃO NF4267'!$E$3:$FQ$3,0)+1,0)</f>
        <v>4</v>
      </c>
      <c r="F982" s="28">
        <f t="shared" si="48"/>
        <v>3</v>
      </c>
    </row>
    <row r="983" spans="1:6" x14ac:dyDescent="0.35">
      <c r="A983">
        <f t="shared" si="49"/>
        <v>0</v>
      </c>
      <c r="B983">
        <f t="shared" si="50"/>
        <v>46</v>
      </c>
      <c r="C983" s="8" t="s">
        <v>110</v>
      </c>
      <c r="D983" s="18">
        <f>VLOOKUP(C983,'DISTRIBUIÇÃO NF4267'!$E$3:$FQ$75,MATCH(B983,'DISTRIBUIÇÃO NF4267'!$E$3:$FQ$3,0)+1,0)</f>
        <v>2</v>
      </c>
      <c r="F983" s="28">
        <f t="shared" si="48"/>
        <v>3</v>
      </c>
    </row>
    <row r="984" spans="1:6" x14ac:dyDescent="0.35">
      <c r="A984">
        <f t="shared" si="49"/>
        <v>0</v>
      </c>
      <c r="B984">
        <f t="shared" si="50"/>
        <v>46</v>
      </c>
      <c r="C984" s="8" t="s">
        <v>111</v>
      </c>
      <c r="D984" s="18">
        <f>VLOOKUP(C984,'DISTRIBUIÇÃO NF4267'!$E$3:$FQ$75,MATCH(B984,'DISTRIBUIÇÃO NF4267'!$E$3:$FQ$3,0)+1,0)</f>
        <v>2</v>
      </c>
      <c r="F984" s="28">
        <f t="shared" si="48"/>
        <v>3</v>
      </c>
    </row>
    <row r="985" spans="1:6" x14ac:dyDescent="0.35">
      <c r="A985">
        <f t="shared" si="49"/>
        <v>0</v>
      </c>
      <c r="B985">
        <f t="shared" si="50"/>
        <v>46</v>
      </c>
      <c r="C985" s="8" t="s">
        <v>112</v>
      </c>
      <c r="D985" s="18">
        <f>VLOOKUP(C985,'DISTRIBUIÇÃO NF4267'!$E$3:$FQ$75,MATCH(B985,'DISTRIBUIÇÃO NF4267'!$E$3:$FQ$3,0)+1,0)</f>
        <v>0</v>
      </c>
      <c r="F985" s="28">
        <f t="shared" si="48"/>
        <v>3</v>
      </c>
    </row>
    <row r="986" spans="1:6" x14ac:dyDescent="0.35">
      <c r="A986">
        <f t="shared" si="49"/>
        <v>0</v>
      </c>
      <c r="B986">
        <f t="shared" si="50"/>
        <v>46</v>
      </c>
      <c r="C986" s="9" t="s">
        <v>113</v>
      </c>
      <c r="D986" s="18">
        <f>VLOOKUP(C986,'DISTRIBUIÇÃO NF4267'!$E$3:$FQ$75,MATCH(B986,'DISTRIBUIÇÃO NF4267'!$E$3:$FQ$3,0)+1,0)</f>
        <v>0</v>
      </c>
      <c r="F986" s="28">
        <f t="shared" si="48"/>
        <v>3</v>
      </c>
    </row>
    <row r="987" spans="1:6" x14ac:dyDescent="0.35">
      <c r="A987">
        <f t="shared" si="49"/>
        <v>0</v>
      </c>
      <c r="B987">
        <f t="shared" si="50"/>
        <v>46</v>
      </c>
      <c r="C987" s="9" t="s">
        <v>114</v>
      </c>
      <c r="D987" s="18">
        <f>VLOOKUP(C987,'DISTRIBUIÇÃO NF4267'!$E$3:$FQ$75,MATCH(B987,'DISTRIBUIÇÃO NF4267'!$E$3:$FQ$3,0)+1,0)</f>
        <v>6</v>
      </c>
      <c r="F987" s="28">
        <f t="shared" si="48"/>
        <v>3</v>
      </c>
    </row>
    <row r="988" spans="1:6" x14ac:dyDescent="0.35">
      <c r="A988">
        <f t="shared" si="49"/>
        <v>0</v>
      </c>
      <c r="B988">
        <f t="shared" si="50"/>
        <v>46</v>
      </c>
      <c r="C988" s="9" t="s">
        <v>115</v>
      </c>
      <c r="D988" s="18">
        <f>VLOOKUP(C988,'DISTRIBUIÇÃO NF4267'!$E$3:$FQ$75,MATCH(B988,'DISTRIBUIÇÃO NF4267'!$E$3:$FQ$3,0)+1,0)</f>
        <v>8</v>
      </c>
      <c r="F988" s="28">
        <f t="shared" si="48"/>
        <v>3</v>
      </c>
    </row>
    <row r="989" spans="1:6" x14ac:dyDescent="0.35">
      <c r="A989">
        <f t="shared" si="49"/>
        <v>0</v>
      </c>
      <c r="B989">
        <f t="shared" si="50"/>
        <v>46</v>
      </c>
      <c r="C989" s="9" t="s">
        <v>116</v>
      </c>
      <c r="D989" s="18">
        <f>VLOOKUP(C989,'DISTRIBUIÇÃO NF4267'!$E$3:$FQ$75,MATCH(B989,'DISTRIBUIÇÃO NF4267'!$E$3:$FQ$3,0)+1,0)</f>
        <v>4</v>
      </c>
      <c r="F989" s="28">
        <f t="shared" si="48"/>
        <v>3</v>
      </c>
    </row>
    <row r="990" spans="1:6" x14ac:dyDescent="0.35">
      <c r="A990">
        <f t="shared" si="49"/>
        <v>0</v>
      </c>
      <c r="B990">
        <f t="shared" si="50"/>
        <v>46</v>
      </c>
      <c r="C990" s="9" t="s">
        <v>117</v>
      </c>
      <c r="D990" s="18">
        <f>VLOOKUP(C990,'DISTRIBUIÇÃO NF4267'!$E$3:$FQ$75,MATCH(B990,'DISTRIBUIÇÃO NF4267'!$E$3:$FQ$3,0)+1,0)</f>
        <v>2</v>
      </c>
      <c r="F990" s="28">
        <f t="shared" si="48"/>
        <v>3</v>
      </c>
    </row>
    <row r="991" spans="1:6" x14ac:dyDescent="0.35">
      <c r="A991">
        <f t="shared" si="49"/>
        <v>0</v>
      </c>
      <c r="B991">
        <f t="shared" si="50"/>
        <v>46</v>
      </c>
      <c r="C991" s="9" t="s">
        <v>118</v>
      </c>
      <c r="D991" s="18">
        <f>VLOOKUP(C991,'DISTRIBUIÇÃO NF4267'!$E$3:$FQ$75,MATCH(B991,'DISTRIBUIÇÃO NF4267'!$E$3:$FQ$3,0)+1,0)</f>
        <v>0</v>
      </c>
      <c r="F991" s="28">
        <f t="shared" si="48"/>
        <v>3</v>
      </c>
    </row>
    <row r="992" spans="1:6" x14ac:dyDescent="0.35">
      <c r="A992">
        <f t="shared" si="49"/>
        <v>0</v>
      </c>
      <c r="B992">
        <f t="shared" si="50"/>
        <v>46</v>
      </c>
      <c r="C992" s="10" t="s">
        <v>119</v>
      </c>
      <c r="D992" s="18">
        <f>VLOOKUP(C992,'DISTRIBUIÇÃO NF4267'!$E$3:$FQ$75,MATCH(B992,'DISTRIBUIÇÃO NF4267'!$E$3:$FQ$3,0)+1,0)</f>
        <v>0</v>
      </c>
      <c r="F992" s="28">
        <f t="shared" si="48"/>
        <v>3</v>
      </c>
    </row>
    <row r="993" spans="1:6" x14ac:dyDescent="0.35">
      <c r="A993">
        <f t="shared" si="49"/>
        <v>0</v>
      </c>
      <c r="B993">
        <f t="shared" si="50"/>
        <v>46</v>
      </c>
      <c r="C993" s="10" t="s">
        <v>120</v>
      </c>
      <c r="D993" s="18">
        <f>VLOOKUP(C993,'DISTRIBUIÇÃO NF4267'!$E$3:$FQ$75,MATCH(B993,'DISTRIBUIÇÃO NF4267'!$E$3:$FQ$3,0)+1,0)</f>
        <v>48</v>
      </c>
      <c r="F993" s="28">
        <f t="shared" si="48"/>
        <v>3</v>
      </c>
    </row>
    <row r="994" spans="1:6" x14ac:dyDescent="0.35">
      <c r="A994">
        <f t="shared" si="49"/>
        <v>0</v>
      </c>
      <c r="B994">
        <f t="shared" si="50"/>
        <v>46</v>
      </c>
      <c r="C994" s="10" t="s">
        <v>121</v>
      </c>
      <c r="D994" s="18">
        <f>VLOOKUP(C994,'DISTRIBUIÇÃO NF4267'!$E$3:$FQ$75,MATCH(B994,'DISTRIBUIÇÃO NF4267'!$E$3:$FQ$3,0)+1,0)</f>
        <v>16</v>
      </c>
      <c r="F994" s="28">
        <f t="shared" si="48"/>
        <v>3</v>
      </c>
    </row>
    <row r="995" spans="1:6" x14ac:dyDescent="0.35">
      <c r="A995">
        <f t="shared" si="49"/>
        <v>0</v>
      </c>
      <c r="B995">
        <f t="shared" si="50"/>
        <v>46</v>
      </c>
      <c r="C995" s="10" t="s">
        <v>122</v>
      </c>
      <c r="D995" s="18">
        <f>VLOOKUP(C995,'DISTRIBUIÇÃO NF4267'!$E$3:$FQ$75,MATCH(B995,'DISTRIBUIÇÃO NF4267'!$E$3:$FQ$3,0)+1,0)</f>
        <v>16</v>
      </c>
      <c r="F995" s="28">
        <f t="shared" si="48"/>
        <v>3</v>
      </c>
    </row>
    <row r="996" spans="1:6" x14ac:dyDescent="0.35">
      <c r="A996">
        <f t="shared" si="49"/>
        <v>0</v>
      </c>
      <c r="B996">
        <f t="shared" si="50"/>
        <v>46</v>
      </c>
      <c r="C996" s="10" t="s">
        <v>123</v>
      </c>
      <c r="D996" s="18">
        <f>VLOOKUP(C996,'DISTRIBUIÇÃO NF4267'!$E$3:$FQ$75,MATCH(B996,'DISTRIBUIÇÃO NF4267'!$E$3:$FQ$3,0)+1,0)</f>
        <v>0</v>
      </c>
      <c r="F996" s="28">
        <f t="shared" si="48"/>
        <v>3</v>
      </c>
    </row>
    <row r="997" spans="1:6" x14ac:dyDescent="0.35">
      <c r="A997">
        <f t="shared" si="49"/>
        <v>0</v>
      </c>
      <c r="B997">
        <f t="shared" si="50"/>
        <v>46</v>
      </c>
      <c r="C997" s="10" t="s">
        <v>124</v>
      </c>
      <c r="D997" s="18">
        <f>VLOOKUP(C997,'DISTRIBUIÇÃO NF4267'!$E$3:$FQ$75,MATCH(B997,'DISTRIBUIÇÃO NF4267'!$E$3:$FQ$3,0)+1,0)</f>
        <v>0</v>
      </c>
      <c r="F997" s="28">
        <f t="shared" si="48"/>
        <v>3</v>
      </c>
    </row>
    <row r="998" spans="1:6" x14ac:dyDescent="0.35">
      <c r="A998">
        <f t="shared" si="49"/>
        <v>0</v>
      </c>
      <c r="B998">
        <f t="shared" si="50"/>
        <v>46</v>
      </c>
      <c r="C998" s="11" t="s">
        <v>16</v>
      </c>
      <c r="D998" s="18">
        <f>VLOOKUP(C998,'DISTRIBUIÇÃO NF4267'!$E$3:$FQ$75,MATCH(B998,'DISTRIBUIÇÃO NF4267'!$E$3:$FQ$3,0)+1,0)</f>
        <v>0</v>
      </c>
      <c r="F998" s="28">
        <f t="shared" si="48"/>
        <v>3</v>
      </c>
    </row>
    <row r="999" spans="1:6" x14ac:dyDescent="0.35">
      <c r="A999">
        <f t="shared" si="49"/>
        <v>0</v>
      </c>
      <c r="B999">
        <f t="shared" si="50"/>
        <v>46</v>
      </c>
      <c r="C999" s="11" t="s">
        <v>17</v>
      </c>
      <c r="D999" s="18">
        <f>VLOOKUP(C999,'DISTRIBUIÇÃO NF4267'!$E$3:$FQ$75,MATCH(B999,'DISTRIBUIÇÃO NF4267'!$E$3:$FQ$3,0)+1,0)</f>
        <v>12</v>
      </c>
      <c r="F999" s="28">
        <f t="shared" si="48"/>
        <v>3</v>
      </c>
    </row>
    <row r="1000" spans="1:6" x14ac:dyDescent="0.35">
      <c r="A1000">
        <f t="shared" si="49"/>
        <v>0</v>
      </c>
      <c r="B1000">
        <f t="shared" si="50"/>
        <v>46</v>
      </c>
      <c r="C1000" s="11" t="s">
        <v>18</v>
      </c>
      <c r="D1000" s="18">
        <f>VLOOKUP(C1000,'DISTRIBUIÇÃO NF4267'!$E$3:$FQ$75,MATCH(B1000,'DISTRIBUIÇÃO NF4267'!$E$3:$FQ$3,0)+1,0)</f>
        <v>4</v>
      </c>
      <c r="F1000" s="28">
        <f t="shared" si="48"/>
        <v>3</v>
      </c>
    </row>
    <row r="1001" spans="1:6" x14ac:dyDescent="0.35">
      <c r="A1001">
        <f t="shared" si="49"/>
        <v>0</v>
      </c>
      <c r="B1001">
        <f t="shared" si="50"/>
        <v>46</v>
      </c>
      <c r="C1001" s="11" t="s">
        <v>19</v>
      </c>
      <c r="D1001" s="18">
        <f>VLOOKUP(C1001,'DISTRIBUIÇÃO NF4267'!$E$3:$FQ$75,MATCH(B1001,'DISTRIBUIÇÃO NF4267'!$E$3:$FQ$3,0)+1,0)</f>
        <v>4</v>
      </c>
      <c r="F1001" s="28">
        <f t="shared" si="48"/>
        <v>3</v>
      </c>
    </row>
    <row r="1002" spans="1:6" x14ac:dyDescent="0.35">
      <c r="A1002">
        <f t="shared" si="49"/>
        <v>0</v>
      </c>
      <c r="B1002">
        <f t="shared" si="50"/>
        <v>46</v>
      </c>
      <c r="C1002" s="11" t="s">
        <v>20</v>
      </c>
      <c r="D1002" s="18">
        <f>VLOOKUP(C1002,'DISTRIBUIÇÃO NF4267'!$E$3:$FQ$75,MATCH(B1002,'DISTRIBUIÇÃO NF4267'!$E$3:$FQ$3,0)+1,0)</f>
        <v>20</v>
      </c>
      <c r="F1002" s="28">
        <f t="shared" si="48"/>
        <v>3</v>
      </c>
    </row>
    <row r="1003" spans="1:6" x14ac:dyDescent="0.35">
      <c r="A1003">
        <f t="shared" si="49"/>
        <v>0</v>
      </c>
      <c r="B1003">
        <f t="shared" si="50"/>
        <v>46</v>
      </c>
      <c r="C1003" s="11" t="s">
        <v>21</v>
      </c>
      <c r="D1003" s="18">
        <f>VLOOKUP(C1003,'DISTRIBUIÇÃO NF4267'!$E$3:$FQ$75,MATCH(B1003,'DISTRIBUIÇÃO NF4267'!$E$3:$FQ$3,0)+1,0)</f>
        <v>0</v>
      </c>
      <c r="F1003" s="28">
        <f t="shared" si="48"/>
        <v>3</v>
      </c>
    </row>
    <row r="1004" spans="1:6" x14ac:dyDescent="0.35">
      <c r="A1004">
        <f t="shared" si="49"/>
        <v>0</v>
      </c>
      <c r="B1004">
        <f t="shared" si="50"/>
        <v>46</v>
      </c>
      <c r="C1004" s="12" t="s">
        <v>130</v>
      </c>
      <c r="D1004" s="18">
        <f>VLOOKUP(C1004,'DISTRIBUIÇÃO NF4267'!$E$3:$FQ$75,MATCH(B1004,'DISTRIBUIÇÃO NF4267'!$E$3:$FQ$3,0)+1,0)</f>
        <v>0</v>
      </c>
      <c r="F1004" s="28">
        <f t="shared" si="48"/>
        <v>3</v>
      </c>
    </row>
    <row r="1005" spans="1:6" x14ac:dyDescent="0.35">
      <c r="A1005">
        <f t="shared" si="49"/>
        <v>0</v>
      </c>
      <c r="B1005">
        <f t="shared" si="50"/>
        <v>46</v>
      </c>
      <c r="C1005" s="12" t="s">
        <v>131</v>
      </c>
      <c r="D1005" s="18">
        <f>VLOOKUP(C1005,'DISTRIBUIÇÃO NF4267'!$E$3:$FQ$75,MATCH(B1005,'DISTRIBUIÇÃO NF4267'!$E$3:$FQ$3,0)+1,0)</f>
        <v>1</v>
      </c>
      <c r="F1005" s="28">
        <f t="shared" si="48"/>
        <v>3</v>
      </c>
    </row>
    <row r="1006" spans="1:6" x14ac:dyDescent="0.35">
      <c r="A1006">
        <f t="shared" si="49"/>
        <v>0</v>
      </c>
      <c r="B1006">
        <f t="shared" si="50"/>
        <v>46</v>
      </c>
      <c r="C1006" s="12" t="s">
        <v>132</v>
      </c>
      <c r="D1006" s="18">
        <f>VLOOKUP(C1006,'DISTRIBUIÇÃO NF4267'!$E$3:$FQ$75,MATCH(B1006,'DISTRIBUIÇÃO NF4267'!$E$3:$FQ$3,0)+1,0)</f>
        <v>4</v>
      </c>
      <c r="F1006" s="28">
        <f t="shared" si="48"/>
        <v>3</v>
      </c>
    </row>
    <row r="1007" spans="1:6" x14ac:dyDescent="0.35">
      <c r="A1007">
        <f t="shared" si="49"/>
        <v>0</v>
      </c>
      <c r="B1007">
        <f t="shared" si="50"/>
        <v>46</v>
      </c>
      <c r="C1007" s="12" t="s">
        <v>133</v>
      </c>
      <c r="D1007" s="18">
        <f>VLOOKUP(C1007,'DISTRIBUIÇÃO NF4267'!$E$3:$FQ$75,MATCH(B1007,'DISTRIBUIÇÃO NF4267'!$E$3:$FQ$3,0)+1,0)</f>
        <v>3</v>
      </c>
      <c r="F1007" s="28">
        <f t="shared" si="48"/>
        <v>3</v>
      </c>
    </row>
    <row r="1008" spans="1:6" x14ac:dyDescent="0.35">
      <c r="A1008">
        <f t="shared" si="49"/>
        <v>0</v>
      </c>
      <c r="B1008">
        <f t="shared" si="50"/>
        <v>46</v>
      </c>
      <c r="C1008" s="12" t="s">
        <v>134</v>
      </c>
      <c r="D1008" s="18">
        <f>VLOOKUP(C1008,'DISTRIBUIÇÃO NF4267'!$E$3:$FQ$75,MATCH(B1008,'DISTRIBUIÇÃO NF4267'!$E$3:$FQ$3,0)+1,0)</f>
        <v>2</v>
      </c>
      <c r="F1008" s="28">
        <f t="shared" si="48"/>
        <v>3</v>
      </c>
    </row>
    <row r="1009" spans="1:6" x14ac:dyDescent="0.35">
      <c r="A1009">
        <f t="shared" si="49"/>
        <v>0</v>
      </c>
      <c r="B1009">
        <f t="shared" si="50"/>
        <v>46</v>
      </c>
      <c r="C1009" s="12" t="s">
        <v>135</v>
      </c>
      <c r="D1009" s="18">
        <f>VLOOKUP(C1009,'DISTRIBUIÇÃO NF4267'!$E$3:$FQ$75,MATCH(B1009,'DISTRIBUIÇÃO NF4267'!$E$3:$FQ$3,0)+1,0)</f>
        <v>0</v>
      </c>
      <c r="F1009" s="28">
        <f t="shared" si="48"/>
        <v>3</v>
      </c>
    </row>
    <row r="1010" spans="1:6" x14ac:dyDescent="0.35">
      <c r="A1010">
        <f t="shared" si="49"/>
        <v>0</v>
      </c>
      <c r="B1010">
        <f t="shared" si="50"/>
        <v>46</v>
      </c>
      <c r="C1010" s="13" t="s">
        <v>22</v>
      </c>
      <c r="D1010" s="18">
        <f>VLOOKUP(C1010,'DISTRIBUIÇÃO NF4267'!$E$3:$FQ$75,MATCH(B1010,'DISTRIBUIÇÃO NF4267'!$E$3:$FQ$3,0)+1,0)</f>
        <v>0</v>
      </c>
      <c r="F1010" s="28">
        <f t="shared" si="48"/>
        <v>3</v>
      </c>
    </row>
    <row r="1011" spans="1:6" x14ac:dyDescent="0.35">
      <c r="A1011">
        <f t="shared" si="49"/>
        <v>0</v>
      </c>
      <c r="B1011">
        <f t="shared" si="50"/>
        <v>46</v>
      </c>
      <c r="C1011" s="13" t="s">
        <v>23</v>
      </c>
      <c r="D1011" s="18">
        <f>VLOOKUP(C1011,'DISTRIBUIÇÃO NF4267'!$E$3:$FQ$75,MATCH(B1011,'DISTRIBUIÇÃO NF4267'!$E$3:$FQ$3,0)+1,0)</f>
        <v>1</v>
      </c>
      <c r="F1011" s="28">
        <f t="shared" si="48"/>
        <v>3</v>
      </c>
    </row>
    <row r="1012" spans="1:6" x14ac:dyDescent="0.35">
      <c r="A1012">
        <f t="shared" si="49"/>
        <v>0</v>
      </c>
      <c r="B1012">
        <f t="shared" si="50"/>
        <v>46</v>
      </c>
      <c r="C1012" s="13" t="s">
        <v>24</v>
      </c>
      <c r="D1012" s="18">
        <f>VLOOKUP(C1012,'DISTRIBUIÇÃO NF4267'!$E$3:$FQ$75,MATCH(B1012,'DISTRIBUIÇÃO NF4267'!$E$3:$FQ$3,0)+1,0)</f>
        <v>6</v>
      </c>
      <c r="F1012" s="28">
        <f t="shared" si="48"/>
        <v>3</v>
      </c>
    </row>
    <row r="1013" spans="1:6" x14ac:dyDescent="0.35">
      <c r="A1013">
        <f t="shared" si="49"/>
        <v>0</v>
      </c>
      <c r="B1013">
        <f t="shared" si="50"/>
        <v>46</v>
      </c>
      <c r="C1013" s="13" t="s">
        <v>25</v>
      </c>
      <c r="D1013" s="18">
        <f>VLOOKUP(C1013,'DISTRIBUIÇÃO NF4267'!$E$3:$FQ$75,MATCH(B1013,'DISTRIBUIÇÃO NF4267'!$E$3:$FQ$3,0)+1,0)</f>
        <v>2</v>
      </c>
      <c r="F1013" s="28">
        <f t="shared" si="48"/>
        <v>3</v>
      </c>
    </row>
    <row r="1014" spans="1:6" x14ac:dyDescent="0.35">
      <c r="A1014">
        <f t="shared" si="49"/>
        <v>0</v>
      </c>
      <c r="B1014">
        <f t="shared" si="50"/>
        <v>46</v>
      </c>
      <c r="C1014" s="13" t="s">
        <v>26</v>
      </c>
      <c r="D1014" s="18">
        <f>VLOOKUP(C1014,'DISTRIBUIÇÃO NF4267'!$E$3:$FQ$75,MATCH(B1014,'DISTRIBUIÇÃO NF4267'!$E$3:$FQ$3,0)+1,0)</f>
        <v>1</v>
      </c>
      <c r="F1014" s="28">
        <f t="shared" si="48"/>
        <v>3</v>
      </c>
    </row>
    <row r="1015" spans="1:6" x14ac:dyDescent="0.35">
      <c r="A1015">
        <f t="shared" si="49"/>
        <v>0</v>
      </c>
      <c r="B1015">
        <f t="shared" si="50"/>
        <v>46</v>
      </c>
      <c r="C1015" s="13" t="s">
        <v>27</v>
      </c>
      <c r="D1015" s="18">
        <f>VLOOKUP(C1015,'DISTRIBUIÇÃO NF4267'!$E$3:$FQ$75,MATCH(B1015,'DISTRIBUIÇÃO NF4267'!$E$3:$FQ$3,0)+1,0)</f>
        <v>0</v>
      </c>
      <c r="F1015" s="28">
        <f t="shared" si="48"/>
        <v>3</v>
      </c>
    </row>
    <row r="1016" spans="1:6" x14ac:dyDescent="0.35">
      <c r="A1016">
        <f t="shared" si="49"/>
        <v>0</v>
      </c>
      <c r="B1016">
        <f t="shared" si="50"/>
        <v>46</v>
      </c>
      <c r="C1016" s="14" t="s">
        <v>138</v>
      </c>
      <c r="D1016" s="18">
        <f>VLOOKUP(C1016,'DISTRIBUIÇÃO NF4267'!$E$3:$FQ$75,MATCH(B1016,'DISTRIBUIÇÃO NF4267'!$E$3:$FQ$3,0)+1,0)</f>
        <v>0</v>
      </c>
      <c r="F1016" s="28">
        <f t="shared" ref="F1016:F1079" si="51">ROUNDUP(SUMIFS(D:D,B:B,B1016)/80,0)</f>
        <v>3</v>
      </c>
    </row>
    <row r="1017" spans="1:6" x14ac:dyDescent="0.35">
      <c r="A1017">
        <f t="shared" si="49"/>
        <v>0</v>
      </c>
      <c r="B1017">
        <f t="shared" si="50"/>
        <v>46</v>
      </c>
      <c r="C1017" s="14" t="s">
        <v>139</v>
      </c>
      <c r="D1017" s="18">
        <f>VLOOKUP(C1017,'DISTRIBUIÇÃO NF4267'!$E$3:$FQ$75,MATCH(B1017,'DISTRIBUIÇÃO NF4267'!$E$3:$FQ$3,0)+1,0)</f>
        <v>4</v>
      </c>
      <c r="F1017" s="28">
        <f t="shared" si="51"/>
        <v>3</v>
      </c>
    </row>
    <row r="1018" spans="1:6" x14ac:dyDescent="0.35">
      <c r="A1018">
        <f t="shared" si="49"/>
        <v>0</v>
      </c>
      <c r="B1018">
        <f t="shared" si="50"/>
        <v>46</v>
      </c>
      <c r="C1018" s="14" t="s">
        <v>140</v>
      </c>
      <c r="D1018" s="18">
        <f>VLOOKUP(C1018,'DISTRIBUIÇÃO NF4267'!$E$3:$FQ$75,MATCH(B1018,'DISTRIBUIÇÃO NF4267'!$E$3:$FQ$3,0)+1,0)</f>
        <v>8</v>
      </c>
      <c r="F1018" s="28">
        <f t="shared" si="51"/>
        <v>3</v>
      </c>
    </row>
    <row r="1019" spans="1:6" x14ac:dyDescent="0.35">
      <c r="A1019">
        <f t="shared" si="49"/>
        <v>0</v>
      </c>
      <c r="B1019">
        <f t="shared" si="50"/>
        <v>46</v>
      </c>
      <c r="C1019" s="14" t="s">
        <v>141</v>
      </c>
      <c r="D1019" s="18">
        <f>VLOOKUP(C1019,'DISTRIBUIÇÃO NF4267'!$E$3:$FQ$75,MATCH(B1019,'DISTRIBUIÇÃO NF4267'!$E$3:$FQ$3,0)+1,0)</f>
        <v>4</v>
      </c>
      <c r="F1019" s="28">
        <f t="shared" si="51"/>
        <v>3</v>
      </c>
    </row>
    <row r="1020" spans="1:6" x14ac:dyDescent="0.35">
      <c r="A1020">
        <f t="shared" si="49"/>
        <v>0</v>
      </c>
      <c r="B1020">
        <f t="shared" si="50"/>
        <v>46</v>
      </c>
      <c r="C1020" s="14" t="s">
        <v>142</v>
      </c>
      <c r="D1020" s="18">
        <f>VLOOKUP(C1020,'DISTRIBUIÇÃO NF4267'!$E$3:$FQ$75,MATCH(B1020,'DISTRIBUIÇÃO NF4267'!$E$3:$FQ$3,0)+1,0)</f>
        <v>4</v>
      </c>
      <c r="F1020" s="28">
        <f t="shared" si="51"/>
        <v>3</v>
      </c>
    </row>
    <row r="1021" spans="1:6" x14ac:dyDescent="0.35">
      <c r="A1021">
        <f t="shared" si="49"/>
        <v>0</v>
      </c>
      <c r="B1021">
        <f t="shared" si="50"/>
        <v>46</v>
      </c>
      <c r="C1021" s="14" t="s">
        <v>143</v>
      </c>
      <c r="D1021" s="18">
        <f>VLOOKUP(C1021,'DISTRIBUIÇÃO NF4267'!$E$3:$FQ$75,MATCH(B1021,'DISTRIBUIÇÃO NF4267'!$E$3:$FQ$3,0)+1,0)</f>
        <v>0</v>
      </c>
      <c r="F1021" s="28">
        <f t="shared" si="51"/>
        <v>3</v>
      </c>
    </row>
    <row r="1022" spans="1:6" x14ac:dyDescent="0.35">
      <c r="A1022">
        <f t="shared" si="49"/>
        <v>0</v>
      </c>
      <c r="B1022">
        <f t="shared" si="50"/>
        <v>46</v>
      </c>
      <c r="C1022" s="15" t="s">
        <v>145</v>
      </c>
      <c r="D1022" s="18">
        <f>VLOOKUP(C1022,'DISTRIBUIÇÃO NF4267'!$E$3:$FQ$75,MATCH(B1022,'DISTRIBUIÇÃO NF4267'!$E$3:$FQ$3,0)+1,0)</f>
        <v>0</v>
      </c>
      <c r="F1022" s="28">
        <f t="shared" si="51"/>
        <v>3</v>
      </c>
    </row>
    <row r="1023" spans="1:6" x14ac:dyDescent="0.35">
      <c r="A1023">
        <f t="shared" si="49"/>
        <v>0</v>
      </c>
      <c r="B1023">
        <f t="shared" si="50"/>
        <v>46</v>
      </c>
      <c r="C1023" s="15" t="s">
        <v>146</v>
      </c>
      <c r="D1023" s="18">
        <f>VLOOKUP(C1023,'DISTRIBUIÇÃO NF4267'!$E$3:$FQ$75,MATCH(B1023,'DISTRIBUIÇÃO NF4267'!$E$3:$FQ$3,0)+1,0)</f>
        <v>2</v>
      </c>
      <c r="F1023" s="28">
        <f t="shared" si="51"/>
        <v>3</v>
      </c>
    </row>
    <row r="1024" spans="1:6" x14ac:dyDescent="0.35">
      <c r="A1024">
        <f t="shared" si="49"/>
        <v>0</v>
      </c>
      <c r="B1024">
        <f t="shared" si="50"/>
        <v>46</v>
      </c>
      <c r="C1024" s="15" t="s">
        <v>147</v>
      </c>
      <c r="D1024" s="18">
        <f>VLOOKUP(C1024,'DISTRIBUIÇÃO NF4267'!$E$3:$FQ$75,MATCH(B1024,'DISTRIBUIÇÃO NF4267'!$E$3:$FQ$3,0)+1,0)</f>
        <v>4</v>
      </c>
      <c r="F1024" s="28">
        <f t="shared" si="51"/>
        <v>3</v>
      </c>
    </row>
    <row r="1025" spans="1:6" x14ac:dyDescent="0.35">
      <c r="A1025">
        <f t="shared" si="49"/>
        <v>0</v>
      </c>
      <c r="B1025">
        <f t="shared" si="50"/>
        <v>46</v>
      </c>
      <c r="C1025" s="15" t="s">
        <v>148</v>
      </c>
      <c r="D1025" s="18">
        <f>VLOOKUP(C1025,'DISTRIBUIÇÃO NF4267'!$E$3:$FQ$75,MATCH(B1025,'DISTRIBUIÇÃO NF4267'!$E$3:$FQ$3,0)+1,0)</f>
        <v>2</v>
      </c>
      <c r="F1025" s="28">
        <f t="shared" si="51"/>
        <v>3</v>
      </c>
    </row>
    <row r="1026" spans="1:6" x14ac:dyDescent="0.35">
      <c r="A1026">
        <f t="shared" ref="A1026:A1089" si="52">IF(ISERROR(VLOOKUP(C1026,I:I,1,0)),0,1)</f>
        <v>0</v>
      </c>
      <c r="B1026">
        <f t="shared" si="50"/>
        <v>46</v>
      </c>
      <c r="C1026" s="15" t="s">
        <v>149</v>
      </c>
      <c r="D1026" s="18">
        <f>VLOOKUP(C1026,'DISTRIBUIÇÃO NF4267'!$E$3:$FQ$75,MATCH(B1026,'DISTRIBUIÇÃO NF4267'!$E$3:$FQ$3,0)+1,0)</f>
        <v>2</v>
      </c>
      <c r="F1026" s="28">
        <f t="shared" si="51"/>
        <v>3</v>
      </c>
    </row>
    <row r="1027" spans="1:6" x14ac:dyDescent="0.35">
      <c r="A1027">
        <f t="shared" si="52"/>
        <v>0</v>
      </c>
      <c r="B1027">
        <f t="shared" si="50"/>
        <v>46</v>
      </c>
      <c r="C1027" s="15" t="s">
        <v>150</v>
      </c>
      <c r="D1027" s="18">
        <f>VLOOKUP(C1027,'DISTRIBUIÇÃO NF4267'!$E$3:$FQ$75,MATCH(B1027,'DISTRIBUIÇÃO NF4267'!$E$3:$FQ$3,0)+1,0)</f>
        <v>0</v>
      </c>
      <c r="F1027" s="28">
        <f t="shared" si="51"/>
        <v>3</v>
      </c>
    </row>
    <row r="1028" spans="1:6" x14ac:dyDescent="0.35">
      <c r="A1028">
        <f t="shared" si="52"/>
        <v>0</v>
      </c>
      <c r="B1028">
        <v>19</v>
      </c>
      <c r="C1028" s="7" t="s">
        <v>98</v>
      </c>
      <c r="D1028" s="18">
        <f>VLOOKUP(C1028,'DISTRIBUIÇÃO NF4267'!$E$3:$FQ$75,MATCH(B1028,'DISTRIBUIÇÃO NF4267'!$E$3:$FQ$3,0)+1,0)</f>
        <v>0</v>
      </c>
      <c r="F1028" s="28">
        <f t="shared" si="51"/>
        <v>3</v>
      </c>
    </row>
    <row r="1029" spans="1:6" x14ac:dyDescent="0.35">
      <c r="A1029">
        <f t="shared" si="52"/>
        <v>0</v>
      </c>
      <c r="B1029">
        <f>B1028</f>
        <v>19</v>
      </c>
      <c r="C1029" s="7" t="s">
        <v>99</v>
      </c>
      <c r="D1029" s="18">
        <f>VLOOKUP(C1029,'DISTRIBUIÇÃO NF4267'!$E$3:$FQ$75,MATCH(B1029,'DISTRIBUIÇÃO NF4267'!$E$3:$FQ$3,0)+1,0)</f>
        <v>4</v>
      </c>
      <c r="F1029" s="28">
        <f t="shared" si="51"/>
        <v>3</v>
      </c>
    </row>
    <row r="1030" spans="1:6" x14ac:dyDescent="0.35">
      <c r="A1030">
        <f t="shared" si="52"/>
        <v>0</v>
      </c>
      <c r="B1030">
        <f t="shared" ref="B1030:B1081" si="53">B1029</f>
        <v>19</v>
      </c>
      <c r="C1030" s="7" t="s">
        <v>100</v>
      </c>
      <c r="D1030" s="18">
        <f>VLOOKUP(C1030,'DISTRIBUIÇÃO NF4267'!$E$3:$FQ$75,MATCH(B1030,'DISTRIBUIÇÃO NF4267'!$E$3:$FQ$3,0)+1,0)</f>
        <v>8</v>
      </c>
      <c r="F1030" s="28">
        <f t="shared" si="51"/>
        <v>3</v>
      </c>
    </row>
    <row r="1031" spans="1:6" x14ac:dyDescent="0.35">
      <c r="A1031">
        <f t="shared" si="52"/>
        <v>0</v>
      </c>
      <c r="B1031">
        <f t="shared" si="53"/>
        <v>19</v>
      </c>
      <c r="C1031" s="7" t="s">
        <v>101</v>
      </c>
      <c r="D1031" s="18">
        <f>VLOOKUP(C1031,'DISTRIBUIÇÃO NF4267'!$E$3:$FQ$75,MATCH(B1031,'DISTRIBUIÇÃO NF4267'!$E$3:$FQ$3,0)+1,0)</f>
        <v>4</v>
      </c>
      <c r="F1031" s="28">
        <f t="shared" si="51"/>
        <v>3</v>
      </c>
    </row>
    <row r="1032" spans="1:6" x14ac:dyDescent="0.35">
      <c r="A1032">
        <f t="shared" si="52"/>
        <v>0</v>
      </c>
      <c r="B1032">
        <f t="shared" si="53"/>
        <v>19</v>
      </c>
      <c r="C1032" s="7" t="s">
        <v>102</v>
      </c>
      <c r="D1032" s="18">
        <f>VLOOKUP(C1032,'DISTRIBUIÇÃO NF4267'!$E$3:$FQ$75,MATCH(B1032,'DISTRIBUIÇÃO NF4267'!$E$3:$FQ$3,0)+1,0)</f>
        <v>4</v>
      </c>
      <c r="F1032" s="28">
        <f t="shared" si="51"/>
        <v>3</v>
      </c>
    </row>
    <row r="1033" spans="1:6" x14ac:dyDescent="0.35">
      <c r="A1033">
        <f t="shared" si="52"/>
        <v>0</v>
      </c>
      <c r="B1033">
        <f t="shared" si="53"/>
        <v>19</v>
      </c>
      <c r="C1033" s="7" t="s">
        <v>103</v>
      </c>
      <c r="D1033" s="18">
        <f>VLOOKUP(C1033,'DISTRIBUIÇÃO NF4267'!$E$3:$FQ$75,MATCH(B1033,'DISTRIBUIÇÃO NF4267'!$E$3:$FQ$3,0)+1,0)</f>
        <v>0</v>
      </c>
      <c r="F1033" s="28">
        <f t="shared" si="51"/>
        <v>3</v>
      </c>
    </row>
    <row r="1034" spans="1:6" x14ac:dyDescent="0.35">
      <c r="A1034">
        <f t="shared" si="52"/>
        <v>0</v>
      </c>
      <c r="B1034">
        <f t="shared" si="53"/>
        <v>19</v>
      </c>
      <c r="C1034" s="8" t="s">
        <v>107</v>
      </c>
      <c r="D1034" s="18">
        <f>VLOOKUP(C1034,'DISTRIBUIÇÃO NF4267'!$E$3:$FQ$75,MATCH(B1034,'DISTRIBUIÇÃO NF4267'!$E$3:$FQ$3,0)+1,0)</f>
        <v>0</v>
      </c>
      <c r="F1034" s="28">
        <f t="shared" si="51"/>
        <v>3</v>
      </c>
    </row>
    <row r="1035" spans="1:6" x14ac:dyDescent="0.35">
      <c r="A1035">
        <f t="shared" si="52"/>
        <v>0</v>
      </c>
      <c r="B1035">
        <f t="shared" si="53"/>
        <v>19</v>
      </c>
      <c r="C1035" s="8" t="s">
        <v>108</v>
      </c>
      <c r="D1035" s="18">
        <f>VLOOKUP(C1035,'DISTRIBUIÇÃO NF4267'!$E$3:$FQ$75,MATCH(B1035,'DISTRIBUIÇÃO NF4267'!$E$3:$FQ$3,0)+1,0)</f>
        <v>2</v>
      </c>
      <c r="F1035" s="28">
        <f t="shared" si="51"/>
        <v>3</v>
      </c>
    </row>
    <row r="1036" spans="1:6" x14ac:dyDescent="0.35">
      <c r="A1036">
        <f t="shared" si="52"/>
        <v>0</v>
      </c>
      <c r="B1036">
        <f t="shared" si="53"/>
        <v>19</v>
      </c>
      <c r="C1036" s="8" t="s">
        <v>109</v>
      </c>
      <c r="D1036" s="18">
        <f>VLOOKUP(C1036,'DISTRIBUIÇÃO NF4267'!$E$3:$FQ$75,MATCH(B1036,'DISTRIBUIÇÃO NF4267'!$E$3:$FQ$3,0)+1,0)</f>
        <v>4</v>
      </c>
      <c r="F1036" s="28">
        <f t="shared" si="51"/>
        <v>3</v>
      </c>
    </row>
    <row r="1037" spans="1:6" x14ac:dyDescent="0.35">
      <c r="A1037">
        <f t="shared" si="52"/>
        <v>0</v>
      </c>
      <c r="B1037">
        <f t="shared" si="53"/>
        <v>19</v>
      </c>
      <c r="C1037" s="8" t="s">
        <v>110</v>
      </c>
      <c r="D1037" s="18">
        <f>VLOOKUP(C1037,'DISTRIBUIÇÃO NF4267'!$E$3:$FQ$75,MATCH(B1037,'DISTRIBUIÇÃO NF4267'!$E$3:$FQ$3,0)+1,0)</f>
        <v>2</v>
      </c>
      <c r="F1037" s="28">
        <f t="shared" si="51"/>
        <v>3</v>
      </c>
    </row>
    <row r="1038" spans="1:6" x14ac:dyDescent="0.35">
      <c r="A1038">
        <f t="shared" si="52"/>
        <v>0</v>
      </c>
      <c r="B1038">
        <f t="shared" si="53"/>
        <v>19</v>
      </c>
      <c r="C1038" s="8" t="s">
        <v>111</v>
      </c>
      <c r="D1038" s="18">
        <f>VLOOKUP(C1038,'DISTRIBUIÇÃO NF4267'!$E$3:$FQ$75,MATCH(B1038,'DISTRIBUIÇÃO NF4267'!$E$3:$FQ$3,0)+1,0)</f>
        <v>2</v>
      </c>
      <c r="F1038" s="28">
        <f t="shared" si="51"/>
        <v>3</v>
      </c>
    </row>
    <row r="1039" spans="1:6" x14ac:dyDescent="0.35">
      <c r="A1039">
        <f t="shared" si="52"/>
        <v>0</v>
      </c>
      <c r="B1039">
        <f t="shared" si="53"/>
        <v>19</v>
      </c>
      <c r="C1039" s="8" t="s">
        <v>112</v>
      </c>
      <c r="D1039" s="18">
        <f>VLOOKUP(C1039,'DISTRIBUIÇÃO NF4267'!$E$3:$FQ$75,MATCH(B1039,'DISTRIBUIÇÃO NF4267'!$E$3:$FQ$3,0)+1,0)</f>
        <v>0</v>
      </c>
      <c r="F1039" s="28">
        <f t="shared" si="51"/>
        <v>3</v>
      </c>
    </row>
    <row r="1040" spans="1:6" x14ac:dyDescent="0.35">
      <c r="A1040">
        <f t="shared" si="52"/>
        <v>0</v>
      </c>
      <c r="B1040">
        <f t="shared" si="53"/>
        <v>19</v>
      </c>
      <c r="C1040" s="9" t="s">
        <v>113</v>
      </c>
      <c r="D1040" s="18">
        <f>VLOOKUP(C1040,'DISTRIBUIÇÃO NF4267'!$E$3:$FQ$75,MATCH(B1040,'DISTRIBUIÇÃO NF4267'!$E$3:$FQ$3,0)+1,0)</f>
        <v>0</v>
      </c>
      <c r="F1040" s="28">
        <f t="shared" si="51"/>
        <v>3</v>
      </c>
    </row>
    <row r="1041" spans="1:6" x14ac:dyDescent="0.35">
      <c r="A1041">
        <f t="shared" si="52"/>
        <v>0</v>
      </c>
      <c r="B1041">
        <f t="shared" si="53"/>
        <v>19</v>
      </c>
      <c r="C1041" s="9" t="s">
        <v>114</v>
      </c>
      <c r="D1041" s="18">
        <f>VLOOKUP(C1041,'DISTRIBUIÇÃO NF4267'!$E$3:$FQ$75,MATCH(B1041,'DISTRIBUIÇÃO NF4267'!$E$3:$FQ$3,0)+1,0)</f>
        <v>6</v>
      </c>
      <c r="F1041" s="28">
        <f t="shared" si="51"/>
        <v>3</v>
      </c>
    </row>
    <row r="1042" spans="1:6" x14ac:dyDescent="0.35">
      <c r="A1042">
        <f t="shared" si="52"/>
        <v>0</v>
      </c>
      <c r="B1042">
        <f t="shared" si="53"/>
        <v>19</v>
      </c>
      <c r="C1042" s="9" t="s">
        <v>115</v>
      </c>
      <c r="D1042" s="18">
        <f>VLOOKUP(C1042,'DISTRIBUIÇÃO NF4267'!$E$3:$FQ$75,MATCH(B1042,'DISTRIBUIÇÃO NF4267'!$E$3:$FQ$3,0)+1,0)</f>
        <v>8</v>
      </c>
      <c r="F1042" s="28">
        <f t="shared" si="51"/>
        <v>3</v>
      </c>
    </row>
    <row r="1043" spans="1:6" x14ac:dyDescent="0.35">
      <c r="A1043">
        <f t="shared" si="52"/>
        <v>0</v>
      </c>
      <c r="B1043">
        <f t="shared" si="53"/>
        <v>19</v>
      </c>
      <c r="C1043" s="9" t="s">
        <v>116</v>
      </c>
      <c r="D1043" s="18">
        <f>VLOOKUP(C1043,'DISTRIBUIÇÃO NF4267'!$E$3:$FQ$75,MATCH(B1043,'DISTRIBUIÇÃO NF4267'!$E$3:$FQ$3,0)+1,0)</f>
        <v>4</v>
      </c>
      <c r="F1043" s="28">
        <f t="shared" si="51"/>
        <v>3</v>
      </c>
    </row>
    <row r="1044" spans="1:6" x14ac:dyDescent="0.35">
      <c r="A1044">
        <f t="shared" si="52"/>
        <v>0</v>
      </c>
      <c r="B1044">
        <f t="shared" si="53"/>
        <v>19</v>
      </c>
      <c r="C1044" s="9" t="s">
        <v>117</v>
      </c>
      <c r="D1044" s="18">
        <f>VLOOKUP(C1044,'DISTRIBUIÇÃO NF4267'!$E$3:$FQ$75,MATCH(B1044,'DISTRIBUIÇÃO NF4267'!$E$3:$FQ$3,0)+1,0)</f>
        <v>2</v>
      </c>
      <c r="F1044" s="28">
        <f t="shared" si="51"/>
        <v>3</v>
      </c>
    </row>
    <row r="1045" spans="1:6" x14ac:dyDescent="0.35">
      <c r="A1045">
        <f t="shared" si="52"/>
        <v>0</v>
      </c>
      <c r="B1045">
        <f t="shared" si="53"/>
        <v>19</v>
      </c>
      <c r="C1045" s="9" t="s">
        <v>118</v>
      </c>
      <c r="D1045" s="18">
        <f>VLOOKUP(C1045,'DISTRIBUIÇÃO NF4267'!$E$3:$FQ$75,MATCH(B1045,'DISTRIBUIÇÃO NF4267'!$E$3:$FQ$3,0)+1,0)</f>
        <v>0</v>
      </c>
      <c r="F1045" s="28">
        <f t="shared" si="51"/>
        <v>3</v>
      </c>
    </row>
    <row r="1046" spans="1:6" x14ac:dyDescent="0.35">
      <c r="A1046">
        <f t="shared" si="52"/>
        <v>0</v>
      </c>
      <c r="B1046">
        <f t="shared" si="53"/>
        <v>19</v>
      </c>
      <c r="C1046" s="10" t="s">
        <v>119</v>
      </c>
      <c r="D1046" s="18">
        <f>VLOOKUP(C1046,'DISTRIBUIÇÃO NF4267'!$E$3:$FQ$75,MATCH(B1046,'DISTRIBUIÇÃO NF4267'!$E$3:$FQ$3,0)+1,0)</f>
        <v>0</v>
      </c>
      <c r="F1046" s="28">
        <f t="shared" si="51"/>
        <v>3</v>
      </c>
    </row>
    <row r="1047" spans="1:6" x14ac:dyDescent="0.35">
      <c r="A1047">
        <f t="shared" si="52"/>
        <v>0</v>
      </c>
      <c r="B1047">
        <f t="shared" si="53"/>
        <v>19</v>
      </c>
      <c r="C1047" s="10" t="s">
        <v>120</v>
      </c>
      <c r="D1047" s="18">
        <f>VLOOKUP(C1047,'DISTRIBUIÇÃO NF4267'!$E$3:$FQ$75,MATCH(B1047,'DISTRIBUIÇÃO NF4267'!$E$3:$FQ$3,0)+1,0)</f>
        <v>48</v>
      </c>
      <c r="F1047" s="28">
        <f t="shared" si="51"/>
        <v>3</v>
      </c>
    </row>
    <row r="1048" spans="1:6" x14ac:dyDescent="0.35">
      <c r="A1048">
        <f t="shared" si="52"/>
        <v>0</v>
      </c>
      <c r="B1048">
        <f t="shared" si="53"/>
        <v>19</v>
      </c>
      <c r="C1048" s="10" t="s">
        <v>121</v>
      </c>
      <c r="D1048" s="18">
        <f>VLOOKUP(C1048,'DISTRIBUIÇÃO NF4267'!$E$3:$FQ$75,MATCH(B1048,'DISTRIBUIÇÃO NF4267'!$E$3:$FQ$3,0)+1,0)</f>
        <v>16</v>
      </c>
      <c r="F1048" s="28">
        <f t="shared" si="51"/>
        <v>3</v>
      </c>
    </row>
    <row r="1049" spans="1:6" x14ac:dyDescent="0.35">
      <c r="A1049">
        <f t="shared" si="52"/>
        <v>0</v>
      </c>
      <c r="B1049">
        <f t="shared" si="53"/>
        <v>19</v>
      </c>
      <c r="C1049" s="10" t="s">
        <v>122</v>
      </c>
      <c r="D1049" s="18">
        <f>VLOOKUP(C1049,'DISTRIBUIÇÃO NF4267'!$E$3:$FQ$75,MATCH(B1049,'DISTRIBUIÇÃO NF4267'!$E$3:$FQ$3,0)+1,0)</f>
        <v>16</v>
      </c>
      <c r="F1049" s="28">
        <f t="shared" si="51"/>
        <v>3</v>
      </c>
    </row>
    <row r="1050" spans="1:6" x14ac:dyDescent="0.35">
      <c r="A1050">
        <f t="shared" si="52"/>
        <v>0</v>
      </c>
      <c r="B1050">
        <f t="shared" si="53"/>
        <v>19</v>
      </c>
      <c r="C1050" s="10" t="s">
        <v>123</v>
      </c>
      <c r="D1050" s="18">
        <f>VLOOKUP(C1050,'DISTRIBUIÇÃO NF4267'!$E$3:$FQ$75,MATCH(B1050,'DISTRIBUIÇÃO NF4267'!$E$3:$FQ$3,0)+1,0)</f>
        <v>0</v>
      </c>
      <c r="F1050" s="28">
        <f t="shared" si="51"/>
        <v>3</v>
      </c>
    </row>
    <row r="1051" spans="1:6" x14ac:dyDescent="0.35">
      <c r="A1051">
        <f t="shared" si="52"/>
        <v>0</v>
      </c>
      <c r="B1051">
        <f t="shared" si="53"/>
        <v>19</v>
      </c>
      <c r="C1051" s="10" t="s">
        <v>124</v>
      </c>
      <c r="D1051" s="18">
        <f>VLOOKUP(C1051,'DISTRIBUIÇÃO NF4267'!$E$3:$FQ$75,MATCH(B1051,'DISTRIBUIÇÃO NF4267'!$E$3:$FQ$3,0)+1,0)</f>
        <v>0</v>
      </c>
      <c r="F1051" s="28">
        <f t="shared" si="51"/>
        <v>3</v>
      </c>
    </row>
    <row r="1052" spans="1:6" x14ac:dyDescent="0.35">
      <c r="A1052">
        <f t="shared" si="52"/>
        <v>0</v>
      </c>
      <c r="B1052">
        <f t="shared" si="53"/>
        <v>19</v>
      </c>
      <c r="C1052" s="11" t="s">
        <v>16</v>
      </c>
      <c r="D1052" s="18">
        <f>VLOOKUP(C1052,'DISTRIBUIÇÃO NF4267'!$E$3:$FQ$75,MATCH(B1052,'DISTRIBUIÇÃO NF4267'!$E$3:$FQ$3,0)+1,0)</f>
        <v>0</v>
      </c>
      <c r="F1052" s="28">
        <f t="shared" si="51"/>
        <v>3</v>
      </c>
    </row>
    <row r="1053" spans="1:6" x14ac:dyDescent="0.35">
      <c r="A1053">
        <f t="shared" si="52"/>
        <v>0</v>
      </c>
      <c r="B1053">
        <f t="shared" si="53"/>
        <v>19</v>
      </c>
      <c r="C1053" s="11" t="s">
        <v>17</v>
      </c>
      <c r="D1053" s="18">
        <f>VLOOKUP(C1053,'DISTRIBUIÇÃO NF4267'!$E$3:$FQ$75,MATCH(B1053,'DISTRIBUIÇÃO NF4267'!$E$3:$FQ$3,0)+1,0)</f>
        <v>9</v>
      </c>
      <c r="F1053" s="28">
        <f t="shared" si="51"/>
        <v>3</v>
      </c>
    </row>
    <row r="1054" spans="1:6" x14ac:dyDescent="0.35">
      <c r="A1054">
        <f t="shared" si="52"/>
        <v>0</v>
      </c>
      <c r="B1054">
        <f t="shared" si="53"/>
        <v>19</v>
      </c>
      <c r="C1054" s="11" t="s">
        <v>18</v>
      </c>
      <c r="D1054" s="18">
        <f>VLOOKUP(C1054,'DISTRIBUIÇÃO NF4267'!$E$3:$FQ$75,MATCH(B1054,'DISTRIBUIÇÃO NF4267'!$E$3:$FQ$3,0)+1,0)</f>
        <v>3</v>
      </c>
      <c r="F1054" s="28">
        <f t="shared" si="51"/>
        <v>3</v>
      </c>
    </row>
    <row r="1055" spans="1:6" x14ac:dyDescent="0.35">
      <c r="A1055">
        <f t="shared" si="52"/>
        <v>0</v>
      </c>
      <c r="B1055">
        <f t="shared" si="53"/>
        <v>19</v>
      </c>
      <c r="C1055" s="11" t="s">
        <v>19</v>
      </c>
      <c r="D1055" s="18">
        <f>VLOOKUP(C1055,'DISTRIBUIÇÃO NF4267'!$E$3:$FQ$75,MATCH(B1055,'DISTRIBUIÇÃO NF4267'!$E$3:$FQ$3,0)+1,0)</f>
        <v>3</v>
      </c>
      <c r="F1055" s="28">
        <f t="shared" si="51"/>
        <v>3</v>
      </c>
    </row>
    <row r="1056" spans="1:6" x14ac:dyDescent="0.35">
      <c r="A1056">
        <f t="shared" si="52"/>
        <v>0</v>
      </c>
      <c r="B1056">
        <f t="shared" si="53"/>
        <v>19</v>
      </c>
      <c r="C1056" s="11" t="s">
        <v>20</v>
      </c>
      <c r="D1056" s="18">
        <f>VLOOKUP(C1056,'DISTRIBUIÇÃO NF4267'!$E$3:$FQ$75,MATCH(B1056,'DISTRIBUIÇÃO NF4267'!$E$3:$FQ$3,0)+1,0)</f>
        <v>15</v>
      </c>
      <c r="F1056" s="28">
        <f t="shared" si="51"/>
        <v>3</v>
      </c>
    </row>
    <row r="1057" spans="1:6" x14ac:dyDescent="0.35">
      <c r="A1057">
        <f t="shared" si="52"/>
        <v>0</v>
      </c>
      <c r="B1057">
        <f t="shared" si="53"/>
        <v>19</v>
      </c>
      <c r="C1057" s="11" t="s">
        <v>21</v>
      </c>
      <c r="D1057" s="18">
        <f>VLOOKUP(C1057,'DISTRIBUIÇÃO NF4267'!$E$3:$FQ$75,MATCH(B1057,'DISTRIBUIÇÃO NF4267'!$E$3:$FQ$3,0)+1,0)</f>
        <v>0</v>
      </c>
      <c r="F1057" s="28">
        <f t="shared" si="51"/>
        <v>3</v>
      </c>
    </row>
    <row r="1058" spans="1:6" x14ac:dyDescent="0.35">
      <c r="A1058">
        <f t="shared" si="52"/>
        <v>0</v>
      </c>
      <c r="B1058">
        <f t="shared" si="53"/>
        <v>19</v>
      </c>
      <c r="C1058" s="12" t="s">
        <v>130</v>
      </c>
      <c r="D1058" s="18">
        <f>VLOOKUP(C1058,'DISTRIBUIÇÃO NF4267'!$E$3:$FQ$75,MATCH(B1058,'DISTRIBUIÇÃO NF4267'!$E$3:$FQ$3,0)+1,0)</f>
        <v>0</v>
      </c>
      <c r="F1058" s="28">
        <f t="shared" si="51"/>
        <v>3</v>
      </c>
    </row>
    <row r="1059" spans="1:6" x14ac:dyDescent="0.35">
      <c r="A1059">
        <f t="shared" si="52"/>
        <v>0</v>
      </c>
      <c r="B1059">
        <f t="shared" si="53"/>
        <v>19</v>
      </c>
      <c r="C1059" s="12" t="s">
        <v>131</v>
      </c>
      <c r="D1059" s="18">
        <f>VLOOKUP(C1059,'DISTRIBUIÇÃO NF4267'!$E$3:$FQ$75,MATCH(B1059,'DISTRIBUIÇÃO NF4267'!$E$3:$FQ$3,0)+1,0)</f>
        <v>1</v>
      </c>
      <c r="F1059" s="28">
        <f t="shared" si="51"/>
        <v>3</v>
      </c>
    </row>
    <row r="1060" spans="1:6" x14ac:dyDescent="0.35">
      <c r="A1060">
        <f t="shared" si="52"/>
        <v>0</v>
      </c>
      <c r="B1060">
        <f t="shared" si="53"/>
        <v>19</v>
      </c>
      <c r="C1060" s="12" t="s">
        <v>132</v>
      </c>
      <c r="D1060" s="18">
        <f>VLOOKUP(C1060,'DISTRIBUIÇÃO NF4267'!$E$3:$FQ$75,MATCH(B1060,'DISTRIBUIÇÃO NF4267'!$E$3:$FQ$3,0)+1,0)</f>
        <v>4</v>
      </c>
      <c r="F1060" s="28">
        <f t="shared" si="51"/>
        <v>3</v>
      </c>
    </row>
    <row r="1061" spans="1:6" x14ac:dyDescent="0.35">
      <c r="A1061">
        <f t="shared" si="52"/>
        <v>0</v>
      </c>
      <c r="B1061">
        <f t="shared" si="53"/>
        <v>19</v>
      </c>
      <c r="C1061" s="12" t="s">
        <v>133</v>
      </c>
      <c r="D1061" s="18">
        <f>VLOOKUP(C1061,'DISTRIBUIÇÃO NF4267'!$E$3:$FQ$75,MATCH(B1061,'DISTRIBUIÇÃO NF4267'!$E$3:$FQ$3,0)+1,0)</f>
        <v>3</v>
      </c>
      <c r="F1061" s="28">
        <f t="shared" si="51"/>
        <v>3</v>
      </c>
    </row>
    <row r="1062" spans="1:6" x14ac:dyDescent="0.35">
      <c r="A1062">
        <f t="shared" si="52"/>
        <v>0</v>
      </c>
      <c r="B1062">
        <f t="shared" si="53"/>
        <v>19</v>
      </c>
      <c r="C1062" s="12" t="s">
        <v>134</v>
      </c>
      <c r="D1062" s="18">
        <f>VLOOKUP(C1062,'DISTRIBUIÇÃO NF4267'!$E$3:$FQ$75,MATCH(B1062,'DISTRIBUIÇÃO NF4267'!$E$3:$FQ$3,0)+1,0)</f>
        <v>2</v>
      </c>
      <c r="F1062" s="28">
        <f t="shared" si="51"/>
        <v>3</v>
      </c>
    </row>
    <row r="1063" spans="1:6" x14ac:dyDescent="0.35">
      <c r="A1063">
        <f t="shared" si="52"/>
        <v>0</v>
      </c>
      <c r="B1063">
        <f t="shared" si="53"/>
        <v>19</v>
      </c>
      <c r="C1063" s="12" t="s">
        <v>135</v>
      </c>
      <c r="D1063" s="18">
        <f>VLOOKUP(C1063,'DISTRIBUIÇÃO NF4267'!$E$3:$FQ$75,MATCH(B1063,'DISTRIBUIÇÃO NF4267'!$E$3:$FQ$3,0)+1,0)</f>
        <v>0</v>
      </c>
      <c r="F1063" s="28">
        <f t="shared" si="51"/>
        <v>3</v>
      </c>
    </row>
    <row r="1064" spans="1:6" x14ac:dyDescent="0.35">
      <c r="A1064">
        <f t="shared" si="52"/>
        <v>0</v>
      </c>
      <c r="B1064">
        <f t="shared" si="53"/>
        <v>19</v>
      </c>
      <c r="C1064" s="13" t="s">
        <v>22</v>
      </c>
      <c r="D1064" s="18">
        <f>VLOOKUP(C1064,'DISTRIBUIÇÃO NF4267'!$E$3:$FQ$75,MATCH(B1064,'DISTRIBUIÇÃO NF4267'!$E$3:$FQ$3,0)+1,0)</f>
        <v>0</v>
      </c>
      <c r="F1064" s="28">
        <f t="shared" si="51"/>
        <v>3</v>
      </c>
    </row>
    <row r="1065" spans="1:6" x14ac:dyDescent="0.35">
      <c r="A1065">
        <f t="shared" si="52"/>
        <v>0</v>
      </c>
      <c r="B1065">
        <f t="shared" si="53"/>
        <v>19</v>
      </c>
      <c r="C1065" s="13" t="s">
        <v>23</v>
      </c>
      <c r="D1065" s="18">
        <f>VLOOKUP(C1065,'DISTRIBUIÇÃO NF4267'!$E$3:$FQ$75,MATCH(B1065,'DISTRIBUIÇÃO NF4267'!$E$3:$FQ$3,0)+1,0)</f>
        <v>1</v>
      </c>
      <c r="F1065" s="28">
        <f t="shared" si="51"/>
        <v>3</v>
      </c>
    </row>
    <row r="1066" spans="1:6" x14ac:dyDescent="0.35">
      <c r="A1066">
        <f t="shared" si="52"/>
        <v>0</v>
      </c>
      <c r="B1066">
        <f t="shared" si="53"/>
        <v>19</v>
      </c>
      <c r="C1066" s="13" t="s">
        <v>24</v>
      </c>
      <c r="D1066" s="18">
        <f>VLOOKUP(C1066,'DISTRIBUIÇÃO NF4267'!$E$3:$FQ$75,MATCH(B1066,'DISTRIBUIÇÃO NF4267'!$E$3:$FQ$3,0)+1,0)</f>
        <v>6</v>
      </c>
      <c r="F1066" s="28">
        <f t="shared" si="51"/>
        <v>3</v>
      </c>
    </row>
    <row r="1067" spans="1:6" x14ac:dyDescent="0.35">
      <c r="A1067">
        <f t="shared" si="52"/>
        <v>0</v>
      </c>
      <c r="B1067">
        <f t="shared" si="53"/>
        <v>19</v>
      </c>
      <c r="C1067" s="13" t="s">
        <v>25</v>
      </c>
      <c r="D1067" s="18">
        <f>VLOOKUP(C1067,'DISTRIBUIÇÃO NF4267'!$E$3:$FQ$75,MATCH(B1067,'DISTRIBUIÇÃO NF4267'!$E$3:$FQ$3,0)+1,0)</f>
        <v>2</v>
      </c>
      <c r="F1067" s="28">
        <f t="shared" si="51"/>
        <v>3</v>
      </c>
    </row>
    <row r="1068" spans="1:6" x14ac:dyDescent="0.35">
      <c r="A1068">
        <f t="shared" si="52"/>
        <v>0</v>
      </c>
      <c r="B1068">
        <f t="shared" si="53"/>
        <v>19</v>
      </c>
      <c r="C1068" s="13" t="s">
        <v>26</v>
      </c>
      <c r="D1068" s="18">
        <f>VLOOKUP(C1068,'DISTRIBUIÇÃO NF4267'!$E$3:$FQ$75,MATCH(B1068,'DISTRIBUIÇÃO NF4267'!$E$3:$FQ$3,0)+1,0)</f>
        <v>1</v>
      </c>
      <c r="F1068" s="28">
        <f t="shared" si="51"/>
        <v>3</v>
      </c>
    </row>
    <row r="1069" spans="1:6" x14ac:dyDescent="0.35">
      <c r="A1069">
        <f t="shared" si="52"/>
        <v>0</v>
      </c>
      <c r="B1069">
        <f t="shared" si="53"/>
        <v>19</v>
      </c>
      <c r="C1069" s="13" t="s">
        <v>27</v>
      </c>
      <c r="D1069" s="18">
        <f>VLOOKUP(C1069,'DISTRIBUIÇÃO NF4267'!$E$3:$FQ$75,MATCH(B1069,'DISTRIBUIÇÃO NF4267'!$E$3:$FQ$3,0)+1,0)</f>
        <v>0</v>
      </c>
      <c r="F1069" s="28">
        <f t="shared" si="51"/>
        <v>3</v>
      </c>
    </row>
    <row r="1070" spans="1:6" x14ac:dyDescent="0.35">
      <c r="A1070">
        <f t="shared" si="52"/>
        <v>0</v>
      </c>
      <c r="B1070">
        <f t="shared" si="53"/>
        <v>19</v>
      </c>
      <c r="C1070" s="14" t="s">
        <v>138</v>
      </c>
      <c r="D1070" s="18">
        <f>VLOOKUP(C1070,'DISTRIBUIÇÃO NF4267'!$E$3:$FQ$75,MATCH(B1070,'DISTRIBUIÇÃO NF4267'!$E$3:$FQ$3,0)+1,0)</f>
        <v>0</v>
      </c>
      <c r="F1070" s="28">
        <f t="shared" si="51"/>
        <v>3</v>
      </c>
    </row>
    <row r="1071" spans="1:6" x14ac:dyDescent="0.35">
      <c r="A1071">
        <f t="shared" si="52"/>
        <v>0</v>
      </c>
      <c r="B1071">
        <f t="shared" si="53"/>
        <v>19</v>
      </c>
      <c r="C1071" s="14" t="s">
        <v>139</v>
      </c>
      <c r="D1071" s="18">
        <f>VLOOKUP(C1071,'DISTRIBUIÇÃO NF4267'!$E$3:$FQ$75,MATCH(B1071,'DISTRIBUIÇÃO NF4267'!$E$3:$FQ$3,0)+1,0)</f>
        <v>4</v>
      </c>
      <c r="F1071" s="28">
        <f t="shared" si="51"/>
        <v>3</v>
      </c>
    </row>
    <row r="1072" spans="1:6" x14ac:dyDescent="0.35">
      <c r="A1072">
        <f t="shared" si="52"/>
        <v>0</v>
      </c>
      <c r="B1072">
        <f t="shared" si="53"/>
        <v>19</v>
      </c>
      <c r="C1072" s="14" t="s">
        <v>140</v>
      </c>
      <c r="D1072" s="18">
        <f>VLOOKUP(C1072,'DISTRIBUIÇÃO NF4267'!$E$3:$FQ$75,MATCH(B1072,'DISTRIBUIÇÃO NF4267'!$E$3:$FQ$3,0)+1,0)</f>
        <v>8</v>
      </c>
      <c r="F1072" s="28">
        <f t="shared" si="51"/>
        <v>3</v>
      </c>
    </row>
    <row r="1073" spans="1:6" x14ac:dyDescent="0.35">
      <c r="A1073">
        <f t="shared" si="52"/>
        <v>0</v>
      </c>
      <c r="B1073">
        <f t="shared" si="53"/>
        <v>19</v>
      </c>
      <c r="C1073" s="14" t="s">
        <v>141</v>
      </c>
      <c r="D1073" s="18">
        <f>VLOOKUP(C1073,'DISTRIBUIÇÃO NF4267'!$E$3:$FQ$75,MATCH(B1073,'DISTRIBUIÇÃO NF4267'!$E$3:$FQ$3,0)+1,0)</f>
        <v>4</v>
      </c>
      <c r="F1073" s="28">
        <f t="shared" si="51"/>
        <v>3</v>
      </c>
    </row>
    <row r="1074" spans="1:6" x14ac:dyDescent="0.35">
      <c r="A1074">
        <f t="shared" si="52"/>
        <v>0</v>
      </c>
      <c r="B1074">
        <f t="shared" si="53"/>
        <v>19</v>
      </c>
      <c r="C1074" s="14" t="s">
        <v>142</v>
      </c>
      <c r="D1074" s="18">
        <f>VLOOKUP(C1074,'DISTRIBUIÇÃO NF4267'!$E$3:$FQ$75,MATCH(B1074,'DISTRIBUIÇÃO NF4267'!$E$3:$FQ$3,0)+1,0)</f>
        <v>4</v>
      </c>
      <c r="F1074" s="28">
        <f t="shared" si="51"/>
        <v>3</v>
      </c>
    </row>
    <row r="1075" spans="1:6" x14ac:dyDescent="0.35">
      <c r="A1075">
        <f t="shared" si="52"/>
        <v>0</v>
      </c>
      <c r="B1075">
        <f t="shared" si="53"/>
        <v>19</v>
      </c>
      <c r="C1075" s="14" t="s">
        <v>143</v>
      </c>
      <c r="D1075" s="18">
        <f>VLOOKUP(C1075,'DISTRIBUIÇÃO NF4267'!$E$3:$FQ$75,MATCH(B1075,'DISTRIBUIÇÃO NF4267'!$E$3:$FQ$3,0)+1,0)</f>
        <v>0</v>
      </c>
      <c r="F1075" s="28">
        <f t="shared" si="51"/>
        <v>3</v>
      </c>
    </row>
    <row r="1076" spans="1:6" x14ac:dyDescent="0.35">
      <c r="A1076">
        <f t="shared" si="52"/>
        <v>0</v>
      </c>
      <c r="B1076">
        <f t="shared" si="53"/>
        <v>19</v>
      </c>
      <c r="C1076" s="15" t="s">
        <v>145</v>
      </c>
      <c r="D1076" s="18">
        <f>VLOOKUP(C1076,'DISTRIBUIÇÃO NF4267'!$E$3:$FQ$75,MATCH(B1076,'DISTRIBUIÇÃO NF4267'!$E$3:$FQ$3,0)+1,0)</f>
        <v>0</v>
      </c>
      <c r="F1076" s="28">
        <f t="shared" si="51"/>
        <v>3</v>
      </c>
    </row>
    <row r="1077" spans="1:6" x14ac:dyDescent="0.35">
      <c r="A1077">
        <f t="shared" si="52"/>
        <v>0</v>
      </c>
      <c r="B1077">
        <f t="shared" si="53"/>
        <v>19</v>
      </c>
      <c r="C1077" s="15" t="s">
        <v>146</v>
      </c>
      <c r="D1077" s="18">
        <f>VLOOKUP(C1077,'DISTRIBUIÇÃO NF4267'!$E$3:$FQ$75,MATCH(B1077,'DISTRIBUIÇÃO NF4267'!$E$3:$FQ$3,0)+1,0)</f>
        <v>2</v>
      </c>
      <c r="F1077" s="28">
        <f t="shared" si="51"/>
        <v>3</v>
      </c>
    </row>
    <row r="1078" spans="1:6" x14ac:dyDescent="0.35">
      <c r="A1078">
        <f t="shared" si="52"/>
        <v>0</v>
      </c>
      <c r="B1078">
        <f t="shared" si="53"/>
        <v>19</v>
      </c>
      <c r="C1078" s="15" t="s">
        <v>147</v>
      </c>
      <c r="D1078" s="18">
        <f>VLOOKUP(C1078,'DISTRIBUIÇÃO NF4267'!$E$3:$FQ$75,MATCH(B1078,'DISTRIBUIÇÃO NF4267'!$E$3:$FQ$3,0)+1,0)</f>
        <v>4</v>
      </c>
      <c r="F1078" s="28">
        <f t="shared" si="51"/>
        <v>3</v>
      </c>
    </row>
    <row r="1079" spans="1:6" x14ac:dyDescent="0.35">
      <c r="A1079">
        <f t="shared" si="52"/>
        <v>0</v>
      </c>
      <c r="B1079">
        <f t="shared" si="53"/>
        <v>19</v>
      </c>
      <c r="C1079" s="15" t="s">
        <v>148</v>
      </c>
      <c r="D1079" s="18">
        <f>VLOOKUP(C1079,'DISTRIBUIÇÃO NF4267'!$E$3:$FQ$75,MATCH(B1079,'DISTRIBUIÇÃO NF4267'!$E$3:$FQ$3,0)+1,0)</f>
        <v>2</v>
      </c>
      <c r="F1079" s="28">
        <f t="shared" si="51"/>
        <v>3</v>
      </c>
    </row>
    <row r="1080" spans="1:6" x14ac:dyDescent="0.35">
      <c r="A1080">
        <f t="shared" si="52"/>
        <v>0</v>
      </c>
      <c r="B1080">
        <f t="shared" si="53"/>
        <v>19</v>
      </c>
      <c r="C1080" s="15" t="s">
        <v>149</v>
      </c>
      <c r="D1080" s="18">
        <f>VLOOKUP(C1080,'DISTRIBUIÇÃO NF4267'!$E$3:$FQ$75,MATCH(B1080,'DISTRIBUIÇÃO NF4267'!$E$3:$FQ$3,0)+1,0)</f>
        <v>2</v>
      </c>
      <c r="F1080" s="28">
        <f t="shared" ref="F1080:F1143" si="54">ROUNDUP(SUMIFS(D:D,B:B,B1080)/80,0)</f>
        <v>3</v>
      </c>
    </row>
    <row r="1081" spans="1:6" x14ac:dyDescent="0.35">
      <c r="A1081">
        <f t="shared" si="52"/>
        <v>0</v>
      </c>
      <c r="B1081">
        <f t="shared" si="53"/>
        <v>19</v>
      </c>
      <c r="C1081" s="15" t="s">
        <v>150</v>
      </c>
      <c r="D1081" s="18">
        <f>VLOOKUP(C1081,'DISTRIBUIÇÃO NF4267'!$E$3:$FQ$75,MATCH(B1081,'DISTRIBUIÇÃO NF4267'!$E$3:$FQ$3,0)+1,0)</f>
        <v>0</v>
      </c>
      <c r="F1081" s="28">
        <f t="shared" si="54"/>
        <v>3</v>
      </c>
    </row>
    <row r="1082" spans="1:6" x14ac:dyDescent="0.35">
      <c r="A1082">
        <f t="shared" si="52"/>
        <v>0</v>
      </c>
      <c r="B1082" t="s">
        <v>43</v>
      </c>
      <c r="C1082" s="7" t="s">
        <v>98</v>
      </c>
      <c r="D1082" s="18">
        <f>VLOOKUP(C1082,'DISTRIBUIÇÃO NF4267'!$E$3:$FQ$75,MATCH(B1082,'DISTRIBUIÇÃO NF4267'!$E$3:$FQ$3,0)+1,0)</f>
        <v>0</v>
      </c>
      <c r="F1082" s="28">
        <f t="shared" si="54"/>
        <v>3</v>
      </c>
    </row>
    <row r="1083" spans="1:6" x14ac:dyDescent="0.35">
      <c r="A1083">
        <f t="shared" si="52"/>
        <v>0</v>
      </c>
      <c r="B1083" t="str">
        <f>B1082</f>
        <v>BX</v>
      </c>
      <c r="C1083" s="7" t="s">
        <v>99</v>
      </c>
      <c r="D1083" s="18">
        <f>VLOOKUP(C1083,'DISTRIBUIÇÃO NF4267'!$E$3:$FQ$75,MATCH(B1083,'DISTRIBUIÇÃO NF4267'!$E$3:$FQ$3,0)+1,0)</f>
        <v>4</v>
      </c>
      <c r="F1083" s="28">
        <f t="shared" si="54"/>
        <v>3</v>
      </c>
    </row>
    <row r="1084" spans="1:6" x14ac:dyDescent="0.35">
      <c r="A1084">
        <f t="shared" si="52"/>
        <v>0</v>
      </c>
      <c r="B1084" t="str">
        <f t="shared" ref="B1084:B1135" si="55">B1083</f>
        <v>BX</v>
      </c>
      <c r="C1084" s="7" t="s">
        <v>100</v>
      </c>
      <c r="D1084" s="18">
        <f>VLOOKUP(C1084,'DISTRIBUIÇÃO NF4267'!$E$3:$FQ$75,MATCH(B1084,'DISTRIBUIÇÃO NF4267'!$E$3:$FQ$3,0)+1,0)</f>
        <v>8</v>
      </c>
      <c r="F1084" s="28">
        <f t="shared" si="54"/>
        <v>3</v>
      </c>
    </row>
    <row r="1085" spans="1:6" x14ac:dyDescent="0.35">
      <c r="A1085">
        <f t="shared" si="52"/>
        <v>0</v>
      </c>
      <c r="B1085" t="str">
        <f t="shared" si="55"/>
        <v>BX</v>
      </c>
      <c r="C1085" s="7" t="s">
        <v>101</v>
      </c>
      <c r="D1085" s="18">
        <f>VLOOKUP(C1085,'DISTRIBUIÇÃO NF4267'!$E$3:$FQ$75,MATCH(B1085,'DISTRIBUIÇÃO NF4267'!$E$3:$FQ$3,0)+1,0)</f>
        <v>4</v>
      </c>
      <c r="F1085" s="28">
        <f t="shared" si="54"/>
        <v>3</v>
      </c>
    </row>
    <row r="1086" spans="1:6" x14ac:dyDescent="0.35">
      <c r="A1086">
        <f t="shared" si="52"/>
        <v>0</v>
      </c>
      <c r="B1086" t="str">
        <f t="shared" si="55"/>
        <v>BX</v>
      </c>
      <c r="C1086" s="7" t="s">
        <v>102</v>
      </c>
      <c r="D1086" s="18">
        <f>VLOOKUP(C1086,'DISTRIBUIÇÃO NF4267'!$E$3:$FQ$75,MATCH(B1086,'DISTRIBUIÇÃO NF4267'!$E$3:$FQ$3,0)+1,0)</f>
        <v>4</v>
      </c>
      <c r="F1086" s="28">
        <f t="shared" si="54"/>
        <v>3</v>
      </c>
    </row>
    <row r="1087" spans="1:6" x14ac:dyDescent="0.35">
      <c r="A1087">
        <f t="shared" si="52"/>
        <v>0</v>
      </c>
      <c r="B1087" t="str">
        <f t="shared" si="55"/>
        <v>BX</v>
      </c>
      <c r="C1087" s="7" t="s">
        <v>103</v>
      </c>
      <c r="D1087" s="18">
        <f>VLOOKUP(C1087,'DISTRIBUIÇÃO NF4267'!$E$3:$FQ$75,MATCH(B1087,'DISTRIBUIÇÃO NF4267'!$E$3:$FQ$3,0)+1,0)</f>
        <v>0</v>
      </c>
      <c r="F1087" s="28">
        <f t="shared" si="54"/>
        <v>3</v>
      </c>
    </row>
    <row r="1088" spans="1:6" x14ac:dyDescent="0.35">
      <c r="A1088">
        <f t="shared" si="52"/>
        <v>0</v>
      </c>
      <c r="B1088" t="str">
        <f t="shared" si="55"/>
        <v>BX</v>
      </c>
      <c r="C1088" s="8" t="s">
        <v>107</v>
      </c>
      <c r="D1088" s="18">
        <f>VLOOKUP(C1088,'DISTRIBUIÇÃO NF4267'!$E$3:$FQ$75,MATCH(B1088,'DISTRIBUIÇÃO NF4267'!$E$3:$FQ$3,0)+1,0)</f>
        <v>0</v>
      </c>
      <c r="F1088" s="28">
        <f t="shared" si="54"/>
        <v>3</v>
      </c>
    </row>
    <row r="1089" spans="1:6" x14ac:dyDescent="0.35">
      <c r="A1089">
        <f t="shared" si="52"/>
        <v>0</v>
      </c>
      <c r="B1089" t="str">
        <f t="shared" si="55"/>
        <v>BX</v>
      </c>
      <c r="C1089" s="8" t="s">
        <v>108</v>
      </c>
      <c r="D1089" s="18">
        <f>VLOOKUP(C1089,'DISTRIBUIÇÃO NF4267'!$E$3:$FQ$75,MATCH(B1089,'DISTRIBUIÇÃO NF4267'!$E$3:$FQ$3,0)+1,0)</f>
        <v>2</v>
      </c>
      <c r="F1089" s="28">
        <f t="shared" si="54"/>
        <v>3</v>
      </c>
    </row>
    <row r="1090" spans="1:6" x14ac:dyDescent="0.35">
      <c r="A1090">
        <f t="shared" ref="A1090:A1153" si="56">IF(ISERROR(VLOOKUP(C1090,I:I,1,0)),0,1)</f>
        <v>0</v>
      </c>
      <c r="B1090" t="str">
        <f t="shared" si="55"/>
        <v>BX</v>
      </c>
      <c r="C1090" s="8" t="s">
        <v>109</v>
      </c>
      <c r="D1090" s="18">
        <f>VLOOKUP(C1090,'DISTRIBUIÇÃO NF4267'!$E$3:$FQ$75,MATCH(B1090,'DISTRIBUIÇÃO NF4267'!$E$3:$FQ$3,0)+1,0)</f>
        <v>4</v>
      </c>
      <c r="F1090" s="28">
        <f t="shared" si="54"/>
        <v>3</v>
      </c>
    </row>
    <row r="1091" spans="1:6" x14ac:dyDescent="0.35">
      <c r="A1091">
        <f t="shared" si="56"/>
        <v>0</v>
      </c>
      <c r="B1091" t="str">
        <f t="shared" si="55"/>
        <v>BX</v>
      </c>
      <c r="C1091" s="8" t="s">
        <v>110</v>
      </c>
      <c r="D1091" s="18">
        <f>VLOOKUP(C1091,'DISTRIBUIÇÃO NF4267'!$E$3:$FQ$75,MATCH(B1091,'DISTRIBUIÇÃO NF4267'!$E$3:$FQ$3,0)+1,0)</f>
        <v>2</v>
      </c>
      <c r="F1091" s="28">
        <f t="shared" si="54"/>
        <v>3</v>
      </c>
    </row>
    <row r="1092" spans="1:6" x14ac:dyDescent="0.35">
      <c r="A1092">
        <f t="shared" si="56"/>
        <v>0</v>
      </c>
      <c r="B1092" t="str">
        <f t="shared" si="55"/>
        <v>BX</v>
      </c>
      <c r="C1092" s="8" t="s">
        <v>111</v>
      </c>
      <c r="D1092" s="18">
        <f>VLOOKUP(C1092,'DISTRIBUIÇÃO NF4267'!$E$3:$FQ$75,MATCH(B1092,'DISTRIBUIÇÃO NF4267'!$E$3:$FQ$3,0)+1,0)</f>
        <v>2</v>
      </c>
      <c r="F1092" s="28">
        <f t="shared" si="54"/>
        <v>3</v>
      </c>
    </row>
    <row r="1093" spans="1:6" x14ac:dyDescent="0.35">
      <c r="A1093">
        <f t="shared" si="56"/>
        <v>0</v>
      </c>
      <c r="B1093" t="str">
        <f t="shared" si="55"/>
        <v>BX</v>
      </c>
      <c r="C1093" s="8" t="s">
        <v>112</v>
      </c>
      <c r="D1093" s="18">
        <f>VLOOKUP(C1093,'DISTRIBUIÇÃO NF4267'!$E$3:$FQ$75,MATCH(B1093,'DISTRIBUIÇÃO NF4267'!$E$3:$FQ$3,0)+1,0)</f>
        <v>0</v>
      </c>
      <c r="F1093" s="28">
        <f t="shared" si="54"/>
        <v>3</v>
      </c>
    </row>
    <row r="1094" spans="1:6" x14ac:dyDescent="0.35">
      <c r="A1094">
        <f t="shared" si="56"/>
        <v>0</v>
      </c>
      <c r="B1094" t="str">
        <f t="shared" si="55"/>
        <v>BX</v>
      </c>
      <c r="C1094" s="9" t="s">
        <v>113</v>
      </c>
      <c r="D1094" s="18">
        <f>VLOOKUP(C1094,'DISTRIBUIÇÃO NF4267'!$E$3:$FQ$75,MATCH(B1094,'DISTRIBUIÇÃO NF4267'!$E$3:$FQ$3,0)+1,0)</f>
        <v>0</v>
      </c>
      <c r="F1094" s="28">
        <f t="shared" si="54"/>
        <v>3</v>
      </c>
    </row>
    <row r="1095" spans="1:6" x14ac:dyDescent="0.35">
      <c r="A1095">
        <f t="shared" si="56"/>
        <v>0</v>
      </c>
      <c r="B1095" t="str">
        <f t="shared" si="55"/>
        <v>BX</v>
      </c>
      <c r="C1095" s="9" t="s">
        <v>114</v>
      </c>
      <c r="D1095" s="18">
        <f>VLOOKUP(C1095,'DISTRIBUIÇÃO NF4267'!$E$3:$FQ$75,MATCH(B1095,'DISTRIBUIÇÃO NF4267'!$E$3:$FQ$3,0)+1,0)</f>
        <v>6</v>
      </c>
      <c r="F1095" s="28">
        <f t="shared" si="54"/>
        <v>3</v>
      </c>
    </row>
    <row r="1096" spans="1:6" x14ac:dyDescent="0.35">
      <c r="A1096">
        <f t="shared" si="56"/>
        <v>0</v>
      </c>
      <c r="B1096" t="str">
        <f t="shared" si="55"/>
        <v>BX</v>
      </c>
      <c r="C1096" s="9" t="s">
        <v>115</v>
      </c>
      <c r="D1096" s="18">
        <f>VLOOKUP(C1096,'DISTRIBUIÇÃO NF4267'!$E$3:$FQ$75,MATCH(B1096,'DISTRIBUIÇÃO NF4267'!$E$3:$FQ$3,0)+1,0)</f>
        <v>8</v>
      </c>
      <c r="F1096" s="28">
        <f t="shared" si="54"/>
        <v>3</v>
      </c>
    </row>
    <row r="1097" spans="1:6" x14ac:dyDescent="0.35">
      <c r="A1097">
        <f t="shared" si="56"/>
        <v>0</v>
      </c>
      <c r="B1097" t="str">
        <f t="shared" si="55"/>
        <v>BX</v>
      </c>
      <c r="C1097" s="9" t="s">
        <v>116</v>
      </c>
      <c r="D1097" s="18">
        <f>VLOOKUP(C1097,'DISTRIBUIÇÃO NF4267'!$E$3:$FQ$75,MATCH(B1097,'DISTRIBUIÇÃO NF4267'!$E$3:$FQ$3,0)+1,0)</f>
        <v>4</v>
      </c>
      <c r="F1097" s="28">
        <f t="shared" si="54"/>
        <v>3</v>
      </c>
    </row>
    <row r="1098" spans="1:6" x14ac:dyDescent="0.35">
      <c r="A1098">
        <f t="shared" si="56"/>
        <v>0</v>
      </c>
      <c r="B1098" t="str">
        <f t="shared" si="55"/>
        <v>BX</v>
      </c>
      <c r="C1098" s="9" t="s">
        <v>117</v>
      </c>
      <c r="D1098" s="18">
        <f>VLOOKUP(C1098,'DISTRIBUIÇÃO NF4267'!$E$3:$FQ$75,MATCH(B1098,'DISTRIBUIÇÃO NF4267'!$E$3:$FQ$3,0)+1,0)</f>
        <v>2</v>
      </c>
      <c r="F1098" s="28">
        <f t="shared" si="54"/>
        <v>3</v>
      </c>
    </row>
    <row r="1099" spans="1:6" x14ac:dyDescent="0.35">
      <c r="A1099">
        <f t="shared" si="56"/>
        <v>0</v>
      </c>
      <c r="B1099" t="str">
        <f t="shared" si="55"/>
        <v>BX</v>
      </c>
      <c r="C1099" s="9" t="s">
        <v>118</v>
      </c>
      <c r="D1099" s="18">
        <f>VLOOKUP(C1099,'DISTRIBUIÇÃO NF4267'!$E$3:$FQ$75,MATCH(B1099,'DISTRIBUIÇÃO NF4267'!$E$3:$FQ$3,0)+1,0)</f>
        <v>0</v>
      </c>
      <c r="F1099" s="28">
        <f t="shared" si="54"/>
        <v>3</v>
      </c>
    </row>
    <row r="1100" spans="1:6" x14ac:dyDescent="0.35">
      <c r="A1100">
        <f t="shared" si="56"/>
        <v>0</v>
      </c>
      <c r="B1100" t="str">
        <f t="shared" si="55"/>
        <v>BX</v>
      </c>
      <c r="C1100" s="10" t="s">
        <v>119</v>
      </c>
      <c r="D1100" s="18">
        <f>VLOOKUP(C1100,'DISTRIBUIÇÃO NF4267'!$E$3:$FQ$75,MATCH(B1100,'DISTRIBUIÇÃO NF4267'!$E$3:$FQ$3,0)+1,0)</f>
        <v>0</v>
      </c>
      <c r="F1100" s="28">
        <f t="shared" si="54"/>
        <v>3</v>
      </c>
    </row>
    <row r="1101" spans="1:6" x14ac:dyDescent="0.35">
      <c r="A1101">
        <f t="shared" si="56"/>
        <v>0</v>
      </c>
      <c r="B1101" t="str">
        <f t="shared" si="55"/>
        <v>BX</v>
      </c>
      <c r="C1101" s="10" t="s">
        <v>120</v>
      </c>
      <c r="D1101" s="18">
        <f>VLOOKUP(C1101,'DISTRIBUIÇÃO NF4267'!$E$3:$FQ$75,MATCH(B1101,'DISTRIBUIÇÃO NF4267'!$E$3:$FQ$3,0)+1,0)</f>
        <v>48</v>
      </c>
      <c r="F1101" s="28">
        <f t="shared" si="54"/>
        <v>3</v>
      </c>
    </row>
    <row r="1102" spans="1:6" x14ac:dyDescent="0.35">
      <c r="A1102">
        <f t="shared" si="56"/>
        <v>0</v>
      </c>
      <c r="B1102" t="str">
        <f t="shared" si="55"/>
        <v>BX</v>
      </c>
      <c r="C1102" s="10" t="s">
        <v>121</v>
      </c>
      <c r="D1102" s="18">
        <f>VLOOKUP(C1102,'DISTRIBUIÇÃO NF4267'!$E$3:$FQ$75,MATCH(B1102,'DISTRIBUIÇÃO NF4267'!$E$3:$FQ$3,0)+1,0)</f>
        <v>16</v>
      </c>
      <c r="F1102" s="28">
        <f t="shared" si="54"/>
        <v>3</v>
      </c>
    </row>
    <row r="1103" spans="1:6" x14ac:dyDescent="0.35">
      <c r="A1103">
        <f t="shared" si="56"/>
        <v>0</v>
      </c>
      <c r="B1103" t="str">
        <f t="shared" si="55"/>
        <v>BX</v>
      </c>
      <c r="C1103" s="10" t="s">
        <v>122</v>
      </c>
      <c r="D1103" s="18">
        <f>VLOOKUP(C1103,'DISTRIBUIÇÃO NF4267'!$E$3:$FQ$75,MATCH(B1103,'DISTRIBUIÇÃO NF4267'!$E$3:$FQ$3,0)+1,0)</f>
        <v>16</v>
      </c>
      <c r="F1103" s="28">
        <f t="shared" si="54"/>
        <v>3</v>
      </c>
    </row>
    <row r="1104" spans="1:6" x14ac:dyDescent="0.35">
      <c r="A1104">
        <f t="shared" si="56"/>
        <v>0</v>
      </c>
      <c r="B1104" t="str">
        <f t="shared" si="55"/>
        <v>BX</v>
      </c>
      <c r="C1104" s="10" t="s">
        <v>123</v>
      </c>
      <c r="D1104" s="18">
        <f>VLOOKUP(C1104,'DISTRIBUIÇÃO NF4267'!$E$3:$FQ$75,MATCH(B1104,'DISTRIBUIÇÃO NF4267'!$E$3:$FQ$3,0)+1,0)</f>
        <v>0</v>
      </c>
      <c r="F1104" s="28">
        <f t="shared" si="54"/>
        <v>3</v>
      </c>
    </row>
    <row r="1105" spans="1:6" x14ac:dyDescent="0.35">
      <c r="A1105">
        <f t="shared" si="56"/>
        <v>0</v>
      </c>
      <c r="B1105" t="str">
        <f t="shared" si="55"/>
        <v>BX</v>
      </c>
      <c r="C1105" s="10" t="s">
        <v>124</v>
      </c>
      <c r="D1105" s="18">
        <f>VLOOKUP(C1105,'DISTRIBUIÇÃO NF4267'!$E$3:$FQ$75,MATCH(B1105,'DISTRIBUIÇÃO NF4267'!$E$3:$FQ$3,0)+1,0)</f>
        <v>0</v>
      </c>
      <c r="F1105" s="28">
        <f t="shared" si="54"/>
        <v>3</v>
      </c>
    </row>
    <row r="1106" spans="1:6" x14ac:dyDescent="0.35">
      <c r="A1106">
        <f t="shared" si="56"/>
        <v>0</v>
      </c>
      <c r="B1106" t="str">
        <f t="shared" si="55"/>
        <v>BX</v>
      </c>
      <c r="C1106" s="11" t="s">
        <v>16</v>
      </c>
      <c r="D1106" s="18">
        <f>VLOOKUP(C1106,'DISTRIBUIÇÃO NF4267'!$E$3:$FQ$75,MATCH(B1106,'DISTRIBUIÇÃO NF4267'!$E$3:$FQ$3,0)+1,0)</f>
        <v>0</v>
      </c>
      <c r="F1106" s="28">
        <f t="shared" si="54"/>
        <v>3</v>
      </c>
    </row>
    <row r="1107" spans="1:6" x14ac:dyDescent="0.35">
      <c r="A1107">
        <f t="shared" si="56"/>
        <v>0</v>
      </c>
      <c r="B1107" t="str">
        <f t="shared" si="55"/>
        <v>BX</v>
      </c>
      <c r="C1107" s="11" t="s">
        <v>17</v>
      </c>
      <c r="D1107" s="18">
        <f>VLOOKUP(C1107,'DISTRIBUIÇÃO NF4267'!$E$3:$FQ$75,MATCH(B1107,'DISTRIBUIÇÃO NF4267'!$E$3:$FQ$3,0)+1,0)</f>
        <v>9</v>
      </c>
      <c r="F1107" s="28">
        <f t="shared" si="54"/>
        <v>3</v>
      </c>
    </row>
    <row r="1108" spans="1:6" x14ac:dyDescent="0.35">
      <c r="A1108">
        <f t="shared" si="56"/>
        <v>0</v>
      </c>
      <c r="B1108" t="str">
        <f t="shared" si="55"/>
        <v>BX</v>
      </c>
      <c r="C1108" s="11" t="s">
        <v>18</v>
      </c>
      <c r="D1108" s="18">
        <f>VLOOKUP(C1108,'DISTRIBUIÇÃO NF4267'!$E$3:$FQ$75,MATCH(B1108,'DISTRIBUIÇÃO NF4267'!$E$3:$FQ$3,0)+1,0)</f>
        <v>3</v>
      </c>
      <c r="F1108" s="28">
        <f t="shared" si="54"/>
        <v>3</v>
      </c>
    </row>
    <row r="1109" spans="1:6" x14ac:dyDescent="0.35">
      <c r="A1109">
        <f t="shared" si="56"/>
        <v>0</v>
      </c>
      <c r="B1109" t="str">
        <f t="shared" si="55"/>
        <v>BX</v>
      </c>
      <c r="C1109" s="11" t="s">
        <v>19</v>
      </c>
      <c r="D1109" s="18">
        <f>VLOOKUP(C1109,'DISTRIBUIÇÃO NF4267'!$E$3:$FQ$75,MATCH(B1109,'DISTRIBUIÇÃO NF4267'!$E$3:$FQ$3,0)+1,0)</f>
        <v>3</v>
      </c>
      <c r="F1109" s="28">
        <f t="shared" si="54"/>
        <v>3</v>
      </c>
    </row>
    <row r="1110" spans="1:6" x14ac:dyDescent="0.35">
      <c r="A1110">
        <f t="shared" si="56"/>
        <v>0</v>
      </c>
      <c r="B1110" t="str">
        <f t="shared" si="55"/>
        <v>BX</v>
      </c>
      <c r="C1110" s="11" t="s">
        <v>20</v>
      </c>
      <c r="D1110" s="18">
        <f>VLOOKUP(C1110,'DISTRIBUIÇÃO NF4267'!$E$3:$FQ$75,MATCH(B1110,'DISTRIBUIÇÃO NF4267'!$E$3:$FQ$3,0)+1,0)</f>
        <v>15</v>
      </c>
      <c r="F1110" s="28">
        <f t="shared" si="54"/>
        <v>3</v>
      </c>
    </row>
    <row r="1111" spans="1:6" x14ac:dyDescent="0.35">
      <c r="A1111">
        <f t="shared" si="56"/>
        <v>0</v>
      </c>
      <c r="B1111" t="str">
        <f t="shared" si="55"/>
        <v>BX</v>
      </c>
      <c r="C1111" s="11" t="s">
        <v>21</v>
      </c>
      <c r="D1111" s="18">
        <f>VLOOKUP(C1111,'DISTRIBUIÇÃO NF4267'!$E$3:$FQ$75,MATCH(B1111,'DISTRIBUIÇÃO NF4267'!$E$3:$FQ$3,0)+1,0)</f>
        <v>0</v>
      </c>
      <c r="F1111" s="28">
        <f t="shared" si="54"/>
        <v>3</v>
      </c>
    </row>
    <row r="1112" spans="1:6" x14ac:dyDescent="0.35">
      <c r="A1112">
        <f t="shared" si="56"/>
        <v>0</v>
      </c>
      <c r="B1112" t="str">
        <f t="shared" si="55"/>
        <v>BX</v>
      </c>
      <c r="C1112" s="12" t="s">
        <v>130</v>
      </c>
      <c r="D1112" s="18">
        <f>VLOOKUP(C1112,'DISTRIBUIÇÃO NF4267'!$E$3:$FQ$75,MATCH(B1112,'DISTRIBUIÇÃO NF4267'!$E$3:$FQ$3,0)+1,0)</f>
        <v>0</v>
      </c>
      <c r="F1112" s="28">
        <f t="shared" si="54"/>
        <v>3</v>
      </c>
    </row>
    <row r="1113" spans="1:6" x14ac:dyDescent="0.35">
      <c r="A1113">
        <f t="shared" si="56"/>
        <v>0</v>
      </c>
      <c r="B1113" t="str">
        <f t="shared" si="55"/>
        <v>BX</v>
      </c>
      <c r="C1113" s="12" t="s">
        <v>131</v>
      </c>
      <c r="D1113" s="18">
        <f>VLOOKUP(C1113,'DISTRIBUIÇÃO NF4267'!$E$3:$FQ$75,MATCH(B1113,'DISTRIBUIÇÃO NF4267'!$E$3:$FQ$3,0)+1,0)</f>
        <v>1</v>
      </c>
      <c r="F1113" s="28">
        <f t="shared" si="54"/>
        <v>3</v>
      </c>
    </row>
    <row r="1114" spans="1:6" x14ac:dyDescent="0.35">
      <c r="A1114">
        <f t="shared" si="56"/>
        <v>0</v>
      </c>
      <c r="B1114" t="str">
        <f t="shared" si="55"/>
        <v>BX</v>
      </c>
      <c r="C1114" s="12" t="s">
        <v>132</v>
      </c>
      <c r="D1114" s="18">
        <f>VLOOKUP(C1114,'DISTRIBUIÇÃO NF4267'!$E$3:$FQ$75,MATCH(B1114,'DISTRIBUIÇÃO NF4267'!$E$3:$FQ$3,0)+1,0)</f>
        <v>4</v>
      </c>
      <c r="F1114" s="28">
        <f t="shared" si="54"/>
        <v>3</v>
      </c>
    </row>
    <row r="1115" spans="1:6" x14ac:dyDescent="0.35">
      <c r="A1115">
        <f t="shared" si="56"/>
        <v>0</v>
      </c>
      <c r="B1115" t="str">
        <f t="shared" si="55"/>
        <v>BX</v>
      </c>
      <c r="C1115" s="12" t="s">
        <v>133</v>
      </c>
      <c r="D1115" s="18">
        <f>VLOOKUP(C1115,'DISTRIBUIÇÃO NF4267'!$E$3:$FQ$75,MATCH(B1115,'DISTRIBUIÇÃO NF4267'!$E$3:$FQ$3,0)+1,0)</f>
        <v>3</v>
      </c>
      <c r="F1115" s="28">
        <f t="shared" si="54"/>
        <v>3</v>
      </c>
    </row>
    <row r="1116" spans="1:6" x14ac:dyDescent="0.35">
      <c r="A1116">
        <f t="shared" si="56"/>
        <v>0</v>
      </c>
      <c r="B1116" t="str">
        <f t="shared" si="55"/>
        <v>BX</v>
      </c>
      <c r="C1116" s="12" t="s">
        <v>134</v>
      </c>
      <c r="D1116" s="18">
        <f>VLOOKUP(C1116,'DISTRIBUIÇÃO NF4267'!$E$3:$FQ$75,MATCH(B1116,'DISTRIBUIÇÃO NF4267'!$E$3:$FQ$3,0)+1,0)</f>
        <v>2</v>
      </c>
      <c r="F1116" s="28">
        <f t="shared" si="54"/>
        <v>3</v>
      </c>
    </row>
    <row r="1117" spans="1:6" x14ac:dyDescent="0.35">
      <c r="A1117">
        <f t="shared" si="56"/>
        <v>0</v>
      </c>
      <c r="B1117" t="str">
        <f t="shared" si="55"/>
        <v>BX</v>
      </c>
      <c r="C1117" s="12" t="s">
        <v>135</v>
      </c>
      <c r="D1117" s="18">
        <f>VLOOKUP(C1117,'DISTRIBUIÇÃO NF4267'!$E$3:$FQ$75,MATCH(B1117,'DISTRIBUIÇÃO NF4267'!$E$3:$FQ$3,0)+1,0)</f>
        <v>0</v>
      </c>
      <c r="F1117" s="28">
        <f t="shared" si="54"/>
        <v>3</v>
      </c>
    </row>
    <row r="1118" spans="1:6" x14ac:dyDescent="0.35">
      <c r="A1118">
        <f t="shared" si="56"/>
        <v>0</v>
      </c>
      <c r="B1118" t="str">
        <f t="shared" si="55"/>
        <v>BX</v>
      </c>
      <c r="C1118" s="13" t="s">
        <v>22</v>
      </c>
      <c r="D1118" s="18">
        <f>VLOOKUP(C1118,'DISTRIBUIÇÃO NF4267'!$E$3:$FQ$75,MATCH(B1118,'DISTRIBUIÇÃO NF4267'!$E$3:$FQ$3,0)+1,0)</f>
        <v>0</v>
      </c>
      <c r="F1118" s="28">
        <f t="shared" si="54"/>
        <v>3</v>
      </c>
    </row>
    <row r="1119" spans="1:6" x14ac:dyDescent="0.35">
      <c r="A1119">
        <f t="shared" si="56"/>
        <v>0</v>
      </c>
      <c r="B1119" t="str">
        <f t="shared" si="55"/>
        <v>BX</v>
      </c>
      <c r="C1119" s="13" t="s">
        <v>23</v>
      </c>
      <c r="D1119" s="18">
        <f>VLOOKUP(C1119,'DISTRIBUIÇÃO NF4267'!$E$3:$FQ$75,MATCH(B1119,'DISTRIBUIÇÃO NF4267'!$E$3:$FQ$3,0)+1,0)</f>
        <v>1</v>
      </c>
      <c r="F1119" s="28">
        <f t="shared" si="54"/>
        <v>3</v>
      </c>
    </row>
    <row r="1120" spans="1:6" x14ac:dyDescent="0.35">
      <c r="A1120">
        <f t="shared" si="56"/>
        <v>0</v>
      </c>
      <c r="B1120" t="str">
        <f t="shared" si="55"/>
        <v>BX</v>
      </c>
      <c r="C1120" s="13" t="s">
        <v>24</v>
      </c>
      <c r="D1120" s="18">
        <f>VLOOKUP(C1120,'DISTRIBUIÇÃO NF4267'!$E$3:$FQ$75,MATCH(B1120,'DISTRIBUIÇÃO NF4267'!$E$3:$FQ$3,0)+1,0)</f>
        <v>6</v>
      </c>
      <c r="F1120" s="28">
        <f t="shared" si="54"/>
        <v>3</v>
      </c>
    </row>
    <row r="1121" spans="1:6" x14ac:dyDescent="0.35">
      <c r="A1121">
        <f t="shared" si="56"/>
        <v>0</v>
      </c>
      <c r="B1121" t="str">
        <f t="shared" si="55"/>
        <v>BX</v>
      </c>
      <c r="C1121" s="13" t="s">
        <v>25</v>
      </c>
      <c r="D1121" s="18">
        <f>VLOOKUP(C1121,'DISTRIBUIÇÃO NF4267'!$E$3:$FQ$75,MATCH(B1121,'DISTRIBUIÇÃO NF4267'!$E$3:$FQ$3,0)+1,0)</f>
        <v>2</v>
      </c>
      <c r="F1121" s="28">
        <f t="shared" si="54"/>
        <v>3</v>
      </c>
    </row>
    <row r="1122" spans="1:6" x14ac:dyDescent="0.35">
      <c r="A1122">
        <f t="shared" si="56"/>
        <v>0</v>
      </c>
      <c r="B1122" t="str">
        <f t="shared" si="55"/>
        <v>BX</v>
      </c>
      <c r="C1122" s="13" t="s">
        <v>26</v>
      </c>
      <c r="D1122" s="18">
        <f>VLOOKUP(C1122,'DISTRIBUIÇÃO NF4267'!$E$3:$FQ$75,MATCH(B1122,'DISTRIBUIÇÃO NF4267'!$E$3:$FQ$3,0)+1,0)</f>
        <v>1</v>
      </c>
      <c r="F1122" s="28">
        <f t="shared" si="54"/>
        <v>3</v>
      </c>
    </row>
    <row r="1123" spans="1:6" x14ac:dyDescent="0.35">
      <c r="A1123">
        <f t="shared" si="56"/>
        <v>0</v>
      </c>
      <c r="B1123" t="str">
        <f t="shared" si="55"/>
        <v>BX</v>
      </c>
      <c r="C1123" s="13" t="s">
        <v>27</v>
      </c>
      <c r="D1123" s="18">
        <f>VLOOKUP(C1123,'DISTRIBUIÇÃO NF4267'!$E$3:$FQ$75,MATCH(B1123,'DISTRIBUIÇÃO NF4267'!$E$3:$FQ$3,0)+1,0)</f>
        <v>0</v>
      </c>
      <c r="F1123" s="28">
        <f t="shared" si="54"/>
        <v>3</v>
      </c>
    </row>
    <row r="1124" spans="1:6" x14ac:dyDescent="0.35">
      <c r="A1124">
        <f t="shared" si="56"/>
        <v>0</v>
      </c>
      <c r="B1124" t="str">
        <f t="shared" si="55"/>
        <v>BX</v>
      </c>
      <c r="C1124" s="14" t="s">
        <v>138</v>
      </c>
      <c r="D1124" s="18">
        <f>VLOOKUP(C1124,'DISTRIBUIÇÃO NF4267'!$E$3:$FQ$75,MATCH(B1124,'DISTRIBUIÇÃO NF4267'!$E$3:$FQ$3,0)+1,0)</f>
        <v>0</v>
      </c>
      <c r="F1124" s="28">
        <f t="shared" si="54"/>
        <v>3</v>
      </c>
    </row>
    <row r="1125" spans="1:6" x14ac:dyDescent="0.35">
      <c r="A1125">
        <f t="shared" si="56"/>
        <v>0</v>
      </c>
      <c r="B1125" t="str">
        <f t="shared" si="55"/>
        <v>BX</v>
      </c>
      <c r="C1125" s="14" t="s">
        <v>139</v>
      </c>
      <c r="D1125" s="18">
        <f>VLOOKUP(C1125,'DISTRIBUIÇÃO NF4267'!$E$3:$FQ$75,MATCH(B1125,'DISTRIBUIÇÃO NF4267'!$E$3:$FQ$3,0)+1,0)</f>
        <v>4</v>
      </c>
      <c r="F1125" s="28">
        <f t="shared" si="54"/>
        <v>3</v>
      </c>
    </row>
    <row r="1126" spans="1:6" x14ac:dyDescent="0.35">
      <c r="A1126">
        <f t="shared" si="56"/>
        <v>0</v>
      </c>
      <c r="B1126" t="str">
        <f t="shared" si="55"/>
        <v>BX</v>
      </c>
      <c r="C1126" s="14" t="s">
        <v>140</v>
      </c>
      <c r="D1126" s="18">
        <f>VLOOKUP(C1126,'DISTRIBUIÇÃO NF4267'!$E$3:$FQ$75,MATCH(B1126,'DISTRIBUIÇÃO NF4267'!$E$3:$FQ$3,0)+1,0)</f>
        <v>8</v>
      </c>
      <c r="F1126" s="28">
        <f t="shared" si="54"/>
        <v>3</v>
      </c>
    </row>
    <row r="1127" spans="1:6" x14ac:dyDescent="0.35">
      <c r="A1127">
        <f t="shared" si="56"/>
        <v>0</v>
      </c>
      <c r="B1127" t="str">
        <f t="shared" si="55"/>
        <v>BX</v>
      </c>
      <c r="C1127" s="14" t="s">
        <v>141</v>
      </c>
      <c r="D1127" s="18">
        <f>VLOOKUP(C1127,'DISTRIBUIÇÃO NF4267'!$E$3:$FQ$75,MATCH(B1127,'DISTRIBUIÇÃO NF4267'!$E$3:$FQ$3,0)+1,0)</f>
        <v>4</v>
      </c>
      <c r="F1127" s="28">
        <f t="shared" si="54"/>
        <v>3</v>
      </c>
    </row>
    <row r="1128" spans="1:6" x14ac:dyDescent="0.35">
      <c r="A1128">
        <f t="shared" si="56"/>
        <v>0</v>
      </c>
      <c r="B1128" t="str">
        <f t="shared" si="55"/>
        <v>BX</v>
      </c>
      <c r="C1128" s="14" t="s">
        <v>142</v>
      </c>
      <c r="D1128" s="18">
        <f>VLOOKUP(C1128,'DISTRIBUIÇÃO NF4267'!$E$3:$FQ$75,MATCH(B1128,'DISTRIBUIÇÃO NF4267'!$E$3:$FQ$3,0)+1,0)</f>
        <v>4</v>
      </c>
      <c r="F1128" s="28">
        <f t="shared" si="54"/>
        <v>3</v>
      </c>
    </row>
    <row r="1129" spans="1:6" x14ac:dyDescent="0.35">
      <c r="A1129">
        <f t="shared" si="56"/>
        <v>0</v>
      </c>
      <c r="B1129" t="str">
        <f t="shared" si="55"/>
        <v>BX</v>
      </c>
      <c r="C1129" s="14" t="s">
        <v>143</v>
      </c>
      <c r="D1129" s="18">
        <f>VLOOKUP(C1129,'DISTRIBUIÇÃO NF4267'!$E$3:$FQ$75,MATCH(B1129,'DISTRIBUIÇÃO NF4267'!$E$3:$FQ$3,0)+1,0)</f>
        <v>0</v>
      </c>
      <c r="F1129" s="28">
        <f t="shared" si="54"/>
        <v>3</v>
      </c>
    </row>
    <row r="1130" spans="1:6" x14ac:dyDescent="0.35">
      <c r="A1130">
        <f t="shared" si="56"/>
        <v>0</v>
      </c>
      <c r="B1130" t="str">
        <f t="shared" si="55"/>
        <v>BX</v>
      </c>
      <c r="C1130" s="15" t="s">
        <v>145</v>
      </c>
      <c r="D1130" s="18">
        <f>VLOOKUP(C1130,'DISTRIBUIÇÃO NF4267'!$E$3:$FQ$75,MATCH(B1130,'DISTRIBUIÇÃO NF4267'!$E$3:$FQ$3,0)+1,0)</f>
        <v>0</v>
      </c>
      <c r="F1130" s="28">
        <f t="shared" si="54"/>
        <v>3</v>
      </c>
    </row>
    <row r="1131" spans="1:6" x14ac:dyDescent="0.35">
      <c r="A1131">
        <f t="shared" si="56"/>
        <v>0</v>
      </c>
      <c r="B1131" t="str">
        <f t="shared" si="55"/>
        <v>BX</v>
      </c>
      <c r="C1131" s="15" t="s">
        <v>146</v>
      </c>
      <c r="D1131" s="18">
        <f>VLOOKUP(C1131,'DISTRIBUIÇÃO NF4267'!$E$3:$FQ$75,MATCH(B1131,'DISTRIBUIÇÃO NF4267'!$E$3:$FQ$3,0)+1,0)</f>
        <v>2</v>
      </c>
      <c r="F1131" s="28">
        <f t="shared" si="54"/>
        <v>3</v>
      </c>
    </row>
    <row r="1132" spans="1:6" x14ac:dyDescent="0.35">
      <c r="A1132">
        <f t="shared" si="56"/>
        <v>0</v>
      </c>
      <c r="B1132" t="str">
        <f t="shared" si="55"/>
        <v>BX</v>
      </c>
      <c r="C1132" s="15" t="s">
        <v>147</v>
      </c>
      <c r="D1132" s="18">
        <f>VLOOKUP(C1132,'DISTRIBUIÇÃO NF4267'!$E$3:$FQ$75,MATCH(B1132,'DISTRIBUIÇÃO NF4267'!$E$3:$FQ$3,0)+1,0)</f>
        <v>4</v>
      </c>
      <c r="F1132" s="28">
        <f t="shared" si="54"/>
        <v>3</v>
      </c>
    </row>
    <row r="1133" spans="1:6" x14ac:dyDescent="0.35">
      <c r="A1133">
        <f t="shared" si="56"/>
        <v>0</v>
      </c>
      <c r="B1133" t="str">
        <f t="shared" si="55"/>
        <v>BX</v>
      </c>
      <c r="C1133" s="15" t="s">
        <v>148</v>
      </c>
      <c r="D1133" s="18">
        <f>VLOOKUP(C1133,'DISTRIBUIÇÃO NF4267'!$E$3:$FQ$75,MATCH(B1133,'DISTRIBUIÇÃO NF4267'!$E$3:$FQ$3,0)+1,0)</f>
        <v>2</v>
      </c>
      <c r="F1133" s="28">
        <f t="shared" si="54"/>
        <v>3</v>
      </c>
    </row>
    <row r="1134" spans="1:6" x14ac:dyDescent="0.35">
      <c r="A1134">
        <f t="shared" si="56"/>
        <v>0</v>
      </c>
      <c r="B1134" t="str">
        <f t="shared" si="55"/>
        <v>BX</v>
      </c>
      <c r="C1134" s="15" t="s">
        <v>149</v>
      </c>
      <c r="D1134" s="18">
        <f>VLOOKUP(C1134,'DISTRIBUIÇÃO NF4267'!$E$3:$FQ$75,MATCH(B1134,'DISTRIBUIÇÃO NF4267'!$E$3:$FQ$3,0)+1,0)</f>
        <v>2</v>
      </c>
      <c r="F1134" s="28">
        <f t="shared" si="54"/>
        <v>3</v>
      </c>
    </row>
    <row r="1135" spans="1:6" x14ac:dyDescent="0.35">
      <c r="A1135">
        <f t="shared" si="56"/>
        <v>0</v>
      </c>
      <c r="B1135" t="str">
        <f t="shared" si="55"/>
        <v>BX</v>
      </c>
      <c r="C1135" s="15" t="s">
        <v>150</v>
      </c>
      <c r="D1135" s="18">
        <f>VLOOKUP(C1135,'DISTRIBUIÇÃO NF4267'!$E$3:$FQ$75,MATCH(B1135,'DISTRIBUIÇÃO NF4267'!$E$3:$FQ$3,0)+1,0)</f>
        <v>0</v>
      </c>
      <c r="F1135" s="28">
        <f t="shared" si="54"/>
        <v>3</v>
      </c>
    </row>
    <row r="1136" spans="1:6" x14ac:dyDescent="0.35">
      <c r="A1136">
        <f t="shared" si="56"/>
        <v>0</v>
      </c>
      <c r="B1136">
        <v>82</v>
      </c>
      <c r="C1136" s="7" t="s">
        <v>98</v>
      </c>
      <c r="D1136" s="18">
        <f>VLOOKUP(C1136,'DISTRIBUIÇÃO NF4267'!$E$3:$FQ$75,MATCH(B1136,'DISTRIBUIÇÃO NF4267'!$E$3:$FQ$3,0)+1,0)</f>
        <v>0</v>
      </c>
      <c r="F1136" s="28">
        <f t="shared" si="54"/>
        <v>3</v>
      </c>
    </row>
    <row r="1137" spans="1:6" x14ac:dyDescent="0.35">
      <c r="A1137">
        <f t="shared" si="56"/>
        <v>0</v>
      </c>
      <c r="B1137">
        <f>B1136</f>
        <v>82</v>
      </c>
      <c r="C1137" s="7" t="s">
        <v>99</v>
      </c>
      <c r="D1137" s="18">
        <f>VLOOKUP(C1137,'DISTRIBUIÇÃO NF4267'!$E$3:$FQ$75,MATCH(B1137,'DISTRIBUIÇÃO NF4267'!$E$3:$FQ$3,0)+1,0)</f>
        <v>4</v>
      </c>
      <c r="F1137" s="28">
        <f t="shared" si="54"/>
        <v>3</v>
      </c>
    </row>
    <row r="1138" spans="1:6" x14ac:dyDescent="0.35">
      <c r="A1138">
        <f t="shared" si="56"/>
        <v>0</v>
      </c>
      <c r="B1138">
        <f t="shared" ref="B1138:B1189" si="57">B1137</f>
        <v>82</v>
      </c>
      <c r="C1138" s="7" t="s">
        <v>100</v>
      </c>
      <c r="D1138" s="18">
        <f>VLOOKUP(C1138,'DISTRIBUIÇÃO NF4267'!$E$3:$FQ$75,MATCH(B1138,'DISTRIBUIÇÃO NF4267'!$E$3:$FQ$3,0)+1,0)</f>
        <v>8</v>
      </c>
      <c r="F1138" s="28">
        <f t="shared" si="54"/>
        <v>3</v>
      </c>
    </row>
    <row r="1139" spans="1:6" x14ac:dyDescent="0.35">
      <c r="A1139">
        <f t="shared" si="56"/>
        <v>0</v>
      </c>
      <c r="B1139">
        <f t="shared" si="57"/>
        <v>82</v>
      </c>
      <c r="C1139" s="7" t="s">
        <v>101</v>
      </c>
      <c r="D1139" s="18">
        <f>VLOOKUP(C1139,'DISTRIBUIÇÃO NF4267'!$E$3:$FQ$75,MATCH(B1139,'DISTRIBUIÇÃO NF4267'!$E$3:$FQ$3,0)+1,0)</f>
        <v>4</v>
      </c>
      <c r="F1139" s="28">
        <f t="shared" si="54"/>
        <v>3</v>
      </c>
    </row>
    <row r="1140" spans="1:6" x14ac:dyDescent="0.35">
      <c r="A1140">
        <f t="shared" si="56"/>
        <v>0</v>
      </c>
      <c r="B1140">
        <f t="shared" si="57"/>
        <v>82</v>
      </c>
      <c r="C1140" s="7" t="s">
        <v>102</v>
      </c>
      <c r="D1140" s="18">
        <f>VLOOKUP(C1140,'DISTRIBUIÇÃO NF4267'!$E$3:$FQ$75,MATCH(B1140,'DISTRIBUIÇÃO NF4267'!$E$3:$FQ$3,0)+1,0)</f>
        <v>4</v>
      </c>
      <c r="F1140" s="28">
        <f t="shared" si="54"/>
        <v>3</v>
      </c>
    </row>
    <row r="1141" spans="1:6" x14ac:dyDescent="0.35">
      <c r="A1141">
        <f t="shared" si="56"/>
        <v>0</v>
      </c>
      <c r="B1141">
        <f t="shared" si="57"/>
        <v>82</v>
      </c>
      <c r="C1141" s="7" t="s">
        <v>103</v>
      </c>
      <c r="D1141" s="18">
        <f>VLOOKUP(C1141,'DISTRIBUIÇÃO NF4267'!$E$3:$FQ$75,MATCH(B1141,'DISTRIBUIÇÃO NF4267'!$E$3:$FQ$3,0)+1,0)</f>
        <v>0</v>
      </c>
      <c r="F1141" s="28">
        <f t="shared" si="54"/>
        <v>3</v>
      </c>
    </row>
    <row r="1142" spans="1:6" x14ac:dyDescent="0.35">
      <c r="A1142">
        <f t="shared" si="56"/>
        <v>0</v>
      </c>
      <c r="B1142">
        <f t="shared" si="57"/>
        <v>82</v>
      </c>
      <c r="C1142" s="8" t="s">
        <v>107</v>
      </c>
      <c r="D1142" s="18">
        <f>VLOOKUP(C1142,'DISTRIBUIÇÃO NF4267'!$E$3:$FQ$75,MATCH(B1142,'DISTRIBUIÇÃO NF4267'!$E$3:$FQ$3,0)+1,0)</f>
        <v>0</v>
      </c>
      <c r="F1142" s="28">
        <f t="shared" si="54"/>
        <v>3</v>
      </c>
    </row>
    <row r="1143" spans="1:6" x14ac:dyDescent="0.35">
      <c r="A1143">
        <f t="shared" si="56"/>
        <v>0</v>
      </c>
      <c r="B1143">
        <f t="shared" si="57"/>
        <v>82</v>
      </c>
      <c r="C1143" s="8" t="s">
        <v>108</v>
      </c>
      <c r="D1143" s="18">
        <f>VLOOKUP(C1143,'DISTRIBUIÇÃO NF4267'!$E$3:$FQ$75,MATCH(B1143,'DISTRIBUIÇÃO NF4267'!$E$3:$FQ$3,0)+1,0)</f>
        <v>2</v>
      </c>
      <c r="F1143" s="28">
        <f t="shared" si="54"/>
        <v>3</v>
      </c>
    </row>
    <row r="1144" spans="1:6" x14ac:dyDescent="0.35">
      <c r="A1144">
        <f t="shared" si="56"/>
        <v>0</v>
      </c>
      <c r="B1144">
        <f t="shared" si="57"/>
        <v>82</v>
      </c>
      <c r="C1144" s="8" t="s">
        <v>109</v>
      </c>
      <c r="D1144" s="18">
        <f>VLOOKUP(C1144,'DISTRIBUIÇÃO NF4267'!$E$3:$FQ$75,MATCH(B1144,'DISTRIBUIÇÃO NF4267'!$E$3:$FQ$3,0)+1,0)</f>
        <v>4</v>
      </c>
      <c r="F1144" s="28">
        <f t="shared" ref="F1144:F1207" si="58">ROUNDUP(SUMIFS(D:D,B:B,B1144)/80,0)</f>
        <v>3</v>
      </c>
    </row>
    <row r="1145" spans="1:6" x14ac:dyDescent="0.35">
      <c r="A1145">
        <f t="shared" si="56"/>
        <v>0</v>
      </c>
      <c r="B1145">
        <f t="shared" si="57"/>
        <v>82</v>
      </c>
      <c r="C1145" s="8" t="s">
        <v>110</v>
      </c>
      <c r="D1145" s="18">
        <f>VLOOKUP(C1145,'DISTRIBUIÇÃO NF4267'!$E$3:$FQ$75,MATCH(B1145,'DISTRIBUIÇÃO NF4267'!$E$3:$FQ$3,0)+1,0)</f>
        <v>2</v>
      </c>
      <c r="F1145" s="28">
        <f t="shared" si="58"/>
        <v>3</v>
      </c>
    </row>
    <row r="1146" spans="1:6" x14ac:dyDescent="0.35">
      <c r="A1146">
        <f t="shared" si="56"/>
        <v>0</v>
      </c>
      <c r="B1146">
        <f t="shared" si="57"/>
        <v>82</v>
      </c>
      <c r="C1146" s="8" t="s">
        <v>111</v>
      </c>
      <c r="D1146" s="18">
        <f>VLOOKUP(C1146,'DISTRIBUIÇÃO NF4267'!$E$3:$FQ$75,MATCH(B1146,'DISTRIBUIÇÃO NF4267'!$E$3:$FQ$3,0)+1,0)</f>
        <v>2</v>
      </c>
      <c r="F1146" s="28">
        <f t="shared" si="58"/>
        <v>3</v>
      </c>
    </row>
    <row r="1147" spans="1:6" x14ac:dyDescent="0.35">
      <c r="A1147">
        <f t="shared" si="56"/>
        <v>0</v>
      </c>
      <c r="B1147">
        <f t="shared" si="57"/>
        <v>82</v>
      </c>
      <c r="C1147" s="8" t="s">
        <v>112</v>
      </c>
      <c r="D1147" s="18">
        <f>VLOOKUP(C1147,'DISTRIBUIÇÃO NF4267'!$E$3:$FQ$75,MATCH(B1147,'DISTRIBUIÇÃO NF4267'!$E$3:$FQ$3,0)+1,0)</f>
        <v>0</v>
      </c>
      <c r="F1147" s="28">
        <f t="shared" si="58"/>
        <v>3</v>
      </c>
    </row>
    <row r="1148" spans="1:6" x14ac:dyDescent="0.35">
      <c r="A1148">
        <f t="shared" si="56"/>
        <v>0</v>
      </c>
      <c r="B1148">
        <f t="shared" si="57"/>
        <v>82</v>
      </c>
      <c r="C1148" s="9" t="s">
        <v>113</v>
      </c>
      <c r="D1148" s="18">
        <f>VLOOKUP(C1148,'DISTRIBUIÇÃO NF4267'!$E$3:$FQ$75,MATCH(B1148,'DISTRIBUIÇÃO NF4267'!$E$3:$FQ$3,0)+1,0)</f>
        <v>0</v>
      </c>
      <c r="F1148" s="28">
        <f t="shared" si="58"/>
        <v>3</v>
      </c>
    </row>
    <row r="1149" spans="1:6" x14ac:dyDescent="0.35">
      <c r="A1149">
        <f t="shared" si="56"/>
        <v>0</v>
      </c>
      <c r="B1149">
        <f t="shared" si="57"/>
        <v>82</v>
      </c>
      <c r="C1149" s="9" t="s">
        <v>114</v>
      </c>
      <c r="D1149" s="18">
        <f>VLOOKUP(C1149,'DISTRIBUIÇÃO NF4267'!$E$3:$FQ$75,MATCH(B1149,'DISTRIBUIÇÃO NF4267'!$E$3:$FQ$3,0)+1,0)</f>
        <v>6</v>
      </c>
      <c r="F1149" s="28">
        <f t="shared" si="58"/>
        <v>3</v>
      </c>
    </row>
    <row r="1150" spans="1:6" x14ac:dyDescent="0.35">
      <c r="A1150">
        <f t="shared" si="56"/>
        <v>0</v>
      </c>
      <c r="B1150">
        <f t="shared" si="57"/>
        <v>82</v>
      </c>
      <c r="C1150" s="9" t="s">
        <v>115</v>
      </c>
      <c r="D1150" s="18">
        <f>VLOOKUP(C1150,'DISTRIBUIÇÃO NF4267'!$E$3:$FQ$75,MATCH(B1150,'DISTRIBUIÇÃO NF4267'!$E$3:$FQ$3,0)+1,0)</f>
        <v>8</v>
      </c>
      <c r="F1150" s="28">
        <f t="shared" si="58"/>
        <v>3</v>
      </c>
    </row>
    <row r="1151" spans="1:6" x14ac:dyDescent="0.35">
      <c r="A1151">
        <f t="shared" si="56"/>
        <v>0</v>
      </c>
      <c r="B1151">
        <f t="shared" si="57"/>
        <v>82</v>
      </c>
      <c r="C1151" s="9" t="s">
        <v>116</v>
      </c>
      <c r="D1151" s="18">
        <f>VLOOKUP(C1151,'DISTRIBUIÇÃO NF4267'!$E$3:$FQ$75,MATCH(B1151,'DISTRIBUIÇÃO NF4267'!$E$3:$FQ$3,0)+1,0)</f>
        <v>4</v>
      </c>
      <c r="F1151" s="28">
        <f t="shared" si="58"/>
        <v>3</v>
      </c>
    </row>
    <row r="1152" spans="1:6" x14ac:dyDescent="0.35">
      <c r="A1152">
        <f t="shared" si="56"/>
        <v>0</v>
      </c>
      <c r="B1152">
        <f t="shared" si="57"/>
        <v>82</v>
      </c>
      <c r="C1152" s="9" t="s">
        <v>117</v>
      </c>
      <c r="D1152" s="18">
        <f>VLOOKUP(C1152,'DISTRIBUIÇÃO NF4267'!$E$3:$FQ$75,MATCH(B1152,'DISTRIBUIÇÃO NF4267'!$E$3:$FQ$3,0)+1,0)</f>
        <v>2</v>
      </c>
      <c r="F1152" s="28">
        <f t="shared" si="58"/>
        <v>3</v>
      </c>
    </row>
    <row r="1153" spans="1:6" x14ac:dyDescent="0.35">
      <c r="A1153">
        <f t="shared" si="56"/>
        <v>0</v>
      </c>
      <c r="B1153">
        <f t="shared" si="57"/>
        <v>82</v>
      </c>
      <c r="C1153" s="9" t="s">
        <v>118</v>
      </c>
      <c r="D1153" s="18">
        <f>VLOOKUP(C1153,'DISTRIBUIÇÃO NF4267'!$E$3:$FQ$75,MATCH(B1153,'DISTRIBUIÇÃO NF4267'!$E$3:$FQ$3,0)+1,0)</f>
        <v>0</v>
      </c>
      <c r="F1153" s="28">
        <f t="shared" si="58"/>
        <v>3</v>
      </c>
    </row>
    <row r="1154" spans="1:6" x14ac:dyDescent="0.35">
      <c r="A1154">
        <f t="shared" ref="A1154:A1217" si="59">IF(ISERROR(VLOOKUP(C1154,I:I,1,0)),0,1)</f>
        <v>0</v>
      </c>
      <c r="B1154">
        <f t="shared" si="57"/>
        <v>82</v>
      </c>
      <c r="C1154" s="10" t="s">
        <v>119</v>
      </c>
      <c r="D1154" s="18">
        <f>VLOOKUP(C1154,'DISTRIBUIÇÃO NF4267'!$E$3:$FQ$75,MATCH(B1154,'DISTRIBUIÇÃO NF4267'!$E$3:$FQ$3,0)+1,0)</f>
        <v>0</v>
      </c>
      <c r="F1154" s="28">
        <f t="shared" si="58"/>
        <v>3</v>
      </c>
    </row>
    <row r="1155" spans="1:6" x14ac:dyDescent="0.35">
      <c r="A1155">
        <f t="shared" si="59"/>
        <v>0</v>
      </c>
      <c r="B1155">
        <f t="shared" si="57"/>
        <v>82</v>
      </c>
      <c r="C1155" s="10" t="s">
        <v>120</v>
      </c>
      <c r="D1155" s="18">
        <f>VLOOKUP(C1155,'DISTRIBUIÇÃO NF4267'!$E$3:$FQ$75,MATCH(B1155,'DISTRIBUIÇÃO NF4267'!$E$3:$FQ$3,0)+1,0)</f>
        <v>48</v>
      </c>
      <c r="F1155" s="28">
        <f t="shared" si="58"/>
        <v>3</v>
      </c>
    </row>
    <row r="1156" spans="1:6" x14ac:dyDescent="0.35">
      <c r="A1156">
        <f t="shared" si="59"/>
        <v>0</v>
      </c>
      <c r="B1156">
        <f t="shared" si="57"/>
        <v>82</v>
      </c>
      <c r="C1156" s="10" t="s">
        <v>121</v>
      </c>
      <c r="D1156" s="18">
        <f>VLOOKUP(C1156,'DISTRIBUIÇÃO NF4267'!$E$3:$FQ$75,MATCH(B1156,'DISTRIBUIÇÃO NF4267'!$E$3:$FQ$3,0)+1,0)</f>
        <v>16</v>
      </c>
      <c r="F1156" s="28">
        <f t="shared" si="58"/>
        <v>3</v>
      </c>
    </row>
    <row r="1157" spans="1:6" x14ac:dyDescent="0.35">
      <c r="A1157">
        <f t="shared" si="59"/>
        <v>0</v>
      </c>
      <c r="B1157">
        <f t="shared" si="57"/>
        <v>82</v>
      </c>
      <c r="C1157" s="10" t="s">
        <v>122</v>
      </c>
      <c r="D1157" s="18">
        <f>VLOOKUP(C1157,'DISTRIBUIÇÃO NF4267'!$E$3:$FQ$75,MATCH(B1157,'DISTRIBUIÇÃO NF4267'!$E$3:$FQ$3,0)+1,0)</f>
        <v>16</v>
      </c>
      <c r="F1157" s="28">
        <f t="shared" si="58"/>
        <v>3</v>
      </c>
    </row>
    <row r="1158" spans="1:6" x14ac:dyDescent="0.35">
      <c r="A1158">
        <f t="shared" si="59"/>
        <v>0</v>
      </c>
      <c r="B1158">
        <f t="shared" si="57"/>
        <v>82</v>
      </c>
      <c r="C1158" s="10" t="s">
        <v>123</v>
      </c>
      <c r="D1158" s="18">
        <f>VLOOKUP(C1158,'DISTRIBUIÇÃO NF4267'!$E$3:$FQ$75,MATCH(B1158,'DISTRIBUIÇÃO NF4267'!$E$3:$FQ$3,0)+1,0)</f>
        <v>0</v>
      </c>
      <c r="F1158" s="28">
        <f t="shared" si="58"/>
        <v>3</v>
      </c>
    </row>
    <row r="1159" spans="1:6" x14ac:dyDescent="0.35">
      <c r="A1159">
        <f t="shared" si="59"/>
        <v>0</v>
      </c>
      <c r="B1159">
        <f t="shared" si="57"/>
        <v>82</v>
      </c>
      <c r="C1159" s="10" t="s">
        <v>124</v>
      </c>
      <c r="D1159" s="18">
        <f>VLOOKUP(C1159,'DISTRIBUIÇÃO NF4267'!$E$3:$FQ$75,MATCH(B1159,'DISTRIBUIÇÃO NF4267'!$E$3:$FQ$3,0)+1,0)</f>
        <v>0</v>
      </c>
      <c r="F1159" s="28">
        <f t="shared" si="58"/>
        <v>3</v>
      </c>
    </row>
    <row r="1160" spans="1:6" x14ac:dyDescent="0.35">
      <c r="A1160">
        <f t="shared" si="59"/>
        <v>0</v>
      </c>
      <c r="B1160">
        <f t="shared" si="57"/>
        <v>82</v>
      </c>
      <c r="C1160" s="11" t="s">
        <v>16</v>
      </c>
      <c r="D1160" s="18">
        <f>VLOOKUP(C1160,'DISTRIBUIÇÃO NF4267'!$E$3:$FQ$75,MATCH(B1160,'DISTRIBUIÇÃO NF4267'!$E$3:$FQ$3,0)+1,0)</f>
        <v>0</v>
      </c>
      <c r="F1160" s="28">
        <f t="shared" si="58"/>
        <v>3</v>
      </c>
    </row>
    <row r="1161" spans="1:6" x14ac:dyDescent="0.35">
      <c r="A1161">
        <f t="shared" si="59"/>
        <v>0</v>
      </c>
      <c r="B1161">
        <f t="shared" si="57"/>
        <v>82</v>
      </c>
      <c r="C1161" s="11" t="s">
        <v>17</v>
      </c>
      <c r="D1161" s="18">
        <f>VLOOKUP(C1161,'DISTRIBUIÇÃO NF4267'!$E$3:$FQ$75,MATCH(B1161,'DISTRIBUIÇÃO NF4267'!$E$3:$FQ$3,0)+1,0)</f>
        <v>9</v>
      </c>
      <c r="F1161" s="28">
        <f t="shared" si="58"/>
        <v>3</v>
      </c>
    </row>
    <row r="1162" spans="1:6" x14ac:dyDescent="0.35">
      <c r="A1162">
        <f t="shared" si="59"/>
        <v>0</v>
      </c>
      <c r="B1162">
        <f t="shared" si="57"/>
        <v>82</v>
      </c>
      <c r="C1162" s="11" t="s">
        <v>18</v>
      </c>
      <c r="D1162" s="18">
        <f>VLOOKUP(C1162,'DISTRIBUIÇÃO NF4267'!$E$3:$FQ$75,MATCH(B1162,'DISTRIBUIÇÃO NF4267'!$E$3:$FQ$3,0)+1,0)</f>
        <v>3</v>
      </c>
      <c r="F1162" s="28">
        <f t="shared" si="58"/>
        <v>3</v>
      </c>
    </row>
    <row r="1163" spans="1:6" x14ac:dyDescent="0.35">
      <c r="A1163">
        <f t="shared" si="59"/>
        <v>0</v>
      </c>
      <c r="B1163">
        <f t="shared" si="57"/>
        <v>82</v>
      </c>
      <c r="C1163" s="11" t="s">
        <v>19</v>
      </c>
      <c r="D1163" s="18">
        <f>VLOOKUP(C1163,'DISTRIBUIÇÃO NF4267'!$E$3:$FQ$75,MATCH(B1163,'DISTRIBUIÇÃO NF4267'!$E$3:$FQ$3,0)+1,0)</f>
        <v>3</v>
      </c>
      <c r="F1163" s="28">
        <f t="shared" si="58"/>
        <v>3</v>
      </c>
    </row>
    <row r="1164" spans="1:6" x14ac:dyDescent="0.35">
      <c r="A1164">
        <f t="shared" si="59"/>
        <v>0</v>
      </c>
      <c r="B1164">
        <f t="shared" si="57"/>
        <v>82</v>
      </c>
      <c r="C1164" s="11" t="s">
        <v>20</v>
      </c>
      <c r="D1164" s="18">
        <f>VLOOKUP(C1164,'DISTRIBUIÇÃO NF4267'!$E$3:$FQ$75,MATCH(B1164,'DISTRIBUIÇÃO NF4267'!$E$3:$FQ$3,0)+1,0)</f>
        <v>15</v>
      </c>
      <c r="F1164" s="28">
        <f t="shared" si="58"/>
        <v>3</v>
      </c>
    </row>
    <row r="1165" spans="1:6" x14ac:dyDescent="0.35">
      <c r="A1165">
        <f t="shared" si="59"/>
        <v>0</v>
      </c>
      <c r="B1165">
        <f t="shared" si="57"/>
        <v>82</v>
      </c>
      <c r="C1165" s="11" t="s">
        <v>21</v>
      </c>
      <c r="D1165" s="18">
        <f>VLOOKUP(C1165,'DISTRIBUIÇÃO NF4267'!$E$3:$FQ$75,MATCH(B1165,'DISTRIBUIÇÃO NF4267'!$E$3:$FQ$3,0)+1,0)</f>
        <v>0</v>
      </c>
      <c r="F1165" s="28">
        <f t="shared" si="58"/>
        <v>3</v>
      </c>
    </row>
    <row r="1166" spans="1:6" x14ac:dyDescent="0.35">
      <c r="A1166">
        <f t="shared" si="59"/>
        <v>0</v>
      </c>
      <c r="B1166">
        <f t="shared" si="57"/>
        <v>82</v>
      </c>
      <c r="C1166" s="12" t="s">
        <v>130</v>
      </c>
      <c r="D1166" s="18">
        <f>VLOOKUP(C1166,'DISTRIBUIÇÃO NF4267'!$E$3:$FQ$75,MATCH(B1166,'DISTRIBUIÇÃO NF4267'!$E$3:$FQ$3,0)+1,0)</f>
        <v>0</v>
      </c>
      <c r="F1166" s="28">
        <f t="shared" si="58"/>
        <v>3</v>
      </c>
    </row>
    <row r="1167" spans="1:6" x14ac:dyDescent="0.35">
      <c r="A1167">
        <f t="shared" si="59"/>
        <v>0</v>
      </c>
      <c r="B1167">
        <f t="shared" si="57"/>
        <v>82</v>
      </c>
      <c r="C1167" s="12" t="s">
        <v>131</v>
      </c>
      <c r="D1167" s="18">
        <f>VLOOKUP(C1167,'DISTRIBUIÇÃO NF4267'!$E$3:$FQ$75,MATCH(B1167,'DISTRIBUIÇÃO NF4267'!$E$3:$FQ$3,0)+1,0)</f>
        <v>1</v>
      </c>
      <c r="F1167" s="28">
        <f t="shared" si="58"/>
        <v>3</v>
      </c>
    </row>
    <row r="1168" spans="1:6" x14ac:dyDescent="0.35">
      <c r="A1168">
        <f t="shared" si="59"/>
        <v>0</v>
      </c>
      <c r="B1168">
        <f t="shared" si="57"/>
        <v>82</v>
      </c>
      <c r="C1168" s="12" t="s">
        <v>132</v>
      </c>
      <c r="D1168" s="18">
        <f>VLOOKUP(C1168,'DISTRIBUIÇÃO NF4267'!$E$3:$FQ$75,MATCH(B1168,'DISTRIBUIÇÃO NF4267'!$E$3:$FQ$3,0)+1,0)</f>
        <v>4</v>
      </c>
      <c r="F1168" s="28">
        <f t="shared" si="58"/>
        <v>3</v>
      </c>
    </row>
    <row r="1169" spans="1:6" x14ac:dyDescent="0.35">
      <c r="A1169">
        <f t="shared" si="59"/>
        <v>0</v>
      </c>
      <c r="B1169">
        <f t="shared" si="57"/>
        <v>82</v>
      </c>
      <c r="C1169" s="12" t="s">
        <v>133</v>
      </c>
      <c r="D1169" s="18">
        <f>VLOOKUP(C1169,'DISTRIBUIÇÃO NF4267'!$E$3:$FQ$75,MATCH(B1169,'DISTRIBUIÇÃO NF4267'!$E$3:$FQ$3,0)+1,0)</f>
        <v>3</v>
      </c>
      <c r="F1169" s="28">
        <f t="shared" si="58"/>
        <v>3</v>
      </c>
    </row>
    <row r="1170" spans="1:6" x14ac:dyDescent="0.35">
      <c r="A1170">
        <f t="shared" si="59"/>
        <v>0</v>
      </c>
      <c r="B1170">
        <f t="shared" si="57"/>
        <v>82</v>
      </c>
      <c r="C1170" s="12" t="s">
        <v>134</v>
      </c>
      <c r="D1170" s="18">
        <f>VLOOKUP(C1170,'DISTRIBUIÇÃO NF4267'!$E$3:$FQ$75,MATCH(B1170,'DISTRIBUIÇÃO NF4267'!$E$3:$FQ$3,0)+1,0)</f>
        <v>2</v>
      </c>
      <c r="F1170" s="28">
        <f t="shared" si="58"/>
        <v>3</v>
      </c>
    </row>
    <row r="1171" spans="1:6" x14ac:dyDescent="0.35">
      <c r="A1171">
        <f t="shared" si="59"/>
        <v>0</v>
      </c>
      <c r="B1171">
        <f t="shared" si="57"/>
        <v>82</v>
      </c>
      <c r="C1171" s="12" t="s">
        <v>135</v>
      </c>
      <c r="D1171" s="18">
        <f>VLOOKUP(C1171,'DISTRIBUIÇÃO NF4267'!$E$3:$FQ$75,MATCH(B1171,'DISTRIBUIÇÃO NF4267'!$E$3:$FQ$3,0)+1,0)</f>
        <v>0</v>
      </c>
      <c r="F1171" s="28">
        <f t="shared" si="58"/>
        <v>3</v>
      </c>
    </row>
    <row r="1172" spans="1:6" x14ac:dyDescent="0.35">
      <c r="A1172">
        <f t="shared" si="59"/>
        <v>0</v>
      </c>
      <c r="B1172">
        <f t="shared" si="57"/>
        <v>82</v>
      </c>
      <c r="C1172" s="13" t="s">
        <v>22</v>
      </c>
      <c r="D1172" s="18">
        <f>VLOOKUP(C1172,'DISTRIBUIÇÃO NF4267'!$E$3:$FQ$75,MATCH(B1172,'DISTRIBUIÇÃO NF4267'!$E$3:$FQ$3,0)+1,0)</f>
        <v>0</v>
      </c>
      <c r="F1172" s="28">
        <f t="shared" si="58"/>
        <v>3</v>
      </c>
    </row>
    <row r="1173" spans="1:6" x14ac:dyDescent="0.35">
      <c r="A1173">
        <f t="shared" si="59"/>
        <v>0</v>
      </c>
      <c r="B1173">
        <f t="shared" si="57"/>
        <v>82</v>
      </c>
      <c r="C1173" s="13" t="s">
        <v>23</v>
      </c>
      <c r="D1173" s="18">
        <f>VLOOKUP(C1173,'DISTRIBUIÇÃO NF4267'!$E$3:$FQ$75,MATCH(B1173,'DISTRIBUIÇÃO NF4267'!$E$3:$FQ$3,0)+1,0)</f>
        <v>1</v>
      </c>
      <c r="F1173" s="28">
        <f t="shared" si="58"/>
        <v>3</v>
      </c>
    </row>
    <row r="1174" spans="1:6" x14ac:dyDescent="0.35">
      <c r="A1174">
        <f t="shared" si="59"/>
        <v>0</v>
      </c>
      <c r="B1174">
        <f t="shared" si="57"/>
        <v>82</v>
      </c>
      <c r="C1174" s="13" t="s">
        <v>24</v>
      </c>
      <c r="D1174" s="18">
        <f>VLOOKUP(C1174,'DISTRIBUIÇÃO NF4267'!$E$3:$FQ$75,MATCH(B1174,'DISTRIBUIÇÃO NF4267'!$E$3:$FQ$3,0)+1,0)</f>
        <v>6</v>
      </c>
      <c r="F1174" s="28">
        <f t="shared" si="58"/>
        <v>3</v>
      </c>
    </row>
    <row r="1175" spans="1:6" x14ac:dyDescent="0.35">
      <c r="A1175">
        <f t="shared" si="59"/>
        <v>0</v>
      </c>
      <c r="B1175">
        <f t="shared" si="57"/>
        <v>82</v>
      </c>
      <c r="C1175" s="13" t="s">
        <v>25</v>
      </c>
      <c r="D1175" s="18">
        <f>VLOOKUP(C1175,'DISTRIBUIÇÃO NF4267'!$E$3:$FQ$75,MATCH(B1175,'DISTRIBUIÇÃO NF4267'!$E$3:$FQ$3,0)+1,0)</f>
        <v>2</v>
      </c>
      <c r="F1175" s="28">
        <f t="shared" si="58"/>
        <v>3</v>
      </c>
    </row>
    <row r="1176" spans="1:6" x14ac:dyDescent="0.35">
      <c r="A1176">
        <f t="shared" si="59"/>
        <v>0</v>
      </c>
      <c r="B1176">
        <f t="shared" si="57"/>
        <v>82</v>
      </c>
      <c r="C1176" s="13" t="s">
        <v>26</v>
      </c>
      <c r="D1176" s="18">
        <f>VLOOKUP(C1176,'DISTRIBUIÇÃO NF4267'!$E$3:$FQ$75,MATCH(B1176,'DISTRIBUIÇÃO NF4267'!$E$3:$FQ$3,0)+1,0)</f>
        <v>1</v>
      </c>
      <c r="F1176" s="28">
        <f t="shared" si="58"/>
        <v>3</v>
      </c>
    </row>
    <row r="1177" spans="1:6" x14ac:dyDescent="0.35">
      <c r="A1177">
        <f t="shared" si="59"/>
        <v>0</v>
      </c>
      <c r="B1177">
        <f t="shared" si="57"/>
        <v>82</v>
      </c>
      <c r="C1177" s="13" t="s">
        <v>27</v>
      </c>
      <c r="D1177" s="18">
        <f>VLOOKUP(C1177,'DISTRIBUIÇÃO NF4267'!$E$3:$FQ$75,MATCH(B1177,'DISTRIBUIÇÃO NF4267'!$E$3:$FQ$3,0)+1,0)</f>
        <v>0</v>
      </c>
      <c r="F1177" s="28">
        <f t="shared" si="58"/>
        <v>3</v>
      </c>
    </row>
    <row r="1178" spans="1:6" x14ac:dyDescent="0.35">
      <c r="A1178">
        <f t="shared" si="59"/>
        <v>0</v>
      </c>
      <c r="B1178">
        <f t="shared" si="57"/>
        <v>82</v>
      </c>
      <c r="C1178" s="14" t="s">
        <v>138</v>
      </c>
      <c r="D1178" s="18">
        <f>VLOOKUP(C1178,'DISTRIBUIÇÃO NF4267'!$E$3:$FQ$75,MATCH(B1178,'DISTRIBUIÇÃO NF4267'!$E$3:$FQ$3,0)+1,0)</f>
        <v>0</v>
      </c>
      <c r="F1178" s="28">
        <f t="shared" si="58"/>
        <v>3</v>
      </c>
    </row>
    <row r="1179" spans="1:6" x14ac:dyDescent="0.35">
      <c r="A1179">
        <f t="shared" si="59"/>
        <v>0</v>
      </c>
      <c r="B1179">
        <f t="shared" si="57"/>
        <v>82</v>
      </c>
      <c r="C1179" s="14" t="s">
        <v>139</v>
      </c>
      <c r="D1179" s="18">
        <f>VLOOKUP(C1179,'DISTRIBUIÇÃO NF4267'!$E$3:$FQ$75,MATCH(B1179,'DISTRIBUIÇÃO NF4267'!$E$3:$FQ$3,0)+1,0)</f>
        <v>4</v>
      </c>
      <c r="F1179" s="28">
        <f t="shared" si="58"/>
        <v>3</v>
      </c>
    </row>
    <row r="1180" spans="1:6" x14ac:dyDescent="0.35">
      <c r="A1180">
        <f t="shared" si="59"/>
        <v>0</v>
      </c>
      <c r="B1180">
        <f t="shared" si="57"/>
        <v>82</v>
      </c>
      <c r="C1180" s="14" t="s">
        <v>140</v>
      </c>
      <c r="D1180" s="18">
        <f>VLOOKUP(C1180,'DISTRIBUIÇÃO NF4267'!$E$3:$FQ$75,MATCH(B1180,'DISTRIBUIÇÃO NF4267'!$E$3:$FQ$3,0)+1,0)</f>
        <v>8</v>
      </c>
      <c r="F1180" s="28">
        <f t="shared" si="58"/>
        <v>3</v>
      </c>
    </row>
    <row r="1181" spans="1:6" x14ac:dyDescent="0.35">
      <c r="A1181">
        <f t="shared" si="59"/>
        <v>0</v>
      </c>
      <c r="B1181">
        <f t="shared" si="57"/>
        <v>82</v>
      </c>
      <c r="C1181" s="14" t="s">
        <v>141</v>
      </c>
      <c r="D1181" s="18">
        <f>VLOOKUP(C1181,'DISTRIBUIÇÃO NF4267'!$E$3:$FQ$75,MATCH(B1181,'DISTRIBUIÇÃO NF4267'!$E$3:$FQ$3,0)+1,0)</f>
        <v>4</v>
      </c>
      <c r="F1181" s="28">
        <f t="shared" si="58"/>
        <v>3</v>
      </c>
    </row>
    <row r="1182" spans="1:6" x14ac:dyDescent="0.35">
      <c r="A1182">
        <f t="shared" si="59"/>
        <v>0</v>
      </c>
      <c r="B1182">
        <f t="shared" si="57"/>
        <v>82</v>
      </c>
      <c r="C1182" s="14" t="s">
        <v>142</v>
      </c>
      <c r="D1182" s="18">
        <f>VLOOKUP(C1182,'DISTRIBUIÇÃO NF4267'!$E$3:$FQ$75,MATCH(B1182,'DISTRIBUIÇÃO NF4267'!$E$3:$FQ$3,0)+1,0)</f>
        <v>4</v>
      </c>
      <c r="F1182" s="28">
        <f t="shared" si="58"/>
        <v>3</v>
      </c>
    </row>
    <row r="1183" spans="1:6" x14ac:dyDescent="0.35">
      <c r="A1183">
        <f t="shared" si="59"/>
        <v>0</v>
      </c>
      <c r="B1183">
        <f t="shared" si="57"/>
        <v>82</v>
      </c>
      <c r="C1183" s="14" t="s">
        <v>143</v>
      </c>
      <c r="D1183" s="18">
        <f>VLOOKUP(C1183,'DISTRIBUIÇÃO NF4267'!$E$3:$FQ$75,MATCH(B1183,'DISTRIBUIÇÃO NF4267'!$E$3:$FQ$3,0)+1,0)</f>
        <v>0</v>
      </c>
      <c r="F1183" s="28">
        <f t="shared" si="58"/>
        <v>3</v>
      </c>
    </row>
    <row r="1184" spans="1:6" x14ac:dyDescent="0.35">
      <c r="A1184">
        <f t="shared" si="59"/>
        <v>0</v>
      </c>
      <c r="B1184">
        <f t="shared" si="57"/>
        <v>82</v>
      </c>
      <c r="C1184" s="15" t="s">
        <v>145</v>
      </c>
      <c r="D1184" s="18">
        <f>VLOOKUP(C1184,'DISTRIBUIÇÃO NF4267'!$E$3:$FQ$75,MATCH(B1184,'DISTRIBUIÇÃO NF4267'!$E$3:$FQ$3,0)+1,0)</f>
        <v>0</v>
      </c>
      <c r="F1184" s="28">
        <f t="shared" si="58"/>
        <v>3</v>
      </c>
    </row>
    <row r="1185" spans="1:6" x14ac:dyDescent="0.35">
      <c r="A1185">
        <f t="shared" si="59"/>
        <v>0</v>
      </c>
      <c r="B1185">
        <f t="shared" si="57"/>
        <v>82</v>
      </c>
      <c r="C1185" s="15" t="s">
        <v>146</v>
      </c>
      <c r="D1185" s="18">
        <f>VLOOKUP(C1185,'DISTRIBUIÇÃO NF4267'!$E$3:$FQ$75,MATCH(B1185,'DISTRIBUIÇÃO NF4267'!$E$3:$FQ$3,0)+1,0)</f>
        <v>2</v>
      </c>
      <c r="F1185" s="28">
        <f t="shared" si="58"/>
        <v>3</v>
      </c>
    </row>
    <row r="1186" spans="1:6" x14ac:dyDescent="0.35">
      <c r="A1186">
        <f t="shared" si="59"/>
        <v>0</v>
      </c>
      <c r="B1186">
        <f t="shared" si="57"/>
        <v>82</v>
      </c>
      <c r="C1186" s="15" t="s">
        <v>147</v>
      </c>
      <c r="D1186" s="18">
        <f>VLOOKUP(C1186,'DISTRIBUIÇÃO NF4267'!$E$3:$FQ$75,MATCH(B1186,'DISTRIBUIÇÃO NF4267'!$E$3:$FQ$3,0)+1,0)</f>
        <v>4</v>
      </c>
      <c r="F1186" s="28">
        <f t="shared" si="58"/>
        <v>3</v>
      </c>
    </row>
    <row r="1187" spans="1:6" x14ac:dyDescent="0.35">
      <c r="A1187">
        <f t="shared" si="59"/>
        <v>0</v>
      </c>
      <c r="B1187">
        <f t="shared" si="57"/>
        <v>82</v>
      </c>
      <c r="C1187" s="15" t="s">
        <v>148</v>
      </c>
      <c r="D1187" s="18">
        <f>VLOOKUP(C1187,'DISTRIBUIÇÃO NF4267'!$E$3:$FQ$75,MATCH(B1187,'DISTRIBUIÇÃO NF4267'!$E$3:$FQ$3,0)+1,0)</f>
        <v>2</v>
      </c>
      <c r="F1187" s="28">
        <f t="shared" si="58"/>
        <v>3</v>
      </c>
    </row>
    <row r="1188" spans="1:6" x14ac:dyDescent="0.35">
      <c r="A1188">
        <f t="shared" si="59"/>
        <v>0</v>
      </c>
      <c r="B1188">
        <f t="shared" si="57"/>
        <v>82</v>
      </c>
      <c r="C1188" s="15" t="s">
        <v>149</v>
      </c>
      <c r="D1188" s="18">
        <f>VLOOKUP(C1188,'DISTRIBUIÇÃO NF4267'!$E$3:$FQ$75,MATCH(B1188,'DISTRIBUIÇÃO NF4267'!$E$3:$FQ$3,0)+1,0)</f>
        <v>2</v>
      </c>
      <c r="F1188" s="28">
        <f t="shared" si="58"/>
        <v>3</v>
      </c>
    </row>
    <row r="1189" spans="1:6" x14ac:dyDescent="0.35">
      <c r="A1189">
        <f t="shared" si="59"/>
        <v>0</v>
      </c>
      <c r="B1189">
        <f t="shared" si="57"/>
        <v>82</v>
      </c>
      <c r="C1189" s="15" t="s">
        <v>150</v>
      </c>
      <c r="D1189" s="18">
        <f>VLOOKUP(C1189,'DISTRIBUIÇÃO NF4267'!$E$3:$FQ$75,MATCH(B1189,'DISTRIBUIÇÃO NF4267'!$E$3:$FQ$3,0)+1,0)</f>
        <v>0</v>
      </c>
      <c r="F1189" s="28">
        <f t="shared" si="58"/>
        <v>3</v>
      </c>
    </row>
    <row r="1190" spans="1:6" x14ac:dyDescent="0.35">
      <c r="A1190">
        <f t="shared" si="59"/>
        <v>0</v>
      </c>
      <c r="B1190">
        <v>63</v>
      </c>
      <c r="C1190" s="7" t="s">
        <v>98</v>
      </c>
      <c r="D1190" s="18">
        <f>VLOOKUP(C1190,'DISTRIBUIÇÃO NF4267'!$E$3:$FQ$75,MATCH(B1190,'DISTRIBUIÇÃO NF4267'!$E$3:$FQ$3,0)+1,0)</f>
        <v>0</v>
      </c>
      <c r="F1190" s="28">
        <f t="shared" si="58"/>
        <v>3</v>
      </c>
    </row>
    <row r="1191" spans="1:6" x14ac:dyDescent="0.35">
      <c r="A1191">
        <f t="shared" si="59"/>
        <v>0</v>
      </c>
      <c r="B1191">
        <f>B1190</f>
        <v>63</v>
      </c>
      <c r="C1191" s="7" t="s">
        <v>99</v>
      </c>
      <c r="D1191" s="18">
        <f>VLOOKUP(C1191,'DISTRIBUIÇÃO NF4267'!$E$3:$FQ$75,MATCH(B1191,'DISTRIBUIÇÃO NF4267'!$E$3:$FQ$3,0)+1,0)</f>
        <v>4</v>
      </c>
      <c r="F1191" s="28">
        <f t="shared" si="58"/>
        <v>3</v>
      </c>
    </row>
    <row r="1192" spans="1:6" x14ac:dyDescent="0.35">
      <c r="A1192">
        <f t="shared" si="59"/>
        <v>0</v>
      </c>
      <c r="B1192">
        <f t="shared" ref="B1192:B1243" si="60">B1191</f>
        <v>63</v>
      </c>
      <c r="C1192" s="7" t="s">
        <v>100</v>
      </c>
      <c r="D1192" s="18">
        <f>VLOOKUP(C1192,'DISTRIBUIÇÃO NF4267'!$E$3:$FQ$75,MATCH(B1192,'DISTRIBUIÇÃO NF4267'!$E$3:$FQ$3,0)+1,0)</f>
        <v>8</v>
      </c>
      <c r="F1192" s="28">
        <f t="shared" si="58"/>
        <v>3</v>
      </c>
    </row>
    <row r="1193" spans="1:6" x14ac:dyDescent="0.35">
      <c r="A1193">
        <f t="shared" si="59"/>
        <v>0</v>
      </c>
      <c r="B1193">
        <f t="shared" si="60"/>
        <v>63</v>
      </c>
      <c r="C1193" s="7" t="s">
        <v>101</v>
      </c>
      <c r="D1193" s="18">
        <f>VLOOKUP(C1193,'DISTRIBUIÇÃO NF4267'!$E$3:$FQ$75,MATCH(B1193,'DISTRIBUIÇÃO NF4267'!$E$3:$FQ$3,0)+1,0)</f>
        <v>4</v>
      </c>
      <c r="F1193" s="28">
        <f t="shared" si="58"/>
        <v>3</v>
      </c>
    </row>
    <row r="1194" spans="1:6" x14ac:dyDescent="0.35">
      <c r="A1194">
        <f t="shared" si="59"/>
        <v>0</v>
      </c>
      <c r="B1194">
        <f t="shared" si="60"/>
        <v>63</v>
      </c>
      <c r="C1194" s="7" t="s">
        <v>102</v>
      </c>
      <c r="D1194" s="18">
        <f>VLOOKUP(C1194,'DISTRIBUIÇÃO NF4267'!$E$3:$FQ$75,MATCH(B1194,'DISTRIBUIÇÃO NF4267'!$E$3:$FQ$3,0)+1,0)</f>
        <v>4</v>
      </c>
      <c r="F1194" s="28">
        <f t="shared" si="58"/>
        <v>3</v>
      </c>
    </row>
    <row r="1195" spans="1:6" x14ac:dyDescent="0.35">
      <c r="A1195">
        <f t="shared" si="59"/>
        <v>0</v>
      </c>
      <c r="B1195">
        <f t="shared" si="60"/>
        <v>63</v>
      </c>
      <c r="C1195" s="7" t="s">
        <v>103</v>
      </c>
      <c r="D1195" s="18">
        <f>VLOOKUP(C1195,'DISTRIBUIÇÃO NF4267'!$E$3:$FQ$75,MATCH(B1195,'DISTRIBUIÇÃO NF4267'!$E$3:$FQ$3,0)+1,0)</f>
        <v>0</v>
      </c>
      <c r="F1195" s="28">
        <f t="shared" si="58"/>
        <v>3</v>
      </c>
    </row>
    <row r="1196" spans="1:6" x14ac:dyDescent="0.35">
      <c r="A1196">
        <f t="shared" si="59"/>
        <v>0</v>
      </c>
      <c r="B1196">
        <f t="shared" si="60"/>
        <v>63</v>
      </c>
      <c r="C1196" s="8" t="s">
        <v>107</v>
      </c>
      <c r="D1196" s="18">
        <f>VLOOKUP(C1196,'DISTRIBUIÇÃO NF4267'!$E$3:$FQ$75,MATCH(B1196,'DISTRIBUIÇÃO NF4267'!$E$3:$FQ$3,0)+1,0)</f>
        <v>0</v>
      </c>
      <c r="F1196" s="28">
        <f t="shared" si="58"/>
        <v>3</v>
      </c>
    </row>
    <row r="1197" spans="1:6" x14ac:dyDescent="0.35">
      <c r="A1197">
        <f t="shared" si="59"/>
        <v>0</v>
      </c>
      <c r="B1197">
        <f t="shared" si="60"/>
        <v>63</v>
      </c>
      <c r="C1197" s="8" t="s">
        <v>108</v>
      </c>
      <c r="D1197" s="18">
        <f>VLOOKUP(C1197,'DISTRIBUIÇÃO NF4267'!$E$3:$FQ$75,MATCH(B1197,'DISTRIBUIÇÃO NF4267'!$E$3:$FQ$3,0)+1,0)</f>
        <v>2</v>
      </c>
      <c r="F1197" s="28">
        <f t="shared" si="58"/>
        <v>3</v>
      </c>
    </row>
    <row r="1198" spans="1:6" x14ac:dyDescent="0.35">
      <c r="A1198">
        <f t="shared" si="59"/>
        <v>0</v>
      </c>
      <c r="B1198">
        <f t="shared" si="60"/>
        <v>63</v>
      </c>
      <c r="C1198" s="8" t="s">
        <v>109</v>
      </c>
      <c r="D1198" s="18">
        <f>VLOOKUP(C1198,'DISTRIBUIÇÃO NF4267'!$E$3:$FQ$75,MATCH(B1198,'DISTRIBUIÇÃO NF4267'!$E$3:$FQ$3,0)+1,0)</f>
        <v>4</v>
      </c>
      <c r="F1198" s="28">
        <f t="shared" si="58"/>
        <v>3</v>
      </c>
    </row>
    <row r="1199" spans="1:6" x14ac:dyDescent="0.35">
      <c r="A1199">
        <f t="shared" si="59"/>
        <v>0</v>
      </c>
      <c r="B1199">
        <f t="shared" si="60"/>
        <v>63</v>
      </c>
      <c r="C1199" s="8" t="s">
        <v>110</v>
      </c>
      <c r="D1199" s="18">
        <f>VLOOKUP(C1199,'DISTRIBUIÇÃO NF4267'!$E$3:$FQ$75,MATCH(B1199,'DISTRIBUIÇÃO NF4267'!$E$3:$FQ$3,0)+1,0)</f>
        <v>2</v>
      </c>
      <c r="F1199" s="28">
        <f t="shared" si="58"/>
        <v>3</v>
      </c>
    </row>
    <row r="1200" spans="1:6" x14ac:dyDescent="0.35">
      <c r="A1200">
        <f t="shared" si="59"/>
        <v>0</v>
      </c>
      <c r="B1200">
        <f t="shared" si="60"/>
        <v>63</v>
      </c>
      <c r="C1200" s="8" t="s">
        <v>111</v>
      </c>
      <c r="D1200" s="18">
        <f>VLOOKUP(C1200,'DISTRIBUIÇÃO NF4267'!$E$3:$FQ$75,MATCH(B1200,'DISTRIBUIÇÃO NF4267'!$E$3:$FQ$3,0)+1,0)</f>
        <v>2</v>
      </c>
      <c r="F1200" s="28">
        <f t="shared" si="58"/>
        <v>3</v>
      </c>
    </row>
    <row r="1201" spans="1:6" x14ac:dyDescent="0.35">
      <c r="A1201">
        <f t="shared" si="59"/>
        <v>0</v>
      </c>
      <c r="B1201">
        <f t="shared" si="60"/>
        <v>63</v>
      </c>
      <c r="C1201" s="8" t="s">
        <v>112</v>
      </c>
      <c r="D1201" s="18">
        <f>VLOOKUP(C1201,'DISTRIBUIÇÃO NF4267'!$E$3:$FQ$75,MATCH(B1201,'DISTRIBUIÇÃO NF4267'!$E$3:$FQ$3,0)+1,0)</f>
        <v>0</v>
      </c>
      <c r="F1201" s="28">
        <f t="shared" si="58"/>
        <v>3</v>
      </c>
    </row>
    <row r="1202" spans="1:6" x14ac:dyDescent="0.35">
      <c r="A1202">
        <f t="shared" si="59"/>
        <v>0</v>
      </c>
      <c r="B1202">
        <f t="shared" si="60"/>
        <v>63</v>
      </c>
      <c r="C1202" s="9" t="s">
        <v>113</v>
      </c>
      <c r="D1202" s="18">
        <f>VLOOKUP(C1202,'DISTRIBUIÇÃO NF4267'!$E$3:$FQ$75,MATCH(B1202,'DISTRIBUIÇÃO NF4267'!$E$3:$FQ$3,0)+1,0)</f>
        <v>0</v>
      </c>
      <c r="F1202" s="28">
        <f t="shared" si="58"/>
        <v>3</v>
      </c>
    </row>
    <row r="1203" spans="1:6" x14ac:dyDescent="0.35">
      <c r="A1203">
        <f t="shared" si="59"/>
        <v>0</v>
      </c>
      <c r="B1203">
        <f t="shared" si="60"/>
        <v>63</v>
      </c>
      <c r="C1203" s="9" t="s">
        <v>114</v>
      </c>
      <c r="D1203" s="18">
        <f>VLOOKUP(C1203,'DISTRIBUIÇÃO NF4267'!$E$3:$FQ$75,MATCH(B1203,'DISTRIBUIÇÃO NF4267'!$E$3:$FQ$3,0)+1,0)</f>
        <v>6</v>
      </c>
      <c r="F1203" s="28">
        <f t="shared" si="58"/>
        <v>3</v>
      </c>
    </row>
    <row r="1204" spans="1:6" x14ac:dyDescent="0.35">
      <c r="A1204">
        <f t="shared" si="59"/>
        <v>0</v>
      </c>
      <c r="B1204">
        <f t="shared" si="60"/>
        <v>63</v>
      </c>
      <c r="C1204" s="9" t="s">
        <v>115</v>
      </c>
      <c r="D1204" s="18">
        <f>VLOOKUP(C1204,'DISTRIBUIÇÃO NF4267'!$E$3:$FQ$75,MATCH(B1204,'DISTRIBUIÇÃO NF4267'!$E$3:$FQ$3,0)+1,0)</f>
        <v>8</v>
      </c>
      <c r="F1204" s="28">
        <f t="shared" si="58"/>
        <v>3</v>
      </c>
    </row>
    <row r="1205" spans="1:6" x14ac:dyDescent="0.35">
      <c r="A1205">
        <f t="shared" si="59"/>
        <v>0</v>
      </c>
      <c r="B1205">
        <f t="shared" si="60"/>
        <v>63</v>
      </c>
      <c r="C1205" s="9" t="s">
        <v>116</v>
      </c>
      <c r="D1205" s="18">
        <f>VLOOKUP(C1205,'DISTRIBUIÇÃO NF4267'!$E$3:$FQ$75,MATCH(B1205,'DISTRIBUIÇÃO NF4267'!$E$3:$FQ$3,0)+1,0)</f>
        <v>4</v>
      </c>
      <c r="F1205" s="28">
        <f t="shared" si="58"/>
        <v>3</v>
      </c>
    </row>
    <row r="1206" spans="1:6" x14ac:dyDescent="0.35">
      <c r="A1206">
        <f t="shared" si="59"/>
        <v>0</v>
      </c>
      <c r="B1206">
        <f t="shared" si="60"/>
        <v>63</v>
      </c>
      <c r="C1206" s="9" t="s">
        <v>117</v>
      </c>
      <c r="D1206" s="18">
        <f>VLOOKUP(C1206,'DISTRIBUIÇÃO NF4267'!$E$3:$FQ$75,MATCH(B1206,'DISTRIBUIÇÃO NF4267'!$E$3:$FQ$3,0)+1,0)</f>
        <v>2</v>
      </c>
      <c r="F1206" s="28">
        <f t="shared" si="58"/>
        <v>3</v>
      </c>
    </row>
    <row r="1207" spans="1:6" x14ac:dyDescent="0.35">
      <c r="A1207">
        <f t="shared" si="59"/>
        <v>0</v>
      </c>
      <c r="B1207">
        <f t="shared" si="60"/>
        <v>63</v>
      </c>
      <c r="C1207" s="9" t="s">
        <v>118</v>
      </c>
      <c r="D1207" s="18">
        <f>VLOOKUP(C1207,'DISTRIBUIÇÃO NF4267'!$E$3:$FQ$75,MATCH(B1207,'DISTRIBUIÇÃO NF4267'!$E$3:$FQ$3,0)+1,0)</f>
        <v>0</v>
      </c>
      <c r="F1207" s="28">
        <f t="shared" si="58"/>
        <v>3</v>
      </c>
    </row>
    <row r="1208" spans="1:6" x14ac:dyDescent="0.35">
      <c r="A1208">
        <f t="shared" si="59"/>
        <v>0</v>
      </c>
      <c r="B1208">
        <f t="shared" si="60"/>
        <v>63</v>
      </c>
      <c r="C1208" s="10" t="s">
        <v>119</v>
      </c>
      <c r="D1208" s="18">
        <f>VLOOKUP(C1208,'DISTRIBUIÇÃO NF4267'!$E$3:$FQ$75,MATCH(B1208,'DISTRIBUIÇÃO NF4267'!$E$3:$FQ$3,0)+1,0)</f>
        <v>0</v>
      </c>
      <c r="F1208" s="28">
        <f t="shared" ref="F1208:F1271" si="61">ROUNDUP(SUMIFS(D:D,B:B,B1208)/80,0)</f>
        <v>3</v>
      </c>
    </row>
    <row r="1209" spans="1:6" x14ac:dyDescent="0.35">
      <c r="A1209">
        <f t="shared" si="59"/>
        <v>0</v>
      </c>
      <c r="B1209">
        <f t="shared" si="60"/>
        <v>63</v>
      </c>
      <c r="C1209" s="10" t="s">
        <v>120</v>
      </c>
      <c r="D1209" s="18">
        <f>VLOOKUP(C1209,'DISTRIBUIÇÃO NF4267'!$E$3:$FQ$75,MATCH(B1209,'DISTRIBUIÇÃO NF4267'!$E$3:$FQ$3,0)+1,0)</f>
        <v>48</v>
      </c>
      <c r="F1209" s="28">
        <f t="shared" si="61"/>
        <v>3</v>
      </c>
    </row>
    <row r="1210" spans="1:6" x14ac:dyDescent="0.35">
      <c r="A1210">
        <f t="shared" si="59"/>
        <v>0</v>
      </c>
      <c r="B1210">
        <f t="shared" si="60"/>
        <v>63</v>
      </c>
      <c r="C1210" s="10" t="s">
        <v>121</v>
      </c>
      <c r="D1210" s="18">
        <f>VLOOKUP(C1210,'DISTRIBUIÇÃO NF4267'!$E$3:$FQ$75,MATCH(B1210,'DISTRIBUIÇÃO NF4267'!$E$3:$FQ$3,0)+1,0)</f>
        <v>16</v>
      </c>
      <c r="F1210" s="28">
        <f t="shared" si="61"/>
        <v>3</v>
      </c>
    </row>
    <row r="1211" spans="1:6" x14ac:dyDescent="0.35">
      <c r="A1211">
        <f t="shared" si="59"/>
        <v>0</v>
      </c>
      <c r="B1211">
        <f t="shared" si="60"/>
        <v>63</v>
      </c>
      <c r="C1211" s="10" t="s">
        <v>122</v>
      </c>
      <c r="D1211" s="18">
        <f>VLOOKUP(C1211,'DISTRIBUIÇÃO NF4267'!$E$3:$FQ$75,MATCH(B1211,'DISTRIBUIÇÃO NF4267'!$E$3:$FQ$3,0)+1,0)</f>
        <v>16</v>
      </c>
      <c r="F1211" s="28">
        <f t="shared" si="61"/>
        <v>3</v>
      </c>
    </row>
    <row r="1212" spans="1:6" x14ac:dyDescent="0.35">
      <c r="A1212">
        <f t="shared" si="59"/>
        <v>0</v>
      </c>
      <c r="B1212">
        <f t="shared" si="60"/>
        <v>63</v>
      </c>
      <c r="C1212" s="10" t="s">
        <v>123</v>
      </c>
      <c r="D1212" s="18">
        <f>VLOOKUP(C1212,'DISTRIBUIÇÃO NF4267'!$E$3:$FQ$75,MATCH(B1212,'DISTRIBUIÇÃO NF4267'!$E$3:$FQ$3,0)+1,0)</f>
        <v>0</v>
      </c>
      <c r="F1212" s="28">
        <f t="shared" si="61"/>
        <v>3</v>
      </c>
    </row>
    <row r="1213" spans="1:6" x14ac:dyDescent="0.35">
      <c r="A1213">
        <f t="shared" si="59"/>
        <v>0</v>
      </c>
      <c r="B1213">
        <f t="shared" si="60"/>
        <v>63</v>
      </c>
      <c r="C1213" s="10" t="s">
        <v>124</v>
      </c>
      <c r="D1213" s="18">
        <f>VLOOKUP(C1213,'DISTRIBUIÇÃO NF4267'!$E$3:$FQ$75,MATCH(B1213,'DISTRIBUIÇÃO NF4267'!$E$3:$FQ$3,0)+1,0)</f>
        <v>0</v>
      </c>
      <c r="F1213" s="28">
        <f t="shared" si="61"/>
        <v>3</v>
      </c>
    </row>
    <row r="1214" spans="1:6" x14ac:dyDescent="0.35">
      <c r="A1214">
        <f t="shared" si="59"/>
        <v>0</v>
      </c>
      <c r="B1214">
        <f t="shared" si="60"/>
        <v>63</v>
      </c>
      <c r="C1214" s="11" t="s">
        <v>16</v>
      </c>
      <c r="D1214" s="18">
        <f>VLOOKUP(C1214,'DISTRIBUIÇÃO NF4267'!$E$3:$FQ$75,MATCH(B1214,'DISTRIBUIÇÃO NF4267'!$E$3:$FQ$3,0)+1,0)</f>
        <v>0</v>
      </c>
      <c r="F1214" s="28">
        <f t="shared" si="61"/>
        <v>3</v>
      </c>
    </row>
    <row r="1215" spans="1:6" x14ac:dyDescent="0.35">
      <c r="A1215">
        <f t="shared" si="59"/>
        <v>0</v>
      </c>
      <c r="B1215">
        <f t="shared" si="60"/>
        <v>63</v>
      </c>
      <c r="C1215" s="11" t="s">
        <v>17</v>
      </c>
      <c r="D1215" s="18">
        <f>VLOOKUP(C1215,'DISTRIBUIÇÃO NF4267'!$E$3:$FQ$75,MATCH(B1215,'DISTRIBUIÇÃO NF4267'!$E$3:$FQ$3,0)+1,0)</f>
        <v>9</v>
      </c>
      <c r="F1215" s="28">
        <f t="shared" si="61"/>
        <v>3</v>
      </c>
    </row>
    <row r="1216" spans="1:6" x14ac:dyDescent="0.35">
      <c r="A1216">
        <f t="shared" si="59"/>
        <v>0</v>
      </c>
      <c r="B1216">
        <f t="shared" si="60"/>
        <v>63</v>
      </c>
      <c r="C1216" s="11" t="s">
        <v>18</v>
      </c>
      <c r="D1216" s="18">
        <f>VLOOKUP(C1216,'DISTRIBUIÇÃO NF4267'!$E$3:$FQ$75,MATCH(B1216,'DISTRIBUIÇÃO NF4267'!$E$3:$FQ$3,0)+1,0)</f>
        <v>3</v>
      </c>
      <c r="F1216" s="28">
        <f t="shared" si="61"/>
        <v>3</v>
      </c>
    </row>
    <row r="1217" spans="1:6" x14ac:dyDescent="0.35">
      <c r="A1217">
        <f t="shared" si="59"/>
        <v>0</v>
      </c>
      <c r="B1217">
        <f t="shared" si="60"/>
        <v>63</v>
      </c>
      <c r="C1217" s="11" t="s">
        <v>19</v>
      </c>
      <c r="D1217" s="18">
        <f>VLOOKUP(C1217,'DISTRIBUIÇÃO NF4267'!$E$3:$FQ$75,MATCH(B1217,'DISTRIBUIÇÃO NF4267'!$E$3:$FQ$3,0)+1,0)</f>
        <v>3</v>
      </c>
      <c r="F1217" s="28">
        <f t="shared" si="61"/>
        <v>3</v>
      </c>
    </row>
    <row r="1218" spans="1:6" x14ac:dyDescent="0.35">
      <c r="A1218">
        <f t="shared" ref="A1218:A1281" si="62">IF(ISERROR(VLOOKUP(C1218,I:I,1,0)),0,1)</f>
        <v>0</v>
      </c>
      <c r="B1218">
        <f t="shared" si="60"/>
        <v>63</v>
      </c>
      <c r="C1218" s="11" t="s">
        <v>20</v>
      </c>
      <c r="D1218" s="18">
        <f>VLOOKUP(C1218,'DISTRIBUIÇÃO NF4267'!$E$3:$FQ$75,MATCH(B1218,'DISTRIBUIÇÃO NF4267'!$E$3:$FQ$3,0)+1,0)</f>
        <v>15</v>
      </c>
      <c r="F1218" s="28">
        <f t="shared" si="61"/>
        <v>3</v>
      </c>
    </row>
    <row r="1219" spans="1:6" x14ac:dyDescent="0.35">
      <c r="A1219">
        <f t="shared" si="62"/>
        <v>0</v>
      </c>
      <c r="B1219">
        <f t="shared" si="60"/>
        <v>63</v>
      </c>
      <c r="C1219" s="11" t="s">
        <v>21</v>
      </c>
      <c r="D1219" s="18">
        <f>VLOOKUP(C1219,'DISTRIBUIÇÃO NF4267'!$E$3:$FQ$75,MATCH(B1219,'DISTRIBUIÇÃO NF4267'!$E$3:$FQ$3,0)+1,0)</f>
        <v>0</v>
      </c>
      <c r="F1219" s="28">
        <f t="shared" si="61"/>
        <v>3</v>
      </c>
    </row>
    <row r="1220" spans="1:6" x14ac:dyDescent="0.35">
      <c r="A1220">
        <f t="shared" si="62"/>
        <v>0</v>
      </c>
      <c r="B1220">
        <f t="shared" si="60"/>
        <v>63</v>
      </c>
      <c r="C1220" s="12" t="s">
        <v>130</v>
      </c>
      <c r="D1220" s="18">
        <f>VLOOKUP(C1220,'DISTRIBUIÇÃO NF4267'!$E$3:$FQ$75,MATCH(B1220,'DISTRIBUIÇÃO NF4267'!$E$3:$FQ$3,0)+1,0)</f>
        <v>0</v>
      </c>
      <c r="F1220" s="28">
        <f t="shared" si="61"/>
        <v>3</v>
      </c>
    </row>
    <row r="1221" spans="1:6" x14ac:dyDescent="0.35">
      <c r="A1221">
        <f t="shared" si="62"/>
        <v>0</v>
      </c>
      <c r="B1221">
        <f t="shared" si="60"/>
        <v>63</v>
      </c>
      <c r="C1221" s="12" t="s">
        <v>131</v>
      </c>
      <c r="D1221" s="18">
        <f>VLOOKUP(C1221,'DISTRIBUIÇÃO NF4267'!$E$3:$FQ$75,MATCH(B1221,'DISTRIBUIÇÃO NF4267'!$E$3:$FQ$3,0)+1,0)</f>
        <v>1</v>
      </c>
      <c r="F1221" s="28">
        <f t="shared" si="61"/>
        <v>3</v>
      </c>
    </row>
    <row r="1222" spans="1:6" x14ac:dyDescent="0.35">
      <c r="A1222">
        <f t="shared" si="62"/>
        <v>0</v>
      </c>
      <c r="B1222">
        <f t="shared" si="60"/>
        <v>63</v>
      </c>
      <c r="C1222" s="12" t="s">
        <v>132</v>
      </c>
      <c r="D1222" s="18">
        <f>VLOOKUP(C1222,'DISTRIBUIÇÃO NF4267'!$E$3:$FQ$75,MATCH(B1222,'DISTRIBUIÇÃO NF4267'!$E$3:$FQ$3,0)+1,0)</f>
        <v>4</v>
      </c>
      <c r="F1222" s="28">
        <f t="shared" si="61"/>
        <v>3</v>
      </c>
    </row>
    <row r="1223" spans="1:6" x14ac:dyDescent="0.35">
      <c r="A1223">
        <f t="shared" si="62"/>
        <v>0</v>
      </c>
      <c r="B1223">
        <f t="shared" si="60"/>
        <v>63</v>
      </c>
      <c r="C1223" s="12" t="s">
        <v>133</v>
      </c>
      <c r="D1223" s="18">
        <f>VLOOKUP(C1223,'DISTRIBUIÇÃO NF4267'!$E$3:$FQ$75,MATCH(B1223,'DISTRIBUIÇÃO NF4267'!$E$3:$FQ$3,0)+1,0)</f>
        <v>3</v>
      </c>
      <c r="F1223" s="28">
        <f t="shared" si="61"/>
        <v>3</v>
      </c>
    </row>
    <row r="1224" spans="1:6" x14ac:dyDescent="0.35">
      <c r="A1224">
        <f t="shared" si="62"/>
        <v>0</v>
      </c>
      <c r="B1224">
        <f t="shared" si="60"/>
        <v>63</v>
      </c>
      <c r="C1224" s="12" t="s">
        <v>134</v>
      </c>
      <c r="D1224" s="18">
        <f>VLOOKUP(C1224,'DISTRIBUIÇÃO NF4267'!$E$3:$FQ$75,MATCH(B1224,'DISTRIBUIÇÃO NF4267'!$E$3:$FQ$3,0)+1,0)</f>
        <v>2</v>
      </c>
      <c r="F1224" s="28">
        <f t="shared" si="61"/>
        <v>3</v>
      </c>
    </row>
    <row r="1225" spans="1:6" x14ac:dyDescent="0.35">
      <c r="A1225">
        <f t="shared" si="62"/>
        <v>0</v>
      </c>
      <c r="B1225">
        <f t="shared" si="60"/>
        <v>63</v>
      </c>
      <c r="C1225" s="12" t="s">
        <v>135</v>
      </c>
      <c r="D1225" s="18">
        <f>VLOOKUP(C1225,'DISTRIBUIÇÃO NF4267'!$E$3:$FQ$75,MATCH(B1225,'DISTRIBUIÇÃO NF4267'!$E$3:$FQ$3,0)+1,0)</f>
        <v>0</v>
      </c>
      <c r="F1225" s="28">
        <f t="shared" si="61"/>
        <v>3</v>
      </c>
    </row>
    <row r="1226" spans="1:6" x14ac:dyDescent="0.35">
      <c r="A1226">
        <f t="shared" si="62"/>
        <v>0</v>
      </c>
      <c r="B1226">
        <f t="shared" si="60"/>
        <v>63</v>
      </c>
      <c r="C1226" s="13" t="s">
        <v>22</v>
      </c>
      <c r="D1226" s="18">
        <f>VLOOKUP(C1226,'DISTRIBUIÇÃO NF4267'!$E$3:$FQ$75,MATCH(B1226,'DISTRIBUIÇÃO NF4267'!$E$3:$FQ$3,0)+1,0)</f>
        <v>0</v>
      </c>
      <c r="F1226" s="28">
        <f t="shared" si="61"/>
        <v>3</v>
      </c>
    </row>
    <row r="1227" spans="1:6" x14ac:dyDescent="0.35">
      <c r="A1227">
        <f t="shared" si="62"/>
        <v>0</v>
      </c>
      <c r="B1227">
        <f t="shared" si="60"/>
        <v>63</v>
      </c>
      <c r="C1227" s="13" t="s">
        <v>23</v>
      </c>
      <c r="D1227" s="18">
        <f>VLOOKUP(C1227,'DISTRIBUIÇÃO NF4267'!$E$3:$FQ$75,MATCH(B1227,'DISTRIBUIÇÃO NF4267'!$E$3:$FQ$3,0)+1,0)</f>
        <v>1</v>
      </c>
      <c r="F1227" s="28">
        <f t="shared" si="61"/>
        <v>3</v>
      </c>
    </row>
    <row r="1228" spans="1:6" x14ac:dyDescent="0.35">
      <c r="A1228">
        <f t="shared" si="62"/>
        <v>0</v>
      </c>
      <c r="B1228">
        <f t="shared" si="60"/>
        <v>63</v>
      </c>
      <c r="C1228" s="13" t="s">
        <v>24</v>
      </c>
      <c r="D1228" s="18">
        <f>VLOOKUP(C1228,'DISTRIBUIÇÃO NF4267'!$E$3:$FQ$75,MATCH(B1228,'DISTRIBUIÇÃO NF4267'!$E$3:$FQ$3,0)+1,0)</f>
        <v>6</v>
      </c>
      <c r="F1228" s="28">
        <f t="shared" si="61"/>
        <v>3</v>
      </c>
    </row>
    <row r="1229" spans="1:6" x14ac:dyDescent="0.35">
      <c r="A1229">
        <f t="shared" si="62"/>
        <v>0</v>
      </c>
      <c r="B1229">
        <f t="shared" si="60"/>
        <v>63</v>
      </c>
      <c r="C1229" s="13" t="s">
        <v>25</v>
      </c>
      <c r="D1229" s="18">
        <f>VLOOKUP(C1229,'DISTRIBUIÇÃO NF4267'!$E$3:$FQ$75,MATCH(B1229,'DISTRIBUIÇÃO NF4267'!$E$3:$FQ$3,0)+1,0)</f>
        <v>2</v>
      </c>
      <c r="F1229" s="28">
        <f t="shared" si="61"/>
        <v>3</v>
      </c>
    </row>
    <row r="1230" spans="1:6" x14ac:dyDescent="0.35">
      <c r="A1230">
        <f t="shared" si="62"/>
        <v>0</v>
      </c>
      <c r="B1230">
        <f t="shared" si="60"/>
        <v>63</v>
      </c>
      <c r="C1230" s="13" t="s">
        <v>26</v>
      </c>
      <c r="D1230" s="18">
        <f>VLOOKUP(C1230,'DISTRIBUIÇÃO NF4267'!$E$3:$FQ$75,MATCH(B1230,'DISTRIBUIÇÃO NF4267'!$E$3:$FQ$3,0)+1,0)</f>
        <v>1</v>
      </c>
      <c r="F1230" s="28">
        <f t="shared" si="61"/>
        <v>3</v>
      </c>
    </row>
    <row r="1231" spans="1:6" x14ac:dyDescent="0.35">
      <c r="A1231">
        <f t="shared" si="62"/>
        <v>0</v>
      </c>
      <c r="B1231">
        <f t="shared" si="60"/>
        <v>63</v>
      </c>
      <c r="C1231" s="13" t="s">
        <v>27</v>
      </c>
      <c r="D1231" s="18">
        <f>VLOOKUP(C1231,'DISTRIBUIÇÃO NF4267'!$E$3:$FQ$75,MATCH(B1231,'DISTRIBUIÇÃO NF4267'!$E$3:$FQ$3,0)+1,0)</f>
        <v>0</v>
      </c>
      <c r="F1231" s="28">
        <f t="shared" si="61"/>
        <v>3</v>
      </c>
    </row>
    <row r="1232" spans="1:6" x14ac:dyDescent="0.35">
      <c r="A1232">
        <f t="shared" si="62"/>
        <v>0</v>
      </c>
      <c r="B1232">
        <f t="shared" si="60"/>
        <v>63</v>
      </c>
      <c r="C1232" s="14" t="s">
        <v>138</v>
      </c>
      <c r="D1232" s="18">
        <f>VLOOKUP(C1232,'DISTRIBUIÇÃO NF4267'!$E$3:$FQ$75,MATCH(B1232,'DISTRIBUIÇÃO NF4267'!$E$3:$FQ$3,0)+1,0)</f>
        <v>0</v>
      </c>
      <c r="F1232" s="28">
        <f t="shared" si="61"/>
        <v>3</v>
      </c>
    </row>
    <row r="1233" spans="1:6" x14ac:dyDescent="0.35">
      <c r="A1233">
        <f t="shared" si="62"/>
        <v>0</v>
      </c>
      <c r="B1233">
        <f t="shared" si="60"/>
        <v>63</v>
      </c>
      <c r="C1233" s="14" t="s">
        <v>139</v>
      </c>
      <c r="D1233" s="18">
        <f>VLOOKUP(C1233,'DISTRIBUIÇÃO NF4267'!$E$3:$FQ$75,MATCH(B1233,'DISTRIBUIÇÃO NF4267'!$E$3:$FQ$3,0)+1,0)</f>
        <v>4</v>
      </c>
      <c r="F1233" s="28">
        <f t="shared" si="61"/>
        <v>3</v>
      </c>
    </row>
    <row r="1234" spans="1:6" x14ac:dyDescent="0.35">
      <c r="A1234">
        <f t="shared" si="62"/>
        <v>0</v>
      </c>
      <c r="B1234">
        <f t="shared" si="60"/>
        <v>63</v>
      </c>
      <c r="C1234" s="14" t="s">
        <v>140</v>
      </c>
      <c r="D1234" s="18">
        <f>VLOOKUP(C1234,'DISTRIBUIÇÃO NF4267'!$E$3:$FQ$75,MATCH(B1234,'DISTRIBUIÇÃO NF4267'!$E$3:$FQ$3,0)+1,0)</f>
        <v>8</v>
      </c>
      <c r="F1234" s="28">
        <f t="shared" si="61"/>
        <v>3</v>
      </c>
    </row>
    <row r="1235" spans="1:6" x14ac:dyDescent="0.35">
      <c r="A1235">
        <f t="shared" si="62"/>
        <v>0</v>
      </c>
      <c r="B1235">
        <f t="shared" si="60"/>
        <v>63</v>
      </c>
      <c r="C1235" s="14" t="s">
        <v>141</v>
      </c>
      <c r="D1235" s="18">
        <f>VLOOKUP(C1235,'DISTRIBUIÇÃO NF4267'!$E$3:$FQ$75,MATCH(B1235,'DISTRIBUIÇÃO NF4267'!$E$3:$FQ$3,0)+1,0)</f>
        <v>4</v>
      </c>
      <c r="F1235" s="28">
        <f t="shared" si="61"/>
        <v>3</v>
      </c>
    </row>
    <row r="1236" spans="1:6" x14ac:dyDescent="0.35">
      <c r="A1236">
        <f t="shared" si="62"/>
        <v>0</v>
      </c>
      <c r="B1236">
        <f t="shared" si="60"/>
        <v>63</v>
      </c>
      <c r="C1236" s="14" t="s">
        <v>142</v>
      </c>
      <c r="D1236" s="18">
        <f>VLOOKUP(C1236,'DISTRIBUIÇÃO NF4267'!$E$3:$FQ$75,MATCH(B1236,'DISTRIBUIÇÃO NF4267'!$E$3:$FQ$3,0)+1,0)</f>
        <v>4</v>
      </c>
      <c r="F1236" s="28">
        <f t="shared" si="61"/>
        <v>3</v>
      </c>
    </row>
    <row r="1237" spans="1:6" x14ac:dyDescent="0.35">
      <c r="A1237">
        <f t="shared" si="62"/>
        <v>0</v>
      </c>
      <c r="B1237">
        <f t="shared" si="60"/>
        <v>63</v>
      </c>
      <c r="C1237" s="14" t="s">
        <v>143</v>
      </c>
      <c r="D1237" s="18">
        <f>VLOOKUP(C1237,'DISTRIBUIÇÃO NF4267'!$E$3:$FQ$75,MATCH(B1237,'DISTRIBUIÇÃO NF4267'!$E$3:$FQ$3,0)+1,0)</f>
        <v>0</v>
      </c>
      <c r="F1237" s="28">
        <f t="shared" si="61"/>
        <v>3</v>
      </c>
    </row>
    <row r="1238" spans="1:6" x14ac:dyDescent="0.35">
      <c r="A1238">
        <f t="shared" si="62"/>
        <v>0</v>
      </c>
      <c r="B1238">
        <f t="shared" si="60"/>
        <v>63</v>
      </c>
      <c r="C1238" s="15" t="s">
        <v>145</v>
      </c>
      <c r="D1238" s="18">
        <f>VLOOKUP(C1238,'DISTRIBUIÇÃO NF4267'!$E$3:$FQ$75,MATCH(B1238,'DISTRIBUIÇÃO NF4267'!$E$3:$FQ$3,0)+1,0)</f>
        <v>0</v>
      </c>
      <c r="F1238" s="28">
        <f t="shared" si="61"/>
        <v>3</v>
      </c>
    </row>
    <row r="1239" spans="1:6" x14ac:dyDescent="0.35">
      <c r="A1239">
        <f t="shared" si="62"/>
        <v>0</v>
      </c>
      <c r="B1239">
        <f t="shared" si="60"/>
        <v>63</v>
      </c>
      <c r="C1239" s="15" t="s">
        <v>146</v>
      </c>
      <c r="D1239" s="18">
        <f>VLOOKUP(C1239,'DISTRIBUIÇÃO NF4267'!$E$3:$FQ$75,MATCH(B1239,'DISTRIBUIÇÃO NF4267'!$E$3:$FQ$3,0)+1,0)</f>
        <v>2</v>
      </c>
      <c r="F1239" s="28">
        <f t="shared" si="61"/>
        <v>3</v>
      </c>
    </row>
    <row r="1240" spans="1:6" x14ac:dyDescent="0.35">
      <c r="A1240">
        <f t="shared" si="62"/>
        <v>0</v>
      </c>
      <c r="B1240">
        <f t="shared" si="60"/>
        <v>63</v>
      </c>
      <c r="C1240" s="15" t="s">
        <v>147</v>
      </c>
      <c r="D1240" s="18">
        <f>VLOOKUP(C1240,'DISTRIBUIÇÃO NF4267'!$E$3:$FQ$75,MATCH(B1240,'DISTRIBUIÇÃO NF4267'!$E$3:$FQ$3,0)+1,0)</f>
        <v>4</v>
      </c>
      <c r="F1240" s="28">
        <f t="shared" si="61"/>
        <v>3</v>
      </c>
    </row>
    <row r="1241" spans="1:6" x14ac:dyDescent="0.35">
      <c r="A1241">
        <f t="shared" si="62"/>
        <v>0</v>
      </c>
      <c r="B1241">
        <f t="shared" si="60"/>
        <v>63</v>
      </c>
      <c r="C1241" s="15" t="s">
        <v>148</v>
      </c>
      <c r="D1241" s="18">
        <f>VLOOKUP(C1241,'DISTRIBUIÇÃO NF4267'!$E$3:$FQ$75,MATCH(B1241,'DISTRIBUIÇÃO NF4267'!$E$3:$FQ$3,0)+1,0)</f>
        <v>2</v>
      </c>
      <c r="F1241" s="28">
        <f t="shared" si="61"/>
        <v>3</v>
      </c>
    </row>
    <row r="1242" spans="1:6" x14ac:dyDescent="0.35">
      <c r="A1242">
        <f t="shared" si="62"/>
        <v>0</v>
      </c>
      <c r="B1242">
        <f t="shared" si="60"/>
        <v>63</v>
      </c>
      <c r="C1242" s="15" t="s">
        <v>149</v>
      </c>
      <c r="D1242" s="18">
        <f>VLOOKUP(C1242,'DISTRIBUIÇÃO NF4267'!$E$3:$FQ$75,MATCH(B1242,'DISTRIBUIÇÃO NF4267'!$E$3:$FQ$3,0)+1,0)</f>
        <v>2</v>
      </c>
      <c r="F1242" s="28">
        <f t="shared" si="61"/>
        <v>3</v>
      </c>
    </row>
    <row r="1243" spans="1:6" x14ac:dyDescent="0.35">
      <c r="A1243">
        <f t="shared" si="62"/>
        <v>0</v>
      </c>
      <c r="B1243">
        <f t="shared" si="60"/>
        <v>63</v>
      </c>
      <c r="C1243" s="15" t="s">
        <v>150</v>
      </c>
      <c r="D1243" s="18">
        <f>VLOOKUP(C1243,'DISTRIBUIÇÃO NF4267'!$E$3:$FQ$75,MATCH(B1243,'DISTRIBUIÇÃO NF4267'!$E$3:$FQ$3,0)+1,0)</f>
        <v>0</v>
      </c>
      <c r="F1243" s="28">
        <f t="shared" si="61"/>
        <v>3</v>
      </c>
    </row>
    <row r="1244" spans="1:6" x14ac:dyDescent="0.35">
      <c r="A1244">
        <f t="shared" si="62"/>
        <v>0</v>
      </c>
      <c r="B1244">
        <v>33</v>
      </c>
      <c r="C1244" s="7" t="s">
        <v>98</v>
      </c>
      <c r="D1244" s="18">
        <f>VLOOKUP(C1244,'DISTRIBUIÇÃO NF4267'!$E$3:$FQ$75,MATCH(B1244,'DISTRIBUIÇÃO NF4267'!$E$3:$FQ$3,0)+1,0)</f>
        <v>0</v>
      </c>
      <c r="F1244" s="28">
        <f t="shared" si="61"/>
        <v>3</v>
      </c>
    </row>
    <row r="1245" spans="1:6" x14ac:dyDescent="0.35">
      <c r="A1245">
        <f t="shared" si="62"/>
        <v>0</v>
      </c>
      <c r="B1245">
        <f>B1244</f>
        <v>33</v>
      </c>
      <c r="C1245" s="7" t="s">
        <v>99</v>
      </c>
      <c r="D1245" s="18">
        <f>VLOOKUP(C1245,'DISTRIBUIÇÃO NF4267'!$E$3:$FQ$75,MATCH(B1245,'DISTRIBUIÇÃO NF4267'!$E$3:$FQ$3,0)+1,0)</f>
        <v>4</v>
      </c>
      <c r="F1245" s="28">
        <f t="shared" si="61"/>
        <v>3</v>
      </c>
    </row>
    <row r="1246" spans="1:6" x14ac:dyDescent="0.35">
      <c r="A1246">
        <f t="shared" si="62"/>
        <v>0</v>
      </c>
      <c r="B1246">
        <f t="shared" ref="B1246:B1297" si="63">B1245</f>
        <v>33</v>
      </c>
      <c r="C1246" s="7" t="s">
        <v>100</v>
      </c>
      <c r="D1246" s="18">
        <f>VLOOKUP(C1246,'DISTRIBUIÇÃO NF4267'!$E$3:$FQ$75,MATCH(B1246,'DISTRIBUIÇÃO NF4267'!$E$3:$FQ$3,0)+1,0)</f>
        <v>8</v>
      </c>
      <c r="F1246" s="28">
        <f t="shared" si="61"/>
        <v>3</v>
      </c>
    </row>
    <row r="1247" spans="1:6" x14ac:dyDescent="0.35">
      <c r="A1247">
        <f t="shared" si="62"/>
        <v>0</v>
      </c>
      <c r="B1247">
        <f t="shared" si="63"/>
        <v>33</v>
      </c>
      <c r="C1247" s="7" t="s">
        <v>101</v>
      </c>
      <c r="D1247" s="18">
        <f>VLOOKUP(C1247,'DISTRIBUIÇÃO NF4267'!$E$3:$FQ$75,MATCH(B1247,'DISTRIBUIÇÃO NF4267'!$E$3:$FQ$3,0)+1,0)</f>
        <v>4</v>
      </c>
      <c r="F1247" s="28">
        <f t="shared" si="61"/>
        <v>3</v>
      </c>
    </row>
    <row r="1248" spans="1:6" x14ac:dyDescent="0.35">
      <c r="A1248">
        <f t="shared" si="62"/>
        <v>0</v>
      </c>
      <c r="B1248">
        <f t="shared" si="63"/>
        <v>33</v>
      </c>
      <c r="C1248" s="7" t="s">
        <v>102</v>
      </c>
      <c r="D1248" s="18">
        <f>VLOOKUP(C1248,'DISTRIBUIÇÃO NF4267'!$E$3:$FQ$75,MATCH(B1248,'DISTRIBUIÇÃO NF4267'!$E$3:$FQ$3,0)+1,0)</f>
        <v>4</v>
      </c>
      <c r="F1248" s="28">
        <f t="shared" si="61"/>
        <v>3</v>
      </c>
    </row>
    <row r="1249" spans="1:6" x14ac:dyDescent="0.35">
      <c r="A1249">
        <f t="shared" si="62"/>
        <v>0</v>
      </c>
      <c r="B1249">
        <f t="shared" si="63"/>
        <v>33</v>
      </c>
      <c r="C1249" s="7" t="s">
        <v>103</v>
      </c>
      <c r="D1249" s="18">
        <f>VLOOKUP(C1249,'DISTRIBUIÇÃO NF4267'!$E$3:$FQ$75,MATCH(B1249,'DISTRIBUIÇÃO NF4267'!$E$3:$FQ$3,0)+1,0)</f>
        <v>0</v>
      </c>
      <c r="F1249" s="28">
        <f t="shared" si="61"/>
        <v>3</v>
      </c>
    </row>
    <row r="1250" spans="1:6" x14ac:dyDescent="0.35">
      <c r="A1250">
        <f t="shared" si="62"/>
        <v>0</v>
      </c>
      <c r="B1250">
        <f t="shared" si="63"/>
        <v>33</v>
      </c>
      <c r="C1250" s="8" t="s">
        <v>107</v>
      </c>
      <c r="D1250" s="18">
        <f>VLOOKUP(C1250,'DISTRIBUIÇÃO NF4267'!$E$3:$FQ$75,MATCH(B1250,'DISTRIBUIÇÃO NF4267'!$E$3:$FQ$3,0)+1,0)</f>
        <v>0</v>
      </c>
      <c r="F1250" s="28">
        <f t="shared" si="61"/>
        <v>3</v>
      </c>
    </row>
    <row r="1251" spans="1:6" x14ac:dyDescent="0.35">
      <c r="A1251">
        <f t="shared" si="62"/>
        <v>0</v>
      </c>
      <c r="B1251">
        <f t="shared" si="63"/>
        <v>33</v>
      </c>
      <c r="C1251" s="8" t="s">
        <v>108</v>
      </c>
      <c r="D1251" s="18">
        <f>VLOOKUP(C1251,'DISTRIBUIÇÃO NF4267'!$E$3:$FQ$75,MATCH(B1251,'DISTRIBUIÇÃO NF4267'!$E$3:$FQ$3,0)+1,0)</f>
        <v>2</v>
      </c>
      <c r="F1251" s="28">
        <f t="shared" si="61"/>
        <v>3</v>
      </c>
    </row>
    <row r="1252" spans="1:6" x14ac:dyDescent="0.35">
      <c r="A1252">
        <f t="shared" si="62"/>
        <v>0</v>
      </c>
      <c r="B1252">
        <f t="shared" si="63"/>
        <v>33</v>
      </c>
      <c r="C1252" s="8" t="s">
        <v>109</v>
      </c>
      <c r="D1252" s="18">
        <f>VLOOKUP(C1252,'DISTRIBUIÇÃO NF4267'!$E$3:$FQ$75,MATCH(B1252,'DISTRIBUIÇÃO NF4267'!$E$3:$FQ$3,0)+1,0)</f>
        <v>4</v>
      </c>
      <c r="F1252" s="28">
        <f t="shared" si="61"/>
        <v>3</v>
      </c>
    </row>
    <row r="1253" spans="1:6" x14ac:dyDescent="0.35">
      <c r="A1253">
        <f t="shared" si="62"/>
        <v>0</v>
      </c>
      <c r="B1253">
        <f t="shared" si="63"/>
        <v>33</v>
      </c>
      <c r="C1253" s="8" t="s">
        <v>110</v>
      </c>
      <c r="D1253" s="18">
        <f>VLOOKUP(C1253,'DISTRIBUIÇÃO NF4267'!$E$3:$FQ$75,MATCH(B1253,'DISTRIBUIÇÃO NF4267'!$E$3:$FQ$3,0)+1,0)</f>
        <v>2</v>
      </c>
      <c r="F1253" s="28">
        <f t="shared" si="61"/>
        <v>3</v>
      </c>
    </row>
    <row r="1254" spans="1:6" x14ac:dyDescent="0.35">
      <c r="A1254">
        <f t="shared" si="62"/>
        <v>0</v>
      </c>
      <c r="B1254">
        <f t="shared" si="63"/>
        <v>33</v>
      </c>
      <c r="C1254" s="8" t="s">
        <v>111</v>
      </c>
      <c r="D1254" s="18">
        <f>VLOOKUP(C1254,'DISTRIBUIÇÃO NF4267'!$E$3:$FQ$75,MATCH(B1254,'DISTRIBUIÇÃO NF4267'!$E$3:$FQ$3,0)+1,0)</f>
        <v>2</v>
      </c>
      <c r="F1254" s="28">
        <f t="shared" si="61"/>
        <v>3</v>
      </c>
    </row>
    <row r="1255" spans="1:6" x14ac:dyDescent="0.35">
      <c r="A1255">
        <f t="shared" si="62"/>
        <v>0</v>
      </c>
      <c r="B1255">
        <f t="shared" si="63"/>
        <v>33</v>
      </c>
      <c r="C1255" s="8" t="s">
        <v>112</v>
      </c>
      <c r="D1255" s="18">
        <f>VLOOKUP(C1255,'DISTRIBUIÇÃO NF4267'!$E$3:$FQ$75,MATCH(B1255,'DISTRIBUIÇÃO NF4267'!$E$3:$FQ$3,0)+1,0)</f>
        <v>0</v>
      </c>
      <c r="F1255" s="28">
        <f t="shared" si="61"/>
        <v>3</v>
      </c>
    </row>
    <row r="1256" spans="1:6" x14ac:dyDescent="0.35">
      <c r="A1256">
        <f t="shared" si="62"/>
        <v>0</v>
      </c>
      <c r="B1256">
        <f t="shared" si="63"/>
        <v>33</v>
      </c>
      <c r="C1256" s="9" t="s">
        <v>113</v>
      </c>
      <c r="D1256" s="18">
        <f>VLOOKUP(C1256,'DISTRIBUIÇÃO NF4267'!$E$3:$FQ$75,MATCH(B1256,'DISTRIBUIÇÃO NF4267'!$E$3:$FQ$3,0)+1,0)</f>
        <v>0</v>
      </c>
      <c r="F1256" s="28">
        <f t="shared" si="61"/>
        <v>3</v>
      </c>
    </row>
    <row r="1257" spans="1:6" x14ac:dyDescent="0.35">
      <c r="A1257">
        <f t="shared" si="62"/>
        <v>0</v>
      </c>
      <c r="B1257">
        <f t="shared" si="63"/>
        <v>33</v>
      </c>
      <c r="C1257" s="9" t="s">
        <v>114</v>
      </c>
      <c r="D1257" s="18">
        <f>VLOOKUP(C1257,'DISTRIBUIÇÃO NF4267'!$E$3:$FQ$75,MATCH(B1257,'DISTRIBUIÇÃO NF4267'!$E$3:$FQ$3,0)+1,0)</f>
        <v>6</v>
      </c>
      <c r="F1257" s="28">
        <f t="shared" si="61"/>
        <v>3</v>
      </c>
    </row>
    <row r="1258" spans="1:6" x14ac:dyDescent="0.35">
      <c r="A1258">
        <f t="shared" si="62"/>
        <v>0</v>
      </c>
      <c r="B1258">
        <f t="shared" si="63"/>
        <v>33</v>
      </c>
      <c r="C1258" s="9" t="s">
        <v>115</v>
      </c>
      <c r="D1258" s="18">
        <f>VLOOKUP(C1258,'DISTRIBUIÇÃO NF4267'!$E$3:$FQ$75,MATCH(B1258,'DISTRIBUIÇÃO NF4267'!$E$3:$FQ$3,0)+1,0)</f>
        <v>8</v>
      </c>
      <c r="F1258" s="28">
        <f t="shared" si="61"/>
        <v>3</v>
      </c>
    </row>
    <row r="1259" spans="1:6" x14ac:dyDescent="0.35">
      <c r="A1259">
        <f t="shared" si="62"/>
        <v>0</v>
      </c>
      <c r="B1259">
        <f t="shared" si="63"/>
        <v>33</v>
      </c>
      <c r="C1259" s="9" t="s">
        <v>116</v>
      </c>
      <c r="D1259" s="18">
        <f>VLOOKUP(C1259,'DISTRIBUIÇÃO NF4267'!$E$3:$FQ$75,MATCH(B1259,'DISTRIBUIÇÃO NF4267'!$E$3:$FQ$3,0)+1,0)</f>
        <v>4</v>
      </c>
      <c r="F1259" s="28">
        <f t="shared" si="61"/>
        <v>3</v>
      </c>
    </row>
    <row r="1260" spans="1:6" x14ac:dyDescent="0.35">
      <c r="A1260">
        <f t="shared" si="62"/>
        <v>0</v>
      </c>
      <c r="B1260">
        <f t="shared" si="63"/>
        <v>33</v>
      </c>
      <c r="C1260" s="9" t="s">
        <v>117</v>
      </c>
      <c r="D1260" s="18">
        <f>VLOOKUP(C1260,'DISTRIBUIÇÃO NF4267'!$E$3:$FQ$75,MATCH(B1260,'DISTRIBUIÇÃO NF4267'!$E$3:$FQ$3,0)+1,0)</f>
        <v>2</v>
      </c>
      <c r="F1260" s="28">
        <f t="shared" si="61"/>
        <v>3</v>
      </c>
    </row>
    <row r="1261" spans="1:6" x14ac:dyDescent="0.35">
      <c r="A1261">
        <f t="shared" si="62"/>
        <v>0</v>
      </c>
      <c r="B1261">
        <f t="shared" si="63"/>
        <v>33</v>
      </c>
      <c r="C1261" s="9" t="s">
        <v>118</v>
      </c>
      <c r="D1261" s="18">
        <f>VLOOKUP(C1261,'DISTRIBUIÇÃO NF4267'!$E$3:$FQ$75,MATCH(B1261,'DISTRIBUIÇÃO NF4267'!$E$3:$FQ$3,0)+1,0)</f>
        <v>0</v>
      </c>
      <c r="F1261" s="28">
        <f t="shared" si="61"/>
        <v>3</v>
      </c>
    </row>
    <row r="1262" spans="1:6" x14ac:dyDescent="0.35">
      <c r="A1262">
        <f t="shared" si="62"/>
        <v>0</v>
      </c>
      <c r="B1262">
        <f t="shared" si="63"/>
        <v>33</v>
      </c>
      <c r="C1262" s="10" t="s">
        <v>119</v>
      </c>
      <c r="D1262" s="18">
        <f>VLOOKUP(C1262,'DISTRIBUIÇÃO NF4267'!$E$3:$FQ$75,MATCH(B1262,'DISTRIBUIÇÃO NF4267'!$E$3:$FQ$3,0)+1,0)</f>
        <v>0</v>
      </c>
      <c r="F1262" s="28">
        <f t="shared" si="61"/>
        <v>3</v>
      </c>
    </row>
    <row r="1263" spans="1:6" x14ac:dyDescent="0.35">
      <c r="A1263">
        <f t="shared" si="62"/>
        <v>0</v>
      </c>
      <c r="B1263">
        <f t="shared" si="63"/>
        <v>33</v>
      </c>
      <c r="C1263" s="10" t="s">
        <v>120</v>
      </c>
      <c r="D1263" s="18">
        <f>VLOOKUP(C1263,'DISTRIBUIÇÃO NF4267'!$E$3:$FQ$75,MATCH(B1263,'DISTRIBUIÇÃO NF4267'!$E$3:$FQ$3,0)+1,0)</f>
        <v>48</v>
      </c>
      <c r="F1263" s="28">
        <f t="shared" si="61"/>
        <v>3</v>
      </c>
    </row>
    <row r="1264" spans="1:6" x14ac:dyDescent="0.35">
      <c r="A1264">
        <f t="shared" si="62"/>
        <v>0</v>
      </c>
      <c r="B1264">
        <f t="shared" si="63"/>
        <v>33</v>
      </c>
      <c r="C1264" s="10" t="s">
        <v>121</v>
      </c>
      <c r="D1264" s="18">
        <f>VLOOKUP(C1264,'DISTRIBUIÇÃO NF4267'!$E$3:$FQ$75,MATCH(B1264,'DISTRIBUIÇÃO NF4267'!$E$3:$FQ$3,0)+1,0)</f>
        <v>16</v>
      </c>
      <c r="F1264" s="28">
        <f t="shared" si="61"/>
        <v>3</v>
      </c>
    </row>
    <row r="1265" spans="1:6" x14ac:dyDescent="0.35">
      <c r="A1265">
        <f t="shared" si="62"/>
        <v>0</v>
      </c>
      <c r="B1265">
        <f t="shared" si="63"/>
        <v>33</v>
      </c>
      <c r="C1265" s="10" t="s">
        <v>122</v>
      </c>
      <c r="D1265" s="18">
        <f>VLOOKUP(C1265,'DISTRIBUIÇÃO NF4267'!$E$3:$FQ$75,MATCH(B1265,'DISTRIBUIÇÃO NF4267'!$E$3:$FQ$3,0)+1,0)</f>
        <v>16</v>
      </c>
      <c r="F1265" s="28">
        <f t="shared" si="61"/>
        <v>3</v>
      </c>
    </row>
    <row r="1266" spans="1:6" x14ac:dyDescent="0.35">
      <c r="A1266">
        <f t="shared" si="62"/>
        <v>0</v>
      </c>
      <c r="B1266">
        <f t="shared" si="63"/>
        <v>33</v>
      </c>
      <c r="C1266" s="10" t="s">
        <v>123</v>
      </c>
      <c r="D1266" s="18">
        <f>VLOOKUP(C1266,'DISTRIBUIÇÃO NF4267'!$E$3:$FQ$75,MATCH(B1266,'DISTRIBUIÇÃO NF4267'!$E$3:$FQ$3,0)+1,0)</f>
        <v>0</v>
      </c>
      <c r="F1266" s="28">
        <f t="shared" si="61"/>
        <v>3</v>
      </c>
    </row>
    <row r="1267" spans="1:6" x14ac:dyDescent="0.35">
      <c r="A1267">
        <f t="shared" si="62"/>
        <v>0</v>
      </c>
      <c r="B1267">
        <f t="shared" si="63"/>
        <v>33</v>
      </c>
      <c r="C1267" s="10" t="s">
        <v>124</v>
      </c>
      <c r="D1267" s="18">
        <f>VLOOKUP(C1267,'DISTRIBUIÇÃO NF4267'!$E$3:$FQ$75,MATCH(B1267,'DISTRIBUIÇÃO NF4267'!$E$3:$FQ$3,0)+1,0)</f>
        <v>0</v>
      </c>
      <c r="F1267" s="28">
        <f t="shared" si="61"/>
        <v>3</v>
      </c>
    </row>
    <row r="1268" spans="1:6" x14ac:dyDescent="0.35">
      <c r="A1268">
        <f t="shared" si="62"/>
        <v>0</v>
      </c>
      <c r="B1268">
        <f t="shared" si="63"/>
        <v>33</v>
      </c>
      <c r="C1268" s="11" t="s">
        <v>16</v>
      </c>
      <c r="D1268" s="18">
        <f>VLOOKUP(C1268,'DISTRIBUIÇÃO NF4267'!$E$3:$FQ$75,MATCH(B1268,'DISTRIBUIÇÃO NF4267'!$E$3:$FQ$3,0)+1,0)</f>
        <v>0</v>
      </c>
      <c r="F1268" s="28">
        <f t="shared" si="61"/>
        <v>3</v>
      </c>
    </row>
    <row r="1269" spans="1:6" x14ac:dyDescent="0.35">
      <c r="A1269">
        <f t="shared" si="62"/>
        <v>0</v>
      </c>
      <c r="B1269">
        <f t="shared" si="63"/>
        <v>33</v>
      </c>
      <c r="C1269" s="11" t="s">
        <v>17</v>
      </c>
      <c r="D1269" s="18">
        <f>VLOOKUP(C1269,'DISTRIBUIÇÃO NF4267'!$E$3:$FQ$75,MATCH(B1269,'DISTRIBUIÇÃO NF4267'!$E$3:$FQ$3,0)+1,0)</f>
        <v>9</v>
      </c>
      <c r="F1269" s="28">
        <f t="shared" si="61"/>
        <v>3</v>
      </c>
    </row>
    <row r="1270" spans="1:6" x14ac:dyDescent="0.35">
      <c r="A1270">
        <f t="shared" si="62"/>
        <v>0</v>
      </c>
      <c r="B1270">
        <f t="shared" si="63"/>
        <v>33</v>
      </c>
      <c r="C1270" s="11" t="s">
        <v>18</v>
      </c>
      <c r="D1270" s="18">
        <f>VLOOKUP(C1270,'DISTRIBUIÇÃO NF4267'!$E$3:$FQ$75,MATCH(B1270,'DISTRIBUIÇÃO NF4267'!$E$3:$FQ$3,0)+1,0)</f>
        <v>3</v>
      </c>
      <c r="F1270" s="28">
        <f t="shared" si="61"/>
        <v>3</v>
      </c>
    </row>
    <row r="1271" spans="1:6" x14ac:dyDescent="0.35">
      <c r="A1271">
        <f t="shared" si="62"/>
        <v>0</v>
      </c>
      <c r="B1271">
        <f t="shared" si="63"/>
        <v>33</v>
      </c>
      <c r="C1271" s="11" t="s">
        <v>19</v>
      </c>
      <c r="D1271" s="18">
        <f>VLOOKUP(C1271,'DISTRIBUIÇÃO NF4267'!$E$3:$FQ$75,MATCH(B1271,'DISTRIBUIÇÃO NF4267'!$E$3:$FQ$3,0)+1,0)</f>
        <v>3</v>
      </c>
      <c r="F1271" s="28">
        <f t="shared" si="61"/>
        <v>3</v>
      </c>
    </row>
    <row r="1272" spans="1:6" x14ac:dyDescent="0.35">
      <c r="A1272">
        <f t="shared" si="62"/>
        <v>0</v>
      </c>
      <c r="B1272">
        <f t="shared" si="63"/>
        <v>33</v>
      </c>
      <c r="C1272" s="11" t="s">
        <v>20</v>
      </c>
      <c r="D1272" s="18">
        <f>VLOOKUP(C1272,'DISTRIBUIÇÃO NF4267'!$E$3:$FQ$75,MATCH(B1272,'DISTRIBUIÇÃO NF4267'!$E$3:$FQ$3,0)+1,0)</f>
        <v>15</v>
      </c>
      <c r="F1272" s="28">
        <f t="shared" ref="F1272:F1335" si="64">ROUNDUP(SUMIFS(D:D,B:B,B1272)/80,0)</f>
        <v>3</v>
      </c>
    </row>
    <row r="1273" spans="1:6" x14ac:dyDescent="0.35">
      <c r="A1273">
        <f t="shared" si="62"/>
        <v>0</v>
      </c>
      <c r="B1273">
        <f t="shared" si="63"/>
        <v>33</v>
      </c>
      <c r="C1273" s="11" t="s">
        <v>21</v>
      </c>
      <c r="D1273" s="18">
        <f>VLOOKUP(C1273,'DISTRIBUIÇÃO NF4267'!$E$3:$FQ$75,MATCH(B1273,'DISTRIBUIÇÃO NF4267'!$E$3:$FQ$3,0)+1,0)</f>
        <v>0</v>
      </c>
      <c r="F1273" s="28">
        <f t="shared" si="64"/>
        <v>3</v>
      </c>
    </row>
    <row r="1274" spans="1:6" x14ac:dyDescent="0.35">
      <c r="A1274">
        <f t="shared" si="62"/>
        <v>0</v>
      </c>
      <c r="B1274">
        <f t="shared" si="63"/>
        <v>33</v>
      </c>
      <c r="C1274" s="12" t="s">
        <v>130</v>
      </c>
      <c r="D1274" s="18">
        <f>VLOOKUP(C1274,'DISTRIBUIÇÃO NF4267'!$E$3:$FQ$75,MATCH(B1274,'DISTRIBUIÇÃO NF4267'!$E$3:$FQ$3,0)+1,0)</f>
        <v>0</v>
      </c>
      <c r="F1274" s="28">
        <f t="shared" si="64"/>
        <v>3</v>
      </c>
    </row>
    <row r="1275" spans="1:6" x14ac:dyDescent="0.35">
      <c r="A1275">
        <f t="shared" si="62"/>
        <v>0</v>
      </c>
      <c r="B1275">
        <f t="shared" si="63"/>
        <v>33</v>
      </c>
      <c r="C1275" s="12" t="s">
        <v>131</v>
      </c>
      <c r="D1275" s="18">
        <f>VLOOKUP(C1275,'DISTRIBUIÇÃO NF4267'!$E$3:$FQ$75,MATCH(B1275,'DISTRIBUIÇÃO NF4267'!$E$3:$FQ$3,0)+1,0)</f>
        <v>1</v>
      </c>
      <c r="F1275" s="28">
        <f t="shared" si="64"/>
        <v>3</v>
      </c>
    </row>
    <row r="1276" spans="1:6" x14ac:dyDescent="0.35">
      <c r="A1276">
        <f t="shared" si="62"/>
        <v>0</v>
      </c>
      <c r="B1276">
        <f t="shared" si="63"/>
        <v>33</v>
      </c>
      <c r="C1276" s="12" t="s">
        <v>132</v>
      </c>
      <c r="D1276" s="18">
        <f>VLOOKUP(C1276,'DISTRIBUIÇÃO NF4267'!$E$3:$FQ$75,MATCH(B1276,'DISTRIBUIÇÃO NF4267'!$E$3:$FQ$3,0)+1,0)</f>
        <v>4</v>
      </c>
      <c r="F1276" s="28">
        <f t="shared" si="64"/>
        <v>3</v>
      </c>
    </row>
    <row r="1277" spans="1:6" x14ac:dyDescent="0.35">
      <c r="A1277">
        <f t="shared" si="62"/>
        <v>0</v>
      </c>
      <c r="B1277">
        <f t="shared" si="63"/>
        <v>33</v>
      </c>
      <c r="C1277" s="12" t="s">
        <v>133</v>
      </c>
      <c r="D1277" s="18">
        <f>VLOOKUP(C1277,'DISTRIBUIÇÃO NF4267'!$E$3:$FQ$75,MATCH(B1277,'DISTRIBUIÇÃO NF4267'!$E$3:$FQ$3,0)+1,0)</f>
        <v>3</v>
      </c>
      <c r="F1277" s="28">
        <f t="shared" si="64"/>
        <v>3</v>
      </c>
    </row>
    <row r="1278" spans="1:6" x14ac:dyDescent="0.35">
      <c r="A1278">
        <f t="shared" si="62"/>
        <v>0</v>
      </c>
      <c r="B1278">
        <f t="shared" si="63"/>
        <v>33</v>
      </c>
      <c r="C1278" s="12" t="s">
        <v>134</v>
      </c>
      <c r="D1278" s="18">
        <f>VLOOKUP(C1278,'DISTRIBUIÇÃO NF4267'!$E$3:$FQ$75,MATCH(B1278,'DISTRIBUIÇÃO NF4267'!$E$3:$FQ$3,0)+1,0)</f>
        <v>2</v>
      </c>
      <c r="F1278" s="28">
        <f t="shared" si="64"/>
        <v>3</v>
      </c>
    </row>
    <row r="1279" spans="1:6" x14ac:dyDescent="0.35">
      <c r="A1279">
        <f t="shared" si="62"/>
        <v>0</v>
      </c>
      <c r="B1279">
        <f t="shared" si="63"/>
        <v>33</v>
      </c>
      <c r="C1279" s="12" t="s">
        <v>135</v>
      </c>
      <c r="D1279" s="18">
        <f>VLOOKUP(C1279,'DISTRIBUIÇÃO NF4267'!$E$3:$FQ$75,MATCH(B1279,'DISTRIBUIÇÃO NF4267'!$E$3:$FQ$3,0)+1,0)</f>
        <v>0</v>
      </c>
      <c r="F1279" s="28">
        <f t="shared" si="64"/>
        <v>3</v>
      </c>
    </row>
    <row r="1280" spans="1:6" x14ac:dyDescent="0.35">
      <c r="A1280">
        <f t="shared" si="62"/>
        <v>0</v>
      </c>
      <c r="B1280">
        <f t="shared" si="63"/>
        <v>33</v>
      </c>
      <c r="C1280" s="13" t="s">
        <v>22</v>
      </c>
      <c r="D1280" s="18">
        <f>VLOOKUP(C1280,'DISTRIBUIÇÃO NF4267'!$E$3:$FQ$75,MATCH(B1280,'DISTRIBUIÇÃO NF4267'!$E$3:$FQ$3,0)+1,0)</f>
        <v>0</v>
      </c>
      <c r="F1280" s="28">
        <f t="shared" si="64"/>
        <v>3</v>
      </c>
    </row>
    <row r="1281" spans="1:6" x14ac:dyDescent="0.35">
      <c r="A1281">
        <f t="shared" si="62"/>
        <v>0</v>
      </c>
      <c r="B1281">
        <f t="shared" si="63"/>
        <v>33</v>
      </c>
      <c r="C1281" s="13" t="s">
        <v>23</v>
      </c>
      <c r="D1281" s="18">
        <f>VLOOKUP(C1281,'DISTRIBUIÇÃO NF4267'!$E$3:$FQ$75,MATCH(B1281,'DISTRIBUIÇÃO NF4267'!$E$3:$FQ$3,0)+1,0)</f>
        <v>1</v>
      </c>
      <c r="F1281" s="28">
        <f t="shared" si="64"/>
        <v>3</v>
      </c>
    </row>
    <row r="1282" spans="1:6" x14ac:dyDescent="0.35">
      <c r="A1282">
        <f t="shared" ref="A1282:A1345" si="65">IF(ISERROR(VLOOKUP(C1282,I:I,1,0)),0,1)</f>
        <v>0</v>
      </c>
      <c r="B1282">
        <f t="shared" si="63"/>
        <v>33</v>
      </c>
      <c r="C1282" s="13" t="s">
        <v>24</v>
      </c>
      <c r="D1282" s="18">
        <f>VLOOKUP(C1282,'DISTRIBUIÇÃO NF4267'!$E$3:$FQ$75,MATCH(B1282,'DISTRIBUIÇÃO NF4267'!$E$3:$FQ$3,0)+1,0)</f>
        <v>6</v>
      </c>
      <c r="F1282" s="28">
        <f t="shared" si="64"/>
        <v>3</v>
      </c>
    </row>
    <row r="1283" spans="1:6" x14ac:dyDescent="0.35">
      <c r="A1283">
        <f t="shared" si="65"/>
        <v>0</v>
      </c>
      <c r="B1283">
        <f t="shared" si="63"/>
        <v>33</v>
      </c>
      <c r="C1283" s="13" t="s">
        <v>25</v>
      </c>
      <c r="D1283" s="18">
        <f>VLOOKUP(C1283,'DISTRIBUIÇÃO NF4267'!$E$3:$FQ$75,MATCH(B1283,'DISTRIBUIÇÃO NF4267'!$E$3:$FQ$3,0)+1,0)</f>
        <v>2</v>
      </c>
      <c r="F1283" s="28">
        <f t="shared" si="64"/>
        <v>3</v>
      </c>
    </row>
    <row r="1284" spans="1:6" x14ac:dyDescent="0.35">
      <c r="A1284">
        <f t="shared" si="65"/>
        <v>0</v>
      </c>
      <c r="B1284">
        <f t="shared" si="63"/>
        <v>33</v>
      </c>
      <c r="C1284" s="13" t="s">
        <v>26</v>
      </c>
      <c r="D1284" s="18">
        <f>VLOOKUP(C1284,'DISTRIBUIÇÃO NF4267'!$E$3:$FQ$75,MATCH(B1284,'DISTRIBUIÇÃO NF4267'!$E$3:$FQ$3,0)+1,0)</f>
        <v>1</v>
      </c>
      <c r="F1284" s="28">
        <f t="shared" si="64"/>
        <v>3</v>
      </c>
    </row>
    <row r="1285" spans="1:6" x14ac:dyDescent="0.35">
      <c r="A1285">
        <f t="shared" si="65"/>
        <v>0</v>
      </c>
      <c r="B1285">
        <f t="shared" si="63"/>
        <v>33</v>
      </c>
      <c r="C1285" s="13" t="s">
        <v>27</v>
      </c>
      <c r="D1285" s="18">
        <f>VLOOKUP(C1285,'DISTRIBUIÇÃO NF4267'!$E$3:$FQ$75,MATCH(B1285,'DISTRIBUIÇÃO NF4267'!$E$3:$FQ$3,0)+1,0)</f>
        <v>0</v>
      </c>
      <c r="F1285" s="28">
        <f t="shared" si="64"/>
        <v>3</v>
      </c>
    </row>
    <row r="1286" spans="1:6" x14ac:dyDescent="0.35">
      <c r="A1286">
        <f t="shared" si="65"/>
        <v>0</v>
      </c>
      <c r="B1286">
        <f t="shared" si="63"/>
        <v>33</v>
      </c>
      <c r="C1286" s="14" t="s">
        <v>138</v>
      </c>
      <c r="D1286" s="18">
        <f>VLOOKUP(C1286,'DISTRIBUIÇÃO NF4267'!$E$3:$FQ$75,MATCH(B1286,'DISTRIBUIÇÃO NF4267'!$E$3:$FQ$3,0)+1,0)</f>
        <v>0</v>
      </c>
      <c r="F1286" s="28">
        <f t="shared" si="64"/>
        <v>3</v>
      </c>
    </row>
    <row r="1287" spans="1:6" x14ac:dyDescent="0.35">
      <c r="A1287">
        <f t="shared" si="65"/>
        <v>0</v>
      </c>
      <c r="B1287">
        <f t="shared" si="63"/>
        <v>33</v>
      </c>
      <c r="C1287" s="14" t="s">
        <v>139</v>
      </c>
      <c r="D1287" s="18">
        <f>VLOOKUP(C1287,'DISTRIBUIÇÃO NF4267'!$E$3:$FQ$75,MATCH(B1287,'DISTRIBUIÇÃO NF4267'!$E$3:$FQ$3,0)+1,0)</f>
        <v>4</v>
      </c>
      <c r="F1287" s="28">
        <f t="shared" si="64"/>
        <v>3</v>
      </c>
    </row>
    <row r="1288" spans="1:6" x14ac:dyDescent="0.35">
      <c r="A1288">
        <f t="shared" si="65"/>
        <v>0</v>
      </c>
      <c r="B1288">
        <f t="shared" si="63"/>
        <v>33</v>
      </c>
      <c r="C1288" s="14" t="s">
        <v>140</v>
      </c>
      <c r="D1288" s="18">
        <f>VLOOKUP(C1288,'DISTRIBUIÇÃO NF4267'!$E$3:$FQ$75,MATCH(B1288,'DISTRIBUIÇÃO NF4267'!$E$3:$FQ$3,0)+1,0)</f>
        <v>8</v>
      </c>
      <c r="F1288" s="28">
        <f t="shared" si="64"/>
        <v>3</v>
      </c>
    </row>
    <row r="1289" spans="1:6" x14ac:dyDescent="0.35">
      <c r="A1289">
        <f t="shared" si="65"/>
        <v>0</v>
      </c>
      <c r="B1289">
        <f t="shared" si="63"/>
        <v>33</v>
      </c>
      <c r="C1289" s="14" t="s">
        <v>141</v>
      </c>
      <c r="D1289" s="18">
        <f>VLOOKUP(C1289,'DISTRIBUIÇÃO NF4267'!$E$3:$FQ$75,MATCH(B1289,'DISTRIBUIÇÃO NF4267'!$E$3:$FQ$3,0)+1,0)</f>
        <v>4</v>
      </c>
      <c r="F1289" s="28">
        <f t="shared" si="64"/>
        <v>3</v>
      </c>
    </row>
    <row r="1290" spans="1:6" x14ac:dyDescent="0.35">
      <c r="A1290">
        <f t="shared" si="65"/>
        <v>0</v>
      </c>
      <c r="B1290">
        <f t="shared" si="63"/>
        <v>33</v>
      </c>
      <c r="C1290" s="14" t="s">
        <v>142</v>
      </c>
      <c r="D1290" s="18">
        <f>VLOOKUP(C1290,'DISTRIBUIÇÃO NF4267'!$E$3:$FQ$75,MATCH(B1290,'DISTRIBUIÇÃO NF4267'!$E$3:$FQ$3,0)+1,0)</f>
        <v>4</v>
      </c>
      <c r="F1290" s="28">
        <f t="shared" si="64"/>
        <v>3</v>
      </c>
    </row>
    <row r="1291" spans="1:6" x14ac:dyDescent="0.35">
      <c r="A1291">
        <f t="shared" si="65"/>
        <v>0</v>
      </c>
      <c r="B1291">
        <f t="shared" si="63"/>
        <v>33</v>
      </c>
      <c r="C1291" s="14" t="s">
        <v>143</v>
      </c>
      <c r="D1291" s="18">
        <f>VLOOKUP(C1291,'DISTRIBUIÇÃO NF4267'!$E$3:$FQ$75,MATCH(B1291,'DISTRIBUIÇÃO NF4267'!$E$3:$FQ$3,0)+1,0)</f>
        <v>0</v>
      </c>
      <c r="F1291" s="28">
        <f t="shared" si="64"/>
        <v>3</v>
      </c>
    </row>
    <row r="1292" spans="1:6" x14ac:dyDescent="0.35">
      <c r="A1292">
        <f t="shared" si="65"/>
        <v>0</v>
      </c>
      <c r="B1292">
        <f t="shared" si="63"/>
        <v>33</v>
      </c>
      <c r="C1292" s="15" t="s">
        <v>145</v>
      </c>
      <c r="D1292" s="18">
        <f>VLOOKUP(C1292,'DISTRIBUIÇÃO NF4267'!$E$3:$FQ$75,MATCH(B1292,'DISTRIBUIÇÃO NF4267'!$E$3:$FQ$3,0)+1,0)</f>
        <v>0</v>
      </c>
      <c r="F1292" s="28">
        <f t="shared" si="64"/>
        <v>3</v>
      </c>
    </row>
    <row r="1293" spans="1:6" x14ac:dyDescent="0.35">
      <c r="A1293">
        <f t="shared" si="65"/>
        <v>0</v>
      </c>
      <c r="B1293">
        <f t="shared" si="63"/>
        <v>33</v>
      </c>
      <c r="C1293" s="15" t="s">
        <v>146</v>
      </c>
      <c r="D1293" s="18">
        <f>VLOOKUP(C1293,'DISTRIBUIÇÃO NF4267'!$E$3:$FQ$75,MATCH(B1293,'DISTRIBUIÇÃO NF4267'!$E$3:$FQ$3,0)+1,0)</f>
        <v>2</v>
      </c>
      <c r="F1293" s="28">
        <f t="shared" si="64"/>
        <v>3</v>
      </c>
    </row>
    <row r="1294" spans="1:6" x14ac:dyDescent="0.35">
      <c r="A1294">
        <f t="shared" si="65"/>
        <v>0</v>
      </c>
      <c r="B1294">
        <f t="shared" si="63"/>
        <v>33</v>
      </c>
      <c r="C1294" s="15" t="s">
        <v>147</v>
      </c>
      <c r="D1294" s="18">
        <f>VLOOKUP(C1294,'DISTRIBUIÇÃO NF4267'!$E$3:$FQ$75,MATCH(B1294,'DISTRIBUIÇÃO NF4267'!$E$3:$FQ$3,0)+1,0)</f>
        <v>4</v>
      </c>
      <c r="F1294" s="28">
        <f t="shared" si="64"/>
        <v>3</v>
      </c>
    </row>
    <row r="1295" spans="1:6" x14ac:dyDescent="0.35">
      <c r="A1295">
        <f t="shared" si="65"/>
        <v>0</v>
      </c>
      <c r="B1295">
        <f t="shared" si="63"/>
        <v>33</v>
      </c>
      <c r="C1295" s="15" t="s">
        <v>148</v>
      </c>
      <c r="D1295" s="18">
        <f>VLOOKUP(C1295,'DISTRIBUIÇÃO NF4267'!$E$3:$FQ$75,MATCH(B1295,'DISTRIBUIÇÃO NF4267'!$E$3:$FQ$3,0)+1,0)</f>
        <v>2</v>
      </c>
      <c r="F1295" s="28">
        <f t="shared" si="64"/>
        <v>3</v>
      </c>
    </row>
    <row r="1296" spans="1:6" x14ac:dyDescent="0.35">
      <c r="A1296">
        <f t="shared" si="65"/>
        <v>0</v>
      </c>
      <c r="B1296">
        <f t="shared" si="63"/>
        <v>33</v>
      </c>
      <c r="C1296" s="15" t="s">
        <v>149</v>
      </c>
      <c r="D1296" s="18">
        <f>VLOOKUP(C1296,'DISTRIBUIÇÃO NF4267'!$E$3:$FQ$75,MATCH(B1296,'DISTRIBUIÇÃO NF4267'!$E$3:$FQ$3,0)+1,0)</f>
        <v>2</v>
      </c>
      <c r="F1296" s="28">
        <f t="shared" si="64"/>
        <v>3</v>
      </c>
    </row>
    <row r="1297" spans="1:6" x14ac:dyDescent="0.35">
      <c r="A1297">
        <f t="shared" si="65"/>
        <v>0</v>
      </c>
      <c r="B1297">
        <f t="shared" si="63"/>
        <v>33</v>
      </c>
      <c r="C1297" s="15" t="s">
        <v>150</v>
      </c>
      <c r="D1297" s="18">
        <f>VLOOKUP(C1297,'DISTRIBUIÇÃO NF4267'!$E$3:$FQ$75,MATCH(B1297,'DISTRIBUIÇÃO NF4267'!$E$3:$FQ$3,0)+1,0)</f>
        <v>0</v>
      </c>
      <c r="F1297" s="28">
        <f t="shared" si="64"/>
        <v>3</v>
      </c>
    </row>
    <row r="1298" spans="1:6" x14ac:dyDescent="0.35">
      <c r="A1298">
        <f t="shared" si="65"/>
        <v>0</v>
      </c>
      <c r="B1298" t="s">
        <v>44</v>
      </c>
      <c r="C1298" s="7" t="s">
        <v>98</v>
      </c>
      <c r="D1298" s="18">
        <f>VLOOKUP(C1298,'DISTRIBUIÇÃO NF4267'!$E$3:$FQ$75,MATCH(B1298,'DISTRIBUIÇÃO NF4267'!$E$3:$FQ$3,0)+1,0)</f>
        <v>0</v>
      </c>
      <c r="F1298" s="28">
        <f t="shared" si="64"/>
        <v>3</v>
      </c>
    </row>
    <row r="1299" spans="1:6" x14ac:dyDescent="0.35">
      <c r="A1299">
        <f t="shared" si="65"/>
        <v>0</v>
      </c>
      <c r="B1299" t="str">
        <f>B1298</f>
        <v>J4</v>
      </c>
      <c r="C1299" s="7" t="s">
        <v>99</v>
      </c>
      <c r="D1299" s="18">
        <f>VLOOKUP(C1299,'DISTRIBUIÇÃO NF4267'!$E$3:$FQ$75,MATCH(B1299,'DISTRIBUIÇÃO NF4267'!$E$3:$FQ$3,0)+1,0)</f>
        <v>4</v>
      </c>
      <c r="F1299" s="28">
        <f t="shared" si="64"/>
        <v>3</v>
      </c>
    </row>
    <row r="1300" spans="1:6" x14ac:dyDescent="0.35">
      <c r="A1300">
        <f t="shared" si="65"/>
        <v>0</v>
      </c>
      <c r="B1300" t="str">
        <f t="shared" ref="B1300:B1351" si="66">B1299</f>
        <v>J4</v>
      </c>
      <c r="C1300" s="7" t="s">
        <v>100</v>
      </c>
      <c r="D1300" s="18">
        <f>VLOOKUP(C1300,'DISTRIBUIÇÃO NF4267'!$E$3:$FQ$75,MATCH(B1300,'DISTRIBUIÇÃO NF4267'!$E$3:$FQ$3,0)+1,0)</f>
        <v>8</v>
      </c>
      <c r="F1300" s="28">
        <f t="shared" si="64"/>
        <v>3</v>
      </c>
    </row>
    <row r="1301" spans="1:6" x14ac:dyDescent="0.35">
      <c r="A1301">
        <f t="shared" si="65"/>
        <v>0</v>
      </c>
      <c r="B1301" t="str">
        <f t="shared" si="66"/>
        <v>J4</v>
      </c>
      <c r="C1301" s="7" t="s">
        <v>101</v>
      </c>
      <c r="D1301" s="18">
        <f>VLOOKUP(C1301,'DISTRIBUIÇÃO NF4267'!$E$3:$FQ$75,MATCH(B1301,'DISTRIBUIÇÃO NF4267'!$E$3:$FQ$3,0)+1,0)</f>
        <v>4</v>
      </c>
      <c r="F1301" s="28">
        <f t="shared" si="64"/>
        <v>3</v>
      </c>
    </row>
    <row r="1302" spans="1:6" x14ac:dyDescent="0.35">
      <c r="A1302">
        <f t="shared" si="65"/>
        <v>0</v>
      </c>
      <c r="B1302" t="str">
        <f t="shared" si="66"/>
        <v>J4</v>
      </c>
      <c r="C1302" s="7" t="s">
        <v>102</v>
      </c>
      <c r="D1302" s="18">
        <f>VLOOKUP(C1302,'DISTRIBUIÇÃO NF4267'!$E$3:$FQ$75,MATCH(B1302,'DISTRIBUIÇÃO NF4267'!$E$3:$FQ$3,0)+1,0)</f>
        <v>4</v>
      </c>
      <c r="F1302" s="28">
        <f t="shared" si="64"/>
        <v>3</v>
      </c>
    </row>
    <row r="1303" spans="1:6" x14ac:dyDescent="0.35">
      <c r="A1303">
        <f t="shared" si="65"/>
        <v>0</v>
      </c>
      <c r="B1303" t="str">
        <f t="shared" si="66"/>
        <v>J4</v>
      </c>
      <c r="C1303" s="7" t="s">
        <v>103</v>
      </c>
      <c r="D1303" s="18">
        <f>VLOOKUP(C1303,'DISTRIBUIÇÃO NF4267'!$E$3:$FQ$75,MATCH(B1303,'DISTRIBUIÇÃO NF4267'!$E$3:$FQ$3,0)+1,0)</f>
        <v>0</v>
      </c>
      <c r="F1303" s="28">
        <f t="shared" si="64"/>
        <v>3</v>
      </c>
    </row>
    <row r="1304" spans="1:6" x14ac:dyDescent="0.35">
      <c r="A1304">
        <f t="shared" si="65"/>
        <v>0</v>
      </c>
      <c r="B1304" t="str">
        <f t="shared" si="66"/>
        <v>J4</v>
      </c>
      <c r="C1304" s="8" t="s">
        <v>107</v>
      </c>
      <c r="D1304" s="18">
        <f>VLOOKUP(C1304,'DISTRIBUIÇÃO NF4267'!$E$3:$FQ$75,MATCH(B1304,'DISTRIBUIÇÃO NF4267'!$E$3:$FQ$3,0)+1,0)</f>
        <v>0</v>
      </c>
      <c r="F1304" s="28">
        <f t="shared" si="64"/>
        <v>3</v>
      </c>
    </row>
    <row r="1305" spans="1:6" x14ac:dyDescent="0.35">
      <c r="A1305">
        <f t="shared" si="65"/>
        <v>0</v>
      </c>
      <c r="B1305" t="str">
        <f t="shared" si="66"/>
        <v>J4</v>
      </c>
      <c r="C1305" s="8" t="s">
        <v>108</v>
      </c>
      <c r="D1305" s="18">
        <f>VLOOKUP(C1305,'DISTRIBUIÇÃO NF4267'!$E$3:$FQ$75,MATCH(B1305,'DISTRIBUIÇÃO NF4267'!$E$3:$FQ$3,0)+1,0)</f>
        <v>2</v>
      </c>
      <c r="F1305" s="28">
        <f t="shared" si="64"/>
        <v>3</v>
      </c>
    </row>
    <row r="1306" spans="1:6" x14ac:dyDescent="0.35">
      <c r="A1306">
        <f t="shared" si="65"/>
        <v>0</v>
      </c>
      <c r="B1306" t="str">
        <f t="shared" si="66"/>
        <v>J4</v>
      </c>
      <c r="C1306" s="8" t="s">
        <v>109</v>
      </c>
      <c r="D1306" s="18">
        <f>VLOOKUP(C1306,'DISTRIBUIÇÃO NF4267'!$E$3:$FQ$75,MATCH(B1306,'DISTRIBUIÇÃO NF4267'!$E$3:$FQ$3,0)+1,0)</f>
        <v>4</v>
      </c>
      <c r="F1306" s="28">
        <f t="shared" si="64"/>
        <v>3</v>
      </c>
    </row>
    <row r="1307" spans="1:6" x14ac:dyDescent="0.35">
      <c r="A1307">
        <f t="shared" si="65"/>
        <v>0</v>
      </c>
      <c r="B1307" t="str">
        <f t="shared" si="66"/>
        <v>J4</v>
      </c>
      <c r="C1307" s="8" t="s">
        <v>110</v>
      </c>
      <c r="D1307" s="18">
        <f>VLOOKUP(C1307,'DISTRIBUIÇÃO NF4267'!$E$3:$FQ$75,MATCH(B1307,'DISTRIBUIÇÃO NF4267'!$E$3:$FQ$3,0)+1,0)</f>
        <v>2</v>
      </c>
      <c r="F1307" s="28">
        <f t="shared" si="64"/>
        <v>3</v>
      </c>
    </row>
    <row r="1308" spans="1:6" x14ac:dyDescent="0.35">
      <c r="A1308">
        <f t="shared" si="65"/>
        <v>0</v>
      </c>
      <c r="B1308" t="str">
        <f t="shared" si="66"/>
        <v>J4</v>
      </c>
      <c r="C1308" s="8" t="s">
        <v>111</v>
      </c>
      <c r="D1308" s="18">
        <f>VLOOKUP(C1308,'DISTRIBUIÇÃO NF4267'!$E$3:$FQ$75,MATCH(B1308,'DISTRIBUIÇÃO NF4267'!$E$3:$FQ$3,0)+1,0)</f>
        <v>2</v>
      </c>
      <c r="F1308" s="28">
        <f t="shared" si="64"/>
        <v>3</v>
      </c>
    </row>
    <row r="1309" spans="1:6" x14ac:dyDescent="0.35">
      <c r="A1309">
        <f t="shared" si="65"/>
        <v>0</v>
      </c>
      <c r="B1309" t="str">
        <f t="shared" si="66"/>
        <v>J4</v>
      </c>
      <c r="C1309" s="8" t="s">
        <v>112</v>
      </c>
      <c r="D1309" s="18">
        <f>VLOOKUP(C1309,'DISTRIBUIÇÃO NF4267'!$E$3:$FQ$75,MATCH(B1309,'DISTRIBUIÇÃO NF4267'!$E$3:$FQ$3,0)+1,0)</f>
        <v>0</v>
      </c>
      <c r="F1309" s="28">
        <f t="shared" si="64"/>
        <v>3</v>
      </c>
    </row>
    <row r="1310" spans="1:6" x14ac:dyDescent="0.35">
      <c r="A1310">
        <f t="shared" si="65"/>
        <v>0</v>
      </c>
      <c r="B1310" t="str">
        <f t="shared" si="66"/>
        <v>J4</v>
      </c>
      <c r="C1310" s="9" t="s">
        <v>113</v>
      </c>
      <c r="D1310" s="18">
        <f>VLOOKUP(C1310,'DISTRIBUIÇÃO NF4267'!$E$3:$FQ$75,MATCH(B1310,'DISTRIBUIÇÃO NF4267'!$E$3:$FQ$3,0)+1,0)</f>
        <v>0</v>
      </c>
      <c r="F1310" s="28">
        <f t="shared" si="64"/>
        <v>3</v>
      </c>
    </row>
    <row r="1311" spans="1:6" x14ac:dyDescent="0.35">
      <c r="A1311">
        <f t="shared" si="65"/>
        <v>0</v>
      </c>
      <c r="B1311" t="str">
        <f t="shared" si="66"/>
        <v>J4</v>
      </c>
      <c r="C1311" s="9" t="s">
        <v>114</v>
      </c>
      <c r="D1311" s="18">
        <f>VLOOKUP(C1311,'DISTRIBUIÇÃO NF4267'!$E$3:$FQ$75,MATCH(B1311,'DISTRIBUIÇÃO NF4267'!$E$3:$FQ$3,0)+1,0)</f>
        <v>6</v>
      </c>
      <c r="F1311" s="28">
        <f t="shared" si="64"/>
        <v>3</v>
      </c>
    </row>
    <row r="1312" spans="1:6" x14ac:dyDescent="0.35">
      <c r="A1312">
        <f t="shared" si="65"/>
        <v>0</v>
      </c>
      <c r="B1312" t="str">
        <f t="shared" si="66"/>
        <v>J4</v>
      </c>
      <c r="C1312" s="9" t="s">
        <v>115</v>
      </c>
      <c r="D1312" s="18">
        <f>VLOOKUP(C1312,'DISTRIBUIÇÃO NF4267'!$E$3:$FQ$75,MATCH(B1312,'DISTRIBUIÇÃO NF4267'!$E$3:$FQ$3,0)+1,0)</f>
        <v>8</v>
      </c>
      <c r="F1312" s="28">
        <f t="shared" si="64"/>
        <v>3</v>
      </c>
    </row>
    <row r="1313" spans="1:6" x14ac:dyDescent="0.35">
      <c r="A1313">
        <f t="shared" si="65"/>
        <v>0</v>
      </c>
      <c r="B1313" t="str">
        <f t="shared" si="66"/>
        <v>J4</v>
      </c>
      <c r="C1313" s="9" t="s">
        <v>116</v>
      </c>
      <c r="D1313" s="18">
        <f>VLOOKUP(C1313,'DISTRIBUIÇÃO NF4267'!$E$3:$FQ$75,MATCH(B1313,'DISTRIBUIÇÃO NF4267'!$E$3:$FQ$3,0)+1,0)</f>
        <v>4</v>
      </c>
      <c r="F1313" s="28">
        <f t="shared" si="64"/>
        <v>3</v>
      </c>
    </row>
    <row r="1314" spans="1:6" x14ac:dyDescent="0.35">
      <c r="A1314">
        <f t="shared" si="65"/>
        <v>0</v>
      </c>
      <c r="B1314" t="str">
        <f t="shared" si="66"/>
        <v>J4</v>
      </c>
      <c r="C1314" s="9" t="s">
        <v>117</v>
      </c>
      <c r="D1314" s="18">
        <f>VLOOKUP(C1314,'DISTRIBUIÇÃO NF4267'!$E$3:$FQ$75,MATCH(B1314,'DISTRIBUIÇÃO NF4267'!$E$3:$FQ$3,0)+1,0)</f>
        <v>2</v>
      </c>
      <c r="F1314" s="28">
        <f t="shared" si="64"/>
        <v>3</v>
      </c>
    </row>
    <row r="1315" spans="1:6" x14ac:dyDescent="0.35">
      <c r="A1315">
        <f t="shared" si="65"/>
        <v>0</v>
      </c>
      <c r="B1315" t="str">
        <f t="shared" si="66"/>
        <v>J4</v>
      </c>
      <c r="C1315" s="9" t="s">
        <v>118</v>
      </c>
      <c r="D1315" s="18">
        <f>VLOOKUP(C1315,'DISTRIBUIÇÃO NF4267'!$E$3:$FQ$75,MATCH(B1315,'DISTRIBUIÇÃO NF4267'!$E$3:$FQ$3,0)+1,0)</f>
        <v>0</v>
      </c>
      <c r="F1315" s="28">
        <f t="shared" si="64"/>
        <v>3</v>
      </c>
    </row>
    <row r="1316" spans="1:6" x14ac:dyDescent="0.35">
      <c r="A1316">
        <f t="shared" si="65"/>
        <v>0</v>
      </c>
      <c r="B1316" t="str">
        <f t="shared" si="66"/>
        <v>J4</v>
      </c>
      <c r="C1316" s="10" t="s">
        <v>119</v>
      </c>
      <c r="D1316" s="18">
        <f>VLOOKUP(C1316,'DISTRIBUIÇÃO NF4267'!$E$3:$FQ$75,MATCH(B1316,'DISTRIBUIÇÃO NF4267'!$E$3:$FQ$3,0)+1,0)</f>
        <v>0</v>
      </c>
      <c r="F1316" s="28">
        <f t="shared" si="64"/>
        <v>3</v>
      </c>
    </row>
    <row r="1317" spans="1:6" x14ac:dyDescent="0.35">
      <c r="A1317">
        <f t="shared" si="65"/>
        <v>0</v>
      </c>
      <c r="B1317" t="str">
        <f t="shared" si="66"/>
        <v>J4</v>
      </c>
      <c r="C1317" s="10" t="s">
        <v>120</v>
      </c>
      <c r="D1317" s="18">
        <f>VLOOKUP(C1317,'DISTRIBUIÇÃO NF4267'!$E$3:$FQ$75,MATCH(B1317,'DISTRIBUIÇÃO NF4267'!$E$3:$FQ$3,0)+1,0)</f>
        <v>48</v>
      </c>
      <c r="F1317" s="28">
        <f t="shared" si="64"/>
        <v>3</v>
      </c>
    </row>
    <row r="1318" spans="1:6" x14ac:dyDescent="0.35">
      <c r="A1318">
        <f t="shared" si="65"/>
        <v>0</v>
      </c>
      <c r="B1318" t="str">
        <f t="shared" si="66"/>
        <v>J4</v>
      </c>
      <c r="C1318" s="10" t="s">
        <v>121</v>
      </c>
      <c r="D1318" s="18">
        <f>VLOOKUP(C1318,'DISTRIBUIÇÃO NF4267'!$E$3:$FQ$75,MATCH(B1318,'DISTRIBUIÇÃO NF4267'!$E$3:$FQ$3,0)+1,0)</f>
        <v>16</v>
      </c>
      <c r="F1318" s="28">
        <f t="shared" si="64"/>
        <v>3</v>
      </c>
    </row>
    <row r="1319" spans="1:6" x14ac:dyDescent="0.35">
      <c r="A1319">
        <f t="shared" si="65"/>
        <v>0</v>
      </c>
      <c r="B1319" t="str">
        <f t="shared" si="66"/>
        <v>J4</v>
      </c>
      <c r="C1319" s="10" t="s">
        <v>122</v>
      </c>
      <c r="D1319" s="18">
        <f>VLOOKUP(C1319,'DISTRIBUIÇÃO NF4267'!$E$3:$FQ$75,MATCH(B1319,'DISTRIBUIÇÃO NF4267'!$E$3:$FQ$3,0)+1,0)</f>
        <v>16</v>
      </c>
      <c r="F1319" s="28">
        <f t="shared" si="64"/>
        <v>3</v>
      </c>
    </row>
    <row r="1320" spans="1:6" x14ac:dyDescent="0.35">
      <c r="A1320">
        <f t="shared" si="65"/>
        <v>0</v>
      </c>
      <c r="B1320" t="str">
        <f t="shared" si="66"/>
        <v>J4</v>
      </c>
      <c r="C1320" s="10" t="s">
        <v>123</v>
      </c>
      <c r="D1320" s="18">
        <f>VLOOKUP(C1320,'DISTRIBUIÇÃO NF4267'!$E$3:$FQ$75,MATCH(B1320,'DISTRIBUIÇÃO NF4267'!$E$3:$FQ$3,0)+1,0)</f>
        <v>0</v>
      </c>
      <c r="F1320" s="28">
        <f t="shared" si="64"/>
        <v>3</v>
      </c>
    </row>
    <row r="1321" spans="1:6" x14ac:dyDescent="0.35">
      <c r="A1321">
        <f t="shared" si="65"/>
        <v>0</v>
      </c>
      <c r="B1321" t="str">
        <f t="shared" si="66"/>
        <v>J4</v>
      </c>
      <c r="C1321" s="10" t="s">
        <v>124</v>
      </c>
      <c r="D1321" s="18">
        <f>VLOOKUP(C1321,'DISTRIBUIÇÃO NF4267'!$E$3:$FQ$75,MATCH(B1321,'DISTRIBUIÇÃO NF4267'!$E$3:$FQ$3,0)+1,0)</f>
        <v>0</v>
      </c>
      <c r="F1321" s="28">
        <f t="shared" si="64"/>
        <v>3</v>
      </c>
    </row>
    <row r="1322" spans="1:6" x14ac:dyDescent="0.35">
      <c r="A1322">
        <f t="shared" si="65"/>
        <v>0</v>
      </c>
      <c r="B1322" t="str">
        <f t="shared" si="66"/>
        <v>J4</v>
      </c>
      <c r="C1322" s="11" t="s">
        <v>16</v>
      </c>
      <c r="D1322" s="18">
        <f>VLOOKUP(C1322,'DISTRIBUIÇÃO NF4267'!$E$3:$FQ$75,MATCH(B1322,'DISTRIBUIÇÃO NF4267'!$E$3:$FQ$3,0)+1,0)</f>
        <v>0</v>
      </c>
      <c r="F1322" s="28">
        <f t="shared" si="64"/>
        <v>3</v>
      </c>
    </row>
    <row r="1323" spans="1:6" x14ac:dyDescent="0.35">
      <c r="A1323">
        <f t="shared" si="65"/>
        <v>0</v>
      </c>
      <c r="B1323" t="str">
        <f t="shared" si="66"/>
        <v>J4</v>
      </c>
      <c r="C1323" s="11" t="s">
        <v>17</v>
      </c>
      <c r="D1323" s="18">
        <f>VLOOKUP(C1323,'DISTRIBUIÇÃO NF4267'!$E$3:$FQ$75,MATCH(B1323,'DISTRIBUIÇÃO NF4267'!$E$3:$FQ$3,0)+1,0)</f>
        <v>9</v>
      </c>
      <c r="F1323" s="28">
        <f t="shared" si="64"/>
        <v>3</v>
      </c>
    </row>
    <row r="1324" spans="1:6" x14ac:dyDescent="0.35">
      <c r="A1324">
        <f t="shared" si="65"/>
        <v>0</v>
      </c>
      <c r="B1324" t="str">
        <f t="shared" si="66"/>
        <v>J4</v>
      </c>
      <c r="C1324" s="11" t="s">
        <v>18</v>
      </c>
      <c r="D1324" s="18">
        <f>VLOOKUP(C1324,'DISTRIBUIÇÃO NF4267'!$E$3:$FQ$75,MATCH(B1324,'DISTRIBUIÇÃO NF4267'!$E$3:$FQ$3,0)+1,0)</f>
        <v>3</v>
      </c>
      <c r="F1324" s="28">
        <f t="shared" si="64"/>
        <v>3</v>
      </c>
    </row>
    <row r="1325" spans="1:6" x14ac:dyDescent="0.35">
      <c r="A1325">
        <f t="shared" si="65"/>
        <v>0</v>
      </c>
      <c r="B1325" t="str">
        <f t="shared" si="66"/>
        <v>J4</v>
      </c>
      <c r="C1325" s="11" t="s">
        <v>19</v>
      </c>
      <c r="D1325" s="18">
        <f>VLOOKUP(C1325,'DISTRIBUIÇÃO NF4267'!$E$3:$FQ$75,MATCH(B1325,'DISTRIBUIÇÃO NF4267'!$E$3:$FQ$3,0)+1,0)</f>
        <v>3</v>
      </c>
      <c r="F1325" s="28">
        <f t="shared" si="64"/>
        <v>3</v>
      </c>
    </row>
    <row r="1326" spans="1:6" x14ac:dyDescent="0.35">
      <c r="A1326">
        <f t="shared" si="65"/>
        <v>0</v>
      </c>
      <c r="B1326" t="str">
        <f t="shared" si="66"/>
        <v>J4</v>
      </c>
      <c r="C1326" s="11" t="s">
        <v>20</v>
      </c>
      <c r="D1326" s="18">
        <f>VLOOKUP(C1326,'DISTRIBUIÇÃO NF4267'!$E$3:$FQ$75,MATCH(B1326,'DISTRIBUIÇÃO NF4267'!$E$3:$FQ$3,0)+1,0)</f>
        <v>15</v>
      </c>
      <c r="F1326" s="28">
        <f t="shared" si="64"/>
        <v>3</v>
      </c>
    </row>
    <row r="1327" spans="1:6" x14ac:dyDescent="0.35">
      <c r="A1327">
        <f t="shared" si="65"/>
        <v>0</v>
      </c>
      <c r="B1327" t="str">
        <f t="shared" si="66"/>
        <v>J4</v>
      </c>
      <c r="C1327" s="11" t="s">
        <v>21</v>
      </c>
      <c r="D1327" s="18">
        <f>VLOOKUP(C1327,'DISTRIBUIÇÃO NF4267'!$E$3:$FQ$75,MATCH(B1327,'DISTRIBUIÇÃO NF4267'!$E$3:$FQ$3,0)+1,0)</f>
        <v>0</v>
      </c>
      <c r="F1327" s="28">
        <f t="shared" si="64"/>
        <v>3</v>
      </c>
    </row>
    <row r="1328" spans="1:6" x14ac:dyDescent="0.35">
      <c r="A1328">
        <f t="shared" si="65"/>
        <v>0</v>
      </c>
      <c r="B1328" t="str">
        <f t="shared" si="66"/>
        <v>J4</v>
      </c>
      <c r="C1328" s="12" t="s">
        <v>130</v>
      </c>
      <c r="D1328" s="18">
        <f>VLOOKUP(C1328,'DISTRIBUIÇÃO NF4267'!$E$3:$FQ$75,MATCH(B1328,'DISTRIBUIÇÃO NF4267'!$E$3:$FQ$3,0)+1,0)</f>
        <v>0</v>
      </c>
      <c r="F1328" s="28">
        <f t="shared" si="64"/>
        <v>3</v>
      </c>
    </row>
    <row r="1329" spans="1:6" x14ac:dyDescent="0.35">
      <c r="A1329">
        <f t="shared" si="65"/>
        <v>0</v>
      </c>
      <c r="B1329" t="str">
        <f t="shared" si="66"/>
        <v>J4</v>
      </c>
      <c r="C1329" s="12" t="s">
        <v>131</v>
      </c>
      <c r="D1329" s="18">
        <f>VLOOKUP(C1329,'DISTRIBUIÇÃO NF4267'!$E$3:$FQ$75,MATCH(B1329,'DISTRIBUIÇÃO NF4267'!$E$3:$FQ$3,0)+1,0)</f>
        <v>1</v>
      </c>
      <c r="F1329" s="28">
        <f t="shared" si="64"/>
        <v>3</v>
      </c>
    </row>
    <row r="1330" spans="1:6" x14ac:dyDescent="0.35">
      <c r="A1330">
        <f t="shared" si="65"/>
        <v>0</v>
      </c>
      <c r="B1330" t="str">
        <f t="shared" si="66"/>
        <v>J4</v>
      </c>
      <c r="C1330" s="12" t="s">
        <v>132</v>
      </c>
      <c r="D1330" s="18">
        <f>VLOOKUP(C1330,'DISTRIBUIÇÃO NF4267'!$E$3:$FQ$75,MATCH(B1330,'DISTRIBUIÇÃO NF4267'!$E$3:$FQ$3,0)+1,0)</f>
        <v>4</v>
      </c>
      <c r="F1330" s="28">
        <f t="shared" si="64"/>
        <v>3</v>
      </c>
    </row>
    <row r="1331" spans="1:6" x14ac:dyDescent="0.35">
      <c r="A1331">
        <f t="shared" si="65"/>
        <v>0</v>
      </c>
      <c r="B1331" t="str">
        <f t="shared" si="66"/>
        <v>J4</v>
      </c>
      <c r="C1331" s="12" t="s">
        <v>133</v>
      </c>
      <c r="D1331" s="18">
        <f>VLOOKUP(C1331,'DISTRIBUIÇÃO NF4267'!$E$3:$FQ$75,MATCH(B1331,'DISTRIBUIÇÃO NF4267'!$E$3:$FQ$3,0)+1,0)</f>
        <v>3</v>
      </c>
      <c r="F1331" s="28">
        <f t="shared" si="64"/>
        <v>3</v>
      </c>
    </row>
    <row r="1332" spans="1:6" x14ac:dyDescent="0.35">
      <c r="A1332">
        <f t="shared" si="65"/>
        <v>0</v>
      </c>
      <c r="B1332" t="str">
        <f t="shared" si="66"/>
        <v>J4</v>
      </c>
      <c r="C1332" s="12" t="s">
        <v>134</v>
      </c>
      <c r="D1332" s="18">
        <f>VLOOKUP(C1332,'DISTRIBUIÇÃO NF4267'!$E$3:$FQ$75,MATCH(B1332,'DISTRIBUIÇÃO NF4267'!$E$3:$FQ$3,0)+1,0)</f>
        <v>2</v>
      </c>
      <c r="F1332" s="28">
        <f t="shared" si="64"/>
        <v>3</v>
      </c>
    </row>
    <row r="1333" spans="1:6" x14ac:dyDescent="0.35">
      <c r="A1333">
        <f t="shared" si="65"/>
        <v>0</v>
      </c>
      <c r="B1333" t="str">
        <f t="shared" si="66"/>
        <v>J4</v>
      </c>
      <c r="C1333" s="12" t="s">
        <v>135</v>
      </c>
      <c r="D1333" s="18">
        <f>VLOOKUP(C1333,'DISTRIBUIÇÃO NF4267'!$E$3:$FQ$75,MATCH(B1333,'DISTRIBUIÇÃO NF4267'!$E$3:$FQ$3,0)+1,0)</f>
        <v>0</v>
      </c>
      <c r="F1333" s="28">
        <f t="shared" si="64"/>
        <v>3</v>
      </c>
    </row>
    <row r="1334" spans="1:6" x14ac:dyDescent="0.35">
      <c r="A1334">
        <f t="shared" si="65"/>
        <v>0</v>
      </c>
      <c r="B1334" t="str">
        <f t="shared" si="66"/>
        <v>J4</v>
      </c>
      <c r="C1334" s="13" t="s">
        <v>22</v>
      </c>
      <c r="D1334" s="18">
        <f>VLOOKUP(C1334,'DISTRIBUIÇÃO NF4267'!$E$3:$FQ$75,MATCH(B1334,'DISTRIBUIÇÃO NF4267'!$E$3:$FQ$3,0)+1,0)</f>
        <v>0</v>
      </c>
      <c r="F1334" s="28">
        <f t="shared" si="64"/>
        <v>3</v>
      </c>
    </row>
    <row r="1335" spans="1:6" x14ac:dyDescent="0.35">
      <c r="A1335">
        <f t="shared" si="65"/>
        <v>0</v>
      </c>
      <c r="B1335" t="str">
        <f t="shared" si="66"/>
        <v>J4</v>
      </c>
      <c r="C1335" s="13" t="s">
        <v>23</v>
      </c>
      <c r="D1335" s="18">
        <f>VLOOKUP(C1335,'DISTRIBUIÇÃO NF4267'!$E$3:$FQ$75,MATCH(B1335,'DISTRIBUIÇÃO NF4267'!$E$3:$FQ$3,0)+1,0)</f>
        <v>1</v>
      </c>
      <c r="F1335" s="28">
        <f t="shared" si="64"/>
        <v>3</v>
      </c>
    </row>
    <row r="1336" spans="1:6" x14ac:dyDescent="0.35">
      <c r="A1336">
        <f t="shared" si="65"/>
        <v>0</v>
      </c>
      <c r="B1336" t="str">
        <f t="shared" si="66"/>
        <v>J4</v>
      </c>
      <c r="C1336" s="13" t="s">
        <v>24</v>
      </c>
      <c r="D1336" s="18">
        <f>VLOOKUP(C1336,'DISTRIBUIÇÃO NF4267'!$E$3:$FQ$75,MATCH(B1336,'DISTRIBUIÇÃO NF4267'!$E$3:$FQ$3,0)+1,0)</f>
        <v>6</v>
      </c>
      <c r="F1336" s="28">
        <f t="shared" ref="F1336:F1399" si="67">ROUNDUP(SUMIFS(D:D,B:B,B1336)/80,0)</f>
        <v>3</v>
      </c>
    </row>
    <row r="1337" spans="1:6" x14ac:dyDescent="0.35">
      <c r="A1337">
        <f t="shared" si="65"/>
        <v>0</v>
      </c>
      <c r="B1337" t="str">
        <f t="shared" si="66"/>
        <v>J4</v>
      </c>
      <c r="C1337" s="13" t="s">
        <v>25</v>
      </c>
      <c r="D1337" s="18">
        <f>VLOOKUP(C1337,'DISTRIBUIÇÃO NF4267'!$E$3:$FQ$75,MATCH(B1337,'DISTRIBUIÇÃO NF4267'!$E$3:$FQ$3,0)+1,0)</f>
        <v>2</v>
      </c>
      <c r="F1337" s="28">
        <f t="shared" si="67"/>
        <v>3</v>
      </c>
    </row>
    <row r="1338" spans="1:6" x14ac:dyDescent="0.35">
      <c r="A1338">
        <f t="shared" si="65"/>
        <v>0</v>
      </c>
      <c r="B1338" t="str">
        <f t="shared" si="66"/>
        <v>J4</v>
      </c>
      <c r="C1338" s="13" t="s">
        <v>26</v>
      </c>
      <c r="D1338" s="18">
        <f>VLOOKUP(C1338,'DISTRIBUIÇÃO NF4267'!$E$3:$FQ$75,MATCH(B1338,'DISTRIBUIÇÃO NF4267'!$E$3:$FQ$3,0)+1,0)</f>
        <v>1</v>
      </c>
      <c r="F1338" s="28">
        <f t="shared" si="67"/>
        <v>3</v>
      </c>
    </row>
    <row r="1339" spans="1:6" x14ac:dyDescent="0.35">
      <c r="A1339">
        <f t="shared" si="65"/>
        <v>0</v>
      </c>
      <c r="B1339" t="str">
        <f t="shared" si="66"/>
        <v>J4</v>
      </c>
      <c r="C1339" s="13" t="s">
        <v>27</v>
      </c>
      <c r="D1339" s="18">
        <f>VLOOKUP(C1339,'DISTRIBUIÇÃO NF4267'!$E$3:$FQ$75,MATCH(B1339,'DISTRIBUIÇÃO NF4267'!$E$3:$FQ$3,0)+1,0)</f>
        <v>0</v>
      </c>
      <c r="F1339" s="28">
        <f t="shared" si="67"/>
        <v>3</v>
      </c>
    </row>
    <row r="1340" spans="1:6" x14ac:dyDescent="0.35">
      <c r="A1340">
        <f t="shared" si="65"/>
        <v>0</v>
      </c>
      <c r="B1340" t="str">
        <f t="shared" si="66"/>
        <v>J4</v>
      </c>
      <c r="C1340" s="14" t="s">
        <v>138</v>
      </c>
      <c r="D1340" s="18">
        <f>VLOOKUP(C1340,'DISTRIBUIÇÃO NF4267'!$E$3:$FQ$75,MATCH(B1340,'DISTRIBUIÇÃO NF4267'!$E$3:$FQ$3,0)+1,0)</f>
        <v>0</v>
      </c>
      <c r="F1340" s="28">
        <f t="shared" si="67"/>
        <v>3</v>
      </c>
    </row>
    <row r="1341" spans="1:6" x14ac:dyDescent="0.35">
      <c r="A1341">
        <f t="shared" si="65"/>
        <v>0</v>
      </c>
      <c r="B1341" t="str">
        <f t="shared" si="66"/>
        <v>J4</v>
      </c>
      <c r="C1341" s="14" t="s">
        <v>139</v>
      </c>
      <c r="D1341" s="18">
        <f>VLOOKUP(C1341,'DISTRIBUIÇÃO NF4267'!$E$3:$FQ$75,MATCH(B1341,'DISTRIBUIÇÃO NF4267'!$E$3:$FQ$3,0)+1,0)</f>
        <v>4</v>
      </c>
      <c r="F1341" s="28">
        <f t="shared" si="67"/>
        <v>3</v>
      </c>
    </row>
    <row r="1342" spans="1:6" x14ac:dyDescent="0.35">
      <c r="A1342">
        <f t="shared" si="65"/>
        <v>0</v>
      </c>
      <c r="B1342" t="str">
        <f t="shared" si="66"/>
        <v>J4</v>
      </c>
      <c r="C1342" s="14" t="s">
        <v>140</v>
      </c>
      <c r="D1342" s="18">
        <f>VLOOKUP(C1342,'DISTRIBUIÇÃO NF4267'!$E$3:$FQ$75,MATCH(B1342,'DISTRIBUIÇÃO NF4267'!$E$3:$FQ$3,0)+1,0)</f>
        <v>8</v>
      </c>
      <c r="F1342" s="28">
        <f t="shared" si="67"/>
        <v>3</v>
      </c>
    </row>
    <row r="1343" spans="1:6" x14ac:dyDescent="0.35">
      <c r="A1343">
        <f t="shared" si="65"/>
        <v>0</v>
      </c>
      <c r="B1343" t="str">
        <f t="shared" si="66"/>
        <v>J4</v>
      </c>
      <c r="C1343" s="14" t="s">
        <v>141</v>
      </c>
      <c r="D1343" s="18">
        <f>VLOOKUP(C1343,'DISTRIBUIÇÃO NF4267'!$E$3:$FQ$75,MATCH(B1343,'DISTRIBUIÇÃO NF4267'!$E$3:$FQ$3,0)+1,0)</f>
        <v>4</v>
      </c>
      <c r="F1343" s="28">
        <f t="shared" si="67"/>
        <v>3</v>
      </c>
    </row>
    <row r="1344" spans="1:6" x14ac:dyDescent="0.35">
      <c r="A1344">
        <f t="shared" si="65"/>
        <v>0</v>
      </c>
      <c r="B1344" t="str">
        <f t="shared" si="66"/>
        <v>J4</v>
      </c>
      <c r="C1344" s="14" t="s">
        <v>142</v>
      </c>
      <c r="D1344" s="18">
        <f>VLOOKUP(C1344,'DISTRIBUIÇÃO NF4267'!$E$3:$FQ$75,MATCH(B1344,'DISTRIBUIÇÃO NF4267'!$E$3:$FQ$3,0)+1,0)</f>
        <v>4</v>
      </c>
      <c r="F1344" s="28">
        <f t="shared" si="67"/>
        <v>3</v>
      </c>
    </row>
    <row r="1345" spans="1:6" x14ac:dyDescent="0.35">
      <c r="A1345">
        <f t="shared" si="65"/>
        <v>0</v>
      </c>
      <c r="B1345" t="str">
        <f t="shared" si="66"/>
        <v>J4</v>
      </c>
      <c r="C1345" s="14" t="s">
        <v>143</v>
      </c>
      <c r="D1345" s="18">
        <f>VLOOKUP(C1345,'DISTRIBUIÇÃO NF4267'!$E$3:$FQ$75,MATCH(B1345,'DISTRIBUIÇÃO NF4267'!$E$3:$FQ$3,0)+1,0)</f>
        <v>0</v>
      </c>
      <c r="F1345" s="28">
        <f t="shared" si="67"/>
        <v>3</v>
      </c>
    </row>
    <row r="1346" spans="1:6" x14ac:dyDescent="0.35">
      <c r="A1346">
        <f t="shared" ref="A1346:A1409" si="68">IF(ISERROR(VLOOKUP(C1346,I:I,1,0)),0,1)</f>
        <v>0</v>
      </c>
      <c r="B1346" t="str">
        <f t="shared" si="66"/>
        <v>J4</v>
      </c>
      <c r="C1346" s="15" t="s">
        <v>145</v>
      </c>
      <c r="D1346" s="18">
        <f>VLOOKUP(C1346,'DISTRIBUIÇÃO NF4267'!$E$3:$FQ$75,MATCH(B1346,'DISTRIBUIÇÃO NF4267'!$E$3:$FQ$3,0)+1,0)</f>
        <v>0</v>
      </c>
      <c r="F1346" s="28">
        <f t="shared" si="67"/>
        <v>3</v>
      </c>
    </row>
    <row r="1347" spans="1:6" x14ac:dyDescent="0.35">
      <c r="A1347">
        <f t="shared" si="68"/>
        <v>0</v>
      </c>
      <c r="B1347" t="str">
        <f t="shared" si="66"/>
        <v>J4</v>
      </c>
      <c r="C1347" s="15" t="s">
        <v>146</v>
      </c>
      <c r="D1347" s="18">
        <f>VLOOKUP(C1347,'DISTRIBUIÇÃO NF4267'!$E$3:$FQ$75,MATCH(B1347,'DISTRIBUIÇÃO NF4267'!$E$3:$FQ$3,0)+1,0)</f>
        <v>2</v>
      </c>
      <c r="F1347" s="28">
        <f t="shared" si="67"/>
        <v>3</v>
      </c>
    </row>
    <row r="1348" spans="1:6" x14ac:dyDescent="0.35">
      <c r="A1348">
        <f t="shared" si="68"/>
        <v>0</v>
      </c>
      <c r="B1348" t="str">
        <f t="shared" si="66"/>
        <v>J4</v>
      </c>
      <c r="C1348" s="15" t="s">
        <v>147</v>
      </c>
      <c r="D1348" s="18">
        <f>VLOOKUP(C1348,'DISTRIBUIÇÃO NF4267'!$E$3:$FQ$75,MATCH(B1348,'DISTRIBUIÇÃO NF4267'!$E$3:$FQ$3,0)+1,0)</f>
        <v>4</v>
      </c>
      <c r="F1348" s="28">
        <f t="shared" si="67"/>
        <v>3</v>
      </c>
    </row>
    <row r="1349" spans="1:6" x14ac:dyDescent="0.35">
      <c r="A1349">
        <f t="shared" si="68"/>
        <v>0</v>
      </c>
      <c r="B1349" t="str">
        <f t="shared" si="66"/>
        <v>J4</v>
      </c>
      <c r="C1349" s="15" t="s">
        <v>148</v>
      </c>
      <c r="D1349" s="18">
        <f>VLOOKUP(C1349,'DISTRIBUIÇÃO NF4267'!$E$3:$FQ$75,MATCH(B1349,'DISTRIBUIÇÃO NF4267'!$E$3:$FQ$3,0)+1,0)</f>
        <v>2</v>
      </c>
      <c r="F1349" s="28">
        <f t="shared" si="67"/>
        <v>3</v>
      </c>
    </row>
    <row r="1350" spans="1:6" x14ac:dyDescent="0.35">
      <c r="A1350">
        <f t="shared" si="68"/>
        <v>0</v>
      </c>
      <c r="B1350" t="str">
        <f t="shared" si="66"/>
        <v>J4</v>
      </c>
      <c r="C1350" s="15" t="s">
        <v>149</v>
      </c>
      <c r="D1350" s="18">
        <f>VLOOKUP(C1350,'DISTRIBUIÇÃO NF4267'!$E$3:$FQ$75,MATCH(B1350,'DISTRIBUIÇÃO NF4267'!$E$3:$FQ$3,0)+1,0)</f>
        <v>2</v>
      </c>
      <c r="F1350" s="28">
        <f t="shared" si="67"/>
        <v>3</v>
      </c>
    </row>
    <row r="1351" spans="1:6" x14ac:dyDescent="0.35">
      <c r="A1351">
        <f t="shared" si="68"/>
        <v>0</v>
      </c>
      <c r="B1351" t="str">
        <f t="shared" si="66"/>
        <v>J4</v>
      </c>
      <c r="C1351" s="15" t="s">
        <v>150</v>
      </c>
      <c r="D1351" s="18">
        <f>VLOOKUP(C1351,'DISTRIBUIÇÃO NF4267'!$E$3:$FQ$75,MATCH(B1351,'DISTRIBUIÇÃO NF4267'!$E$3:$FQ$3,0)+1,0)</f>
        <v>0</v>
      </c>
      <c r="F1351" s="28">
        <f t="shared" si="67"/>
        <v>3</v>
      </c>
    </row>
    <row r="1352" spans="1:6" x14ac:dyDescent="0.35">
      <c r="A1352">
        <f t="shared" si="68"/>
        <v>0</v>
      </c>
      <c r="B1352" t="s">
        <v>45</v>
      </c>
      <c r="C1352" s="7" t="s">
        <v>98</v>
      </c>
      <c r="D1352" s="18">
        <f>VLOOKUP(C1352,'DISTRIBUIÇÃO NF4267'!$E$3:$FQ$75,MATCH(B1352,'DISTRIBUIÇÃO NF4267'!$E$3:$FQ$3,0)+1,0)</f>
        <v>0</v>
      </c>
      <c r="F1352" s="28">
        <f t="shared" si="67"/>
        <v>3</v>
      </c>
    </row>
    <row r="1353" spans="1:6" x14ac:dyDescent="0.35">
      <c r="A1353">
        <f t="shared" si="68"/>
        <v>0</v>
      </c>
      <c r="B1353" t="str">
        <f>B1352</f>
        <v>J1</v>
      </c>
      <c r="C1353" s="7" t="s">
        <v>99</v>
      </c>
      <c r="D1353" s="18">
        <f>VLOOKUP(C1353,'DISTRIBUIÇÃO NF4267'!$E$3:$FQ$75,MATCH(B1353,'DISTRIBUIÇÃO NF4267'!$E$3:$FQ$3,0)+1,0)</f>
        <v>4</v>
      </c>
      <c r="F1353" s="28">
        <f t="shared" si="67"/>
        <v>3</v>
      </c>
    </row>
    <row r="1354" spans="1:6" x14ac:dyDescent="0.35">
      <c r="A1354">
        <f t="shared" si="68"/>
        <v>0</v>
      </c>
      <c r="B1354" t="str">
        <f t="shared" ref="B1354:B1405" si="69">B1353</f>
        <v>J1</v>
      </c>
      <c r="C1354" s="7" t="s">
        <v>100</v>
      </c>
      <c r="D1354" s="18">
        <f>VLOOKUP(C1354,'DISTRIBUIÇÃO NF4267'!$E$3:$FQ$75,MATCH(B1354,'DISTRIBUIÇÃO NF4267'!$E$3:$FQ$3,0)+1,0)</f>
        <v>8</v>
      </c>
      <c r="F1354" s="28">
        <f t="shared" si="67"/>
        <v>3</v>
      </c>
    </row>
    <row r="1355" spans="1:6" x14ac:dyDescent="0.35">
      <c r="A1355">
        <f t="shared" si="68"/>
        <v>0</v>
      </c>
      <c r="B1355" t="str">
        <f t="shared" si="69"/>
        <v>J1</v>
      </c>
      <c r="C1355" s="7" t="s">
        <v>101</v>
      </c>
      <c r="D1355" s="18">
        <f>VLOOKUP(C1355,'DISTRIBUIÇÃO NF4267'!$E$3:$FQ$75,MATCH(B1355,'DISTRIBUIÇÃO NF4267'!$E$3:$FQ$3,0)+1,0)</f>
        <v>4</v>
      </c>
      <c r="F1355" s="28">
        <f t="shared" si="67"/>
        <v>3</v>
      </c>
    </row>
    <row r="1356" spans="1:6" x14ac:dyDescent="0.35">
      <c r="A1356">
        <f t="shared" si="68"/>
        <v>0</v>
      </c>
      <c r="B1356" t="str">
        <f t="shared" si="69"/>
        <v>J1</v>
      </c>
      <c r="C1356" s="7" t="s">
        <v>102</v>
      </c>
      <c r="D1356" s="18">
        <f>VLOOKUP(C1356,'DISTRIBUIÇÃO NF4267'!$E$3:$FQ$75,MATCH(B1356,'DISTRIBUIÇÃO NF4267'!$E$3:$FQ$3,0)+1,0)</f>
        <v>4</v>
      </c>
      <c r="F1356" s="28">
        <f t="shared" si="67"/>
        <v>3</v>
      </c>
    </row>
    <row r="1357" spans="1:6" x14ac:dyDescent="0.35">
      <c r="A1357">
        <f t="shared" si="68"/>
        <v>0</v>
      </c>
      <c r="B1357" t="str">
        <f t="shared" si="69"/>
        <v>J1</v>
      </c>
      <c r="C1357" s="7" t="s">
        <v>103</v>
      </c>
      <c r="D1357" s="18">
        <f>VLOOKUP(C1357,'DISTRIBUIÇÃO NF4267'!$E$3:$FQ$75,MATCH(B1357,'DISTRIBUIÇÃO NF4267'!$E$3:$FQ$3,0)+1,0)</f>
        <v>0</v>
      </c>
      <c r="F1357" s="28">
        <f t="shared" si="67"/>
        <v>3</v>
      </c>
    </row>
    <row r="1358" spans="1:6" x14ac:dyDescent="0.35">
      <c r="A1358">
        <f t="shared" si="68"/>
        <v>0</v>
      </c>
      <c r="B1358" t="str">
        <f t="shared" si="69"/>
        <v>J1</v>
      </c>
      <c r="C1358" s="8" t="s">
        <v>107</v>
      </c>
      <c r="D1358" s="18">
        <f>VLOOKUP(C1358,'DISTRIBUIÇÃO NF4267'!$E$3:$FQ$75,MATCH(B1358,'DISTRIBUIÇÃO NF4267'!$E$3:$FQ$3,0)+1,0)</f>
        <v>0</v>
      </c>
      <c r="F1358" s="28">
        <f t="shared" si="67"/>
        <v>3</v>
      </c>
    </row>
    <row r="1359" spans="1:6" x14ac:dyDescent="0.35">
      <c r="A1359">
        <f t="shared" si="68"/>
        <v>0</v>
      </c>
      <c r="B1359" t="str">
        <f t="shared" si="69"/>
        <v>J1</v>
      </c>
      <c r="C1359" s="8" t="s">
        <v>108</v>
      </c>
      <c r="D1359" s="18">
        <f>VLOOKUP(C1359,'DISTRIBUIÇÃO NF4267'!$E$3:$FQ$75,MATCH(B1359,'DISTRIBUIÇÃO NF4267'!$E$3:$FQ$3,0)+1,0)</f>
        <v>2</v>
      </c>
      <c r="F1359" s="28">
        <f t="shared" si="67"/>
        <v>3</v>
      </c>
    </row>
    <row r="1360" spans="1:6" x14ac:dyDescent="0.35">
      <c r="A1360">
        <f t="shared" si="68"/>
        <v>0</v>
      </c>
      <c r="B1360" t="str">
        <f t="shared" si="69"/>
        <v>J1</v>
      </c>
      <c r="C1360" s="8" t="s">
        <v>109</v>
      </c>
      <c r="D1360" s="18">
        <f>VLOOKUP(C1360,'DISTRIBUIÇÃO NF4267'!$E$3:$FQ$75,MATCH(B1360,'DISTRIBUIÇÃO NF4267'!$E$3:$FQ$3,0)+1,0)</f>
        <v>4</v>
      </c>
      <c r="F1360" s="28">
        <f t="shared" si="67"/>
        <v>3</v>
      </c>
    </row>
    <row r="1361" spans="1:6" x14ac:dyDescent="0.35">
      <c r="A1361">
        <f t="shared" si="68"/>
        <v>0</v>
      </c>
      <c r="B1361" t="str">
        <f t="shared" si="69"/>
        <v>J1</v>
      </c>
      <c r="C1361" s="8" t="s">
        <v>110</v>
      </c>
      <c r="D1361" s="18">
        <f>VLOOKUP(C1361,'DISTRIBUIÇÃO NF4267'!$E$3:$FQ$75,MATCH(B1361,'DISTRIBUIÇÃO NF4267'!$E$3:$FQ$3,0)+1,0)</f>
        <v>2</v>
      </c>
      <c r="F1361" s="28">
        <f t="shared" si="67"/>
        <v>3</v>
      </c>
    </row>
    <row r="1362" spans="1:6" x14ac:dyDescent="0.35">
      <c r="A1362">
        <f t="shared" si="68"/>
        <v>0</v>
      </c>
      <c r="B1362" t="str">
        <f t="shared" si="69"/>
        <v>J1</v>
      </c>
      <c r="C1362" s="8" t="s">
        <v>111</v>
      </c>
      <c r="D1362" s="18">
        <f>VLOOKUP(C1362,'DISTRIBUIÇÃO NF4267'!$E$3:$FQ$75,MATCH(B1362,'DISTRIBUIÇÃO NF4267'!$E$3:$FQ$3,0)+1,0)</f>
        <v>2</v>
      </c>
      <c r="F1362" s="28">
        <f t="shared" si="67"/>
        <v>3</v>
      </c>
    </row>
    <row r="1363" spans="1:6" x14ac:dyDescent="0.35">
      <c r="A1363">
        <f t="shared" si="68"/>
        <v>0</v>
      </c>
      <c r="B1363" t="str">
        <f t="shared" si="69"/>
        <v>J1</v>
      </c>
      <c r="C1363" s="8" t="s">
        <v>112</v>
      </c>
      <c r="D1363" s="18">
        <f>VLOOKUP(C1363,'DISTRIBUIÇÃO NF4267'!$E$3:$FQ$75,MATCH(B1363,'DISTRIBUIÇÃO NF4267'!$E$3:$FQ$3,0)+1,0)</f>
        <v>0</v>
      </c>
      <c r="F1363" s="28">
        <f t="shared" si="67"/>
        <v>3</v>
      </c>
    </row>
    <row r="1364" spans="1:6" x14ac:dyDescent="0.35">
      <c r="A1364">
        <f t="shared" si="68"/>
        <v>0</v>
      </c>
      <c r="B1364" t="str">
        <f t="shared" si="69"/>
        <v>J1</v>
      </c>
      <c r="C1364" s="9" t="s">
        <v>113</v>
      </c>
      <c r="D1364" s="18">
        <f>VLOOKUP(C1364,'DISTRIBUIÇÃO NF4267'!$E$3:$FQ$75,MATCH(B1364,'DISTRIBUIÇÃO NF4267'!$E$3:$FQ$3,0)+1,0)</f>
        <v>0</v>
      </c>
      <c r="F1364" s="28">
        <f t="shared" si="67"/>
        <v>3</v>
      </c>
    </row>
    <row r="1365" spans="1:6" x14ac:dyDescent="0.35">
      <c r="A1365">
        <f t="shared" si="68"/>
        <v>0</v>
      </c>
      <c r="B1365" t="str">
        <f t="shared" si="69"/>
        <v>J1</v>
      </c>
      <c r="C1365" s="9" t="s">
        <v>114</v>
      </c>
      <c r="D1365" s="18">
        <f>VLOOKUP(C1365,'DISTRIBUIÇÃO NF4267'!$E$3:$FQ$75,MATCH(B1365,'DISTRIBUIÇÃO NF4267'!$E$3:$FQ$3,0)+1,0)</f>
        <v>6</v>
      </c>
      <c r="F1365" s="28">
        <f t="shared" si="67"/>
        <v>3</v>
      </c>
    </row>
    <row r="1366" spans="1:6" x14ac:dyDescent="0.35">
      <c r="A1366">
        <f t="shared" si="68"/>
        <v>0</v>
      </c>
      <c r="B1366" t="str">
        <f t="shared" si="69"/>
        <v>J1</v>
      </c>
      <c r="C1366" s="9" t="s">
        <v>115</v>
      </c>
      <c r="D1366" s="18">
        <f>VLOOKUP(C1366,'DISTRIBUIÇÃO NF4267'!$E$3:$FQ$75,MATCH(B1366,'DISTRIBUIÇÃO NF4267'!$E$3:$FQ$3,0)+1,0)</f>
        <v>8</v>
      </c>
      <c r="F1366" s="28">
        <f t="shared" si="67"/>
        <v>3</v>
      </c>
    </row>
    <row r="1367" spans="1:6" x14ac:dyDescent="0.35">
      <c r="A1367">
        <f t="shared" si="68"/>
        <v>0</v>
      </c>
      <c r="B1367" t="str">
        <f t="shared" si="69"/>
        <v>J1</v>
      </c>
      <c r="C1367" s="9" t="s">
        <v>116</v>
      </c>
      <c r="D1367" s="18">
        <f>VLOOKUP(C1367,'DISTRIBUIÇÃO NF4267'!$E$3:$FQ$75,MATCH(B1367,'DISTRIBUIÇÃO NF4267'!$E$3:$FQ$3,0)+1,0)</f>
        <v>4</v>
      </c>
      <c r="F1367" s="28">
        <f t="shared" si="67"/>
        <v>3</v>
      </c>
    </row>
    <row r="1368" spans="1:6" x14ac:dyDescent="0.35">
      <c r="A1368">
        <f t="shared" si="68"/>
        <v>0</v>
      </c>
      <c r="B1368" t="str">
        <f t="shared" si="69"/>
        <v>J1</v>
      </c>
      <c r="C1368" s="9" t="s">
        <v>117</v>
      </c>
      <c r="D1368" s="18">
        <f>VLOOKUP(C1368,'DISTRIBUIÇÃO NF4267'!$E$3:$FQ$75,MATCH(B1368,'DISTRIBUIÇÃO NF4267'!$E$3:$FQ$3,0)+1,0)</f>
        <v>2</v>
      </c>
      <c r="F1368" s="28">
        <f t="shared" si="67"/>
        <v>3</v>
      </c>
    </row>
    <row r="1369" spans="1:6" x14ac:dyDescent="0.35">
      <c r="A1369">
        <f t="shared" si="68"/>
        <v>0</v>
      </c>
      <c r="B1369" t="str">
        <f t="shared" si="69"/>
        <v>J1</v>
      </c>
      <c r="C1369" s="9" t="s">
        <v>118</v>
      </c>
      <c r="D1369" s="18">
        <f>VLOOKUP(C1369,'DISTRIBUIÇÃO NF4267'!$E$3:$FQ$75,MATCH(B1369,'DISTRIBUIÇÃO NF4267'!$E$3:$FQ$3,0)+1,0)</f>
        <v>0</v>
      </c>
      <c r="F1369" s="28">
        <f t="shared" si="67"/>
        <v>3</v>
      </c>
    </row>
    <row r="1370" spans="1:6" x14ac:dyDescent="0.35">
      <c r="A1370">
        <f t="shared" si="68"/>
        <v>0</v>
      </c>
      <c r="B1370" t="str">
        <f t="shared" si="69"/>
        <v>J1</v>
      </c>
      <c r="C1370" s="10" t="s">
        <v>119</v>
      </c>
      <c r="D1370" s="18">
        <f>VLOOKUP(C1370,'DISTRIBUIÇÃO NF4267'!$E$3:$FQ$75,MATCH(B1370,'DISTRIBUIÇÃO NF4267'!$E$3:$FQ$3,0)+1,0)</f>
        <v>0</v>
      </c>
      <c r="F1370" s="28">
        <f t="shared" si="67"/>
        <v>3</v>
      </c>
    </row>
    <row r="1371" spans="1:6" x14ac:dyDescent="0.35">
      <c r="A1371">
        <f t="shared" si="68"/>
        <v>0</v>
      </c>
      <c r="B1371" t="str">
        <f t="shared" si="69"/>
        <v>J1</v>
      </c>
      <c r="C1371" s="10" t="s">
        <v>120</v>
      </c>
      <c r="D1371" s="18">
        <f>VLOOKUP(C1371,'DISTRIBUIÇÃO NF4267'!$E$3:$FQ$75,MATCH(B1371,'DISTRIBUIÇÃO NF4267'!$E$3:$FQ$3,0)+1,0)</f>
        <v>48</v>
      </c>
      <c r="F1371" s="28">
        <f t="shared" si="67"/>
        <v>3</v>
      </c>
    </row>
    <row r="1372" spans="1:6" x14ac:dyDescent="0.35">
      <c r="A1372">
        <f t="shared" si="68"/>
        <v>0</v>
      </c>
      <c r="B1372" t="str">
        <f t="shared" si="69"/>
        <v>J1</v>
      </c>
      <c r="C1372" s="10" t="s">
        <v>121</v>
      </c>
      <c r="D1372" s="18">
        <f>VLOOKUP(C1372,'DISTRIBUIÇÃO NF4267'!$E$3:$FQ$75,MATCH(B1372,'DISTRIBUIÇÃO NF4267'!$E$3:$FQ$3,0)+1,0)</f>
        <v>16</v>
      </c>
      <c r="F1372" s="28">
        <f t="shared" si="67"/>
        <v>3</v>
      </c>
    </row>
    <row r="1373" spans="1:6" x14ac:dyDescent="0.35">
      <c r="A1373">
        <f t="shared" si="68"/>
        <v>0</v>
      </c>
      <c r="B1373" t="str">
        <f t="shared" si="69"/>
        <v>J1</v>
      </c>
      <c r="C1373" s="10" t="s">
        <v>122</v>
      </c>
      <c r="D1373" s="18">
        <f>VLOOKUP(C1373,'DISTRIBUIÇÃO NF4267'!$E$3:$FQ$75,MATCH(B1373,'DISTRIBUIÇÃO NF4267'!$E$3:$FQ$3,0)+1,0)</f>
        <v>16</v>
      </c>
      <c r="F1373" s="28">
        <f t="shared" si="67"/>
        <v>3</v>
      </c>
    </row>
    <row r="1374" spans="1:6" x14ac:dyDescent="0.35">
      <c r="A1374">
        <f t="shared" si="68"/>
        <v>0</v>
      </c>
      <c r="B1374" t="str">
        <f t="shared" si="69"/>
        <v>J1</v>
      </c>
      <c r="C1374" s="10" t="s">
        <v>123</v>
      </c>
      <c r="D1374" s="18">
        <f>VLOOKUP(C1374,'DISTRIBUIÇÃO NF4267'!$E$3:$FQ$75,MATCH(B1374,'DISTRIBUIÇÃO NF4267'!$E$3:$FQ$3,0)+1,0)</f>
        <v>0</v>
      </c>
      <c r="F1374" s="28">
        <f t="shared" si="67"/>
        <v>3</v>
      </c>
    </row>
    <row r="1375" spans="1:6" x14ac:dyDescent="0.35">
      <c r="A1375">
        <f t="shared" si="68"/>
        <v>0</v>
      </c>
      <c r="B1375" t="str">
        <f t="shared" si="69"/>
        <v>J1</v>
      </c>
      <c r="C1375" s="10" t="s">
        <v>124</v>
      </c>
      <c r="D1375" s="18">
        <f>VLOOKUP(C1375,'DISTRIBUIÇÃO NF4267'!$E$3:$FQ$75,MATCH(B1375,'DISTRIBUIÇÃO NF4267'!$E$3:$FQ$3,0)+1,0)</f>
        <v>0</v>
      </c>
      <c r="F1375" s="28">
        <f t="shared" si="67"/>
        <v>3</v>
      </c>
    </row>
    <row r="1376" spans="1:6" x14ac:dyDescent="0.35">
      <c r="A1376">
        <f t="shared" si="68"/>
        <v>0</v>
      </c>
      <c r="B1376" t="str">
        <f t="shared" si="69"/>
        <v>J1</v>
      </c>
      <c r="C1376" s="11" t="s">
        <v>16</v>
      </c>
      <c r="D1376" s="18">
        <f>VLOOKUP(C1376,'DISTRIBUIÇÃO NF4267'!$E$3:$FQ$75,MATCH(B1376,'DISTRIBUIÇÃO NF4267'!$E$3:$FQ$3,0)+1,0)</f>
        <v>0</v>
      </c>
      <c r="F1376" s="28">
        <f t="shared" si="67"/>
        <v>3</v>
      </c>
    </row>
    <row r="1377" spans="1:6" x14ac:dyDescent="0.35">
      <c r="A1377">
        <f t="shared" si="68"/>
        <v>0</v>
      </c>
      <c r="B1377" t="str">
        <f t="shared" si="69"/>
        <v>J1</v>
      </c>
      <c r="C1377" s="11" t="s">
        <v>17</v>
      </c>
      <c r="D1377" s="18">
        <f>VLOOKUP(C1377,'DISTRIBUIÇÃO NF4267'!$E$3:$FQ$75,MATCH(B1377,'DISTRIBUIÇÃO NF4267'!$E$3:$FQ$3,0)+1,0)</f>
        <v>9</v>
      </c>
      <c r="F1377" s="28">
        <f t="shared" si="67"/>
        <v>3</v>
      </c>
    </row>
    <row r="1378" spans="1:6" x14ac:dyDescent="0.35">
      <c r="A1378">
        <f t="shared" si="68"/>
        <v>0</v>
      </c>
      <c r="B1378" t="str">
        <f t="shared" si="69"/>
        <v>J1</v>
      </c>
      <c r="C1378" s="11" t="s">
        <v>18</v>
      </c>
      <c r="D1378" s="18">
        <f>VLOOKUP(C1378,'DISTRIBUIÇÃO NF4267'!$E$3:$FQ$75,MATCH(B1378,'DISTRIBUIÇÃO NF4267'!$E$3:$FQ$3,0)+1,0)</f>
        <v>3</v>
      </c>
      <c r="F1378" s="28">
        <f t="shared" si="67"/>
        <v>3</v>
      </c>
    </row>
    <row r="1379" spans="1:6" x14ac:dyDescent="0.35">
      <c r="A1379">
        <f t="shared" si="68"/>
        <v>0</v>
      </c>
      <c r="B1379" t="str">
        <f t="shared" si="69"/>
        <v>J1</v>
      </c>
      <c r="C1379" s="11" t="s">
        <v>19</v>
      </c>
      <c r="D1379" s="18">
        <f>VLOOKUP(C1379,'DISTRIBUIÇÃO NF4267'!$E$3:$FQ$75,MATCH(B1379,'DISTRIBUIÇÃO NF4267'!$E$3:$FQ$3,0)+1,0)</f>
        <v>3</v>
      </c>
      <c r="F1379" s="28">
        <f t="shared" si="67"/>
        <v>3</v>
      </c>
    </row>
    <row r="1380" spans="1:6" x14ac:dyDescent="0.35">
      <c r="A1380">
        <f t="shared" si="68"/>
        <v>0</v>
      </c>
      <c r="B1380" t="str">
        <f t="shared" si="69"/>
        <v>J1</v>
      </c>
      <c r="C1380" s="11" t="s">
        <v>20</v>
      </c>
      <c r="D1380" s="18">
        <f>VLOOKUP(C1380,'DISTRIBUIÇÃO NF4267'!$E$3:$FQ$75,MATCH(B1380,'DISTRIBUIÇÃO NF4267'!$E$3:$FQ$3,0)+1,0)</f>
        <v>15</v>
      </c>
      <c r="F1380" s="28">
        <f t="shared" si="67"/>
        <v>3</v>
      </c>
    </row>
    <row r="1381" spans="1:6" x14ac:dyDescent="0.35">
      <c r="A1381">
        <f t="shared" si="68"/>
        <v>0</v>
      </c>
      <c r="B1381" t="str">
        <f t="shared" si="69"/>
        <v>J1</v>
      </c>
      <c r="C1381" s="11" t="s">
        <v>21</v>
      </c>
      <c r="D1381" s="18">
        <f>VLOOKUP(C1381,'DISTRIBUIÇÃO NF4267'!$E$3:$FQ$75,MATCH(B1381,'DISTRIBUIÇÃO NF4267'!$E$3:$FQ$3,0)+1,0)</f>
        <v>0</v>
      </c>
      <c r="F1381" s="28">
        <f t="shared" si="67"/>
        <v>3</v>
      </c>
    </row>
    <row r="1382" spans="1:6" x14ac:dyDescent="0.35">
      <c r="A1382">
        <f t="shared" si="68"/>
        <v>0</v>
      </c>
      <c r="B1382" t="str">
        <f t="shared" si="69"/>
        <v>J1</v>
      </c>
      <c r="C1382" s="12" t="s">
        <v>130</v>
      </c>
      <c r="D1382" s="18">
        <f>VLOOKUP(C1382,'DISTRIBUIÇÃO NF4267'!$E$3:$FQ$75,MATCH(B1382,'DISTRIBUIÇÃO NF4267'!$E$3:$FQ$3,0)+1,0)</f>
        <v>0</v>
      </c>
      <c r="F1382" s="28">
        <f t="shared" si="67"/>
        <v>3</v>
      </c>
    </row>
    <row r="1383" spans="1:6" x14ac:dyDescent="0.35">
      <c r="A1383">
        <f t="shared" si="68"/>
        <v>0</v>
      </c>
      <c r="B1383" t="str">
        <f t="shared" si="69"/>
        <v>J1</v>
      </c>
      <c r="C1383" s="12" t="s">
        <v>131</v>
      </c>
      <c r="D1383" s="18">
        <f>VLOOKUP(C1383,'DISTRIBUIÇÃO NF4267'!$E$3:$FQ$75,MATCH(B1383,'DISTRIBUIÇÃO NF4267'!$E$3:$FQ$3,0)+1,0)</f>
        <v>1</v>
      </c>
      <c r="F1383" s="28">
        <f t="shared" si="67"/>
        <v>3</v>
      </c>
    </row>
    <row r="1384" spans="1:6" x14ac:dyDescent="0.35">
      <c r="A1384">
        <f t="shared" si="68"/>
        <v>0</v>
      </c>
      <c r="B1384" t="str">
        <f t="shared" si="69"/>
        <v>J1</v>
      </c>
      <c r="C1384" s="12" t="s">
        <v>132</v>
      </c>
      <c r="D1384" s="18">
        <f>VLOOKUP(C1384,'DISTRIBUIÇÃO NF4267'!$E$3:$FQ$75,MATCH(B1384,'DISTRIBUIÇÃO NF4267'!$E$3:$FQ$3,0)+1,0)</f>
        <v>4</v>
      </c>
      <c r="F1384" s="28">
        <f t="shared" si="67"/>
        <v>3</v>
      </c>
    </row>
    <row r="1385" spans="1:6" x14ac:dyDescent="0.35">
      <c r="A1385">
        <f t="shared" si="68"/>
        <v>0</v>
      </c>
      <c r="B1385" t="str">
        <f t="shared" si="69"/>
        <v>J1</v>
      </c>
      <c r="C1385" s="12" t="s">
        <v>133</v>
      </c>
      <c r="D1385" s="18">
        <f>VLOOKUP(C1385,'DISTRIBUIÇÃO NF4267'!$E$3:$FQ$75,MATCH(B1385,'DISTRIBUIÇÃO NF4267'!$E$3:$FQ$3,0)+1,0)</f>
        <v>3</v>
      </c>
      <c r="F1385" s="28">
        <f t="shared" si="67"/>
        <v>3</v>
      </c>
    </row>
    <row r="1386" spans="1:6" x14ac:dyDescent="0.35">
      <c r="A1386">
        <f t="shared" si="68"/>
        <v>0</v>
      </c>
      <c r="B1386" t="str">
        <f t="shared" si="69"/>
        <v>J1</v>
      </c>
      <c r="C1386" s="12" t="s">
        <v>134</v>
      </c>
      <c r="D1386" s="18">
        <f>VLOOKUP(C1386,'DISTRIBUIÇÃO NF4267'!$E$3:$FQ$75,MATCH(B1386,'DISTRIBUIÇÃO NF4267'!$E$3:$FQ$3,0)+1,0)</f>
        <v>2</v>
      </c>
      <c r="F1386" s="28">
        <f t="shared" si="67"/>
        <v>3</v>
      </c>
    </row>
    <row r="1387" spans="1:6" x14ac:dyDescent="0.35">
      <c r="A1387">
        <f t="shared" si="68"/>
        <v>0</v>
      </c>
      <c r="B1387" t="str">
        <f t="shared" si="69"/>
        <v>J1</v>
      </c>
      <c r="C1387" s="12" t="s">
        <v>135</v>
      </c>
      <c r="D1387" s="18">
        <f>VLOOKUP(C1387,'DISTRIBUIÇÃO NF4267'!$E$3:$FQ$75,MATCH(B1387,'DISTRIBUIÇÃO NF4267'!$E$3:$FQ$3,0)+1,0)</f>
        <v>0</v>
      </c>
      <c r="F1387" s="28">
        <f t="shared" si="67"/>
        <v>3</v>
      </c>
    </row>
    <row r="1388" spans="1:6" x14ac:dyDescent="0.35">
      <c r="A1388">
        <f t="shared" si="68"/>
        <v>0</v>
      </c>
      <c r="B1388" t="str">
        <f t="shared" si="69"/>
        <v>J1</v>
      </c>
      <c r="C1388" s="13" t="s">
        <v>22</v>
      </c>
      <c r="D1388" s="18">
        <f>VLOOKUP(C1388,'DISTRIBUIÇÃO NF4267'!$E$3:$FQ$75,MATCH(B1388,'DISTRIBUIÇÃO NF4267'!$E$3:$FQ$3,0)+1,0)</f>
        <v>0</v>
      </c>
      <c r="F1388" s="28">
        <f t="shared" si="67"/>
        <v>3</v>
      </c>
    </row>
    <row r="1389" spans="1:6" x14ac:dyDescent="0.35">
      <c r="A1389">
        <f t="shared" si="68"/>
        <v>0</v>
      </c>
      <c r="B1389" t="str">
        <f t="shared" si="69"/>
        <v>J1</v>
      </c>
      <c r="C1389" s="13" t="s">
        <v>23</v>
      </c>
      <c r="D1389" s="18">
        <f>VLOOKUP(C1389,'DISTRIBUIÇÃO NF4267'!$E$3:$FQ$75,MATCH(B1389,'DISTRIBUIÇÃO NF4267'!$E$3:$FQ$3,0)+1,0)</f>
        <v>1</v>
      </c>
      <c r="F1389" s="28">
        <f t="shared" si="67"/>
        <v>3</v>
      </c>
    </row>
    <row r="1390" spans="1:6" x14ac:dyDescent="0.35">
      <c r="A1390">
        <f t="shared" si="68"/>
        <v>0</v>
      </c>
      <c r="B1390" t="str">
        <f t="shared" si="69"/>
        <v>J1</v>
      </c>
      <c r="C1390" s="13" t="s">
        <v>24</v>
      </c>
      <c r="D1390" s="18">
        <f>VLOOKUP(C1390,'DISTRIBUIÇÃO NF4267'!$E$3:$FQ$75,MATCH(B1390,'DISTRIBUIÇÃO NF4267'!$E$3:$FQ$3,0)+1,0)</f>
        <v>6</v>
      </c>
      <c r="F1390" s="28">
        <f t="shared" si="67"/>
        <v>3</v>
      </c>
    </row>
    <row r="1391" spans="1:6" x14ac:dyDescent="0.35">
      <c r="A1391">
        <f t="shared" si="68"/>
        <v>0</v>
      </c>
      <c r="B1391" t="str">
        <f t="shared" si="69"/>
        <v>J1</v>
      </c>
      <c r="C1391" s="13" t="s">
        <v>25</v>
      </c>
      <c r="D1391" s="18">
        <f>VLOOKUP(C1391,'DISTRIBUIÇÃO NF4267'!$E$3:$FQ$75,MATCH(B1391,'DISTRIBUIÇÃO NF4267'!$E$3:$FQ$3,0)+1,0)</f>
        <v>2</v>
      </c>
      <c r="F1391" s="28">
        <f t="shared" si="67"/>
        <v>3</v>
      </c>
    </row>
    <row r="1392" spans="1:6" x14ac:dyDescent="0.35">
      <c r="A1392">
        <f t="shared" si="68"/>
        <v>0</v>
      </c>
      <c r="B1392" t="str">
        <f t="shared" si="69"/>
        <v>J1</v>
      </c>
      <c r="C1392" s="13" t="s">
        <v>26</v>
      </c>
      <c r="D1392" s="18">
        <f>VLOOKUP(C1392,'DISTRIBUIÇÃO NF4267'!$E$3:$FQ$75,MATCH(B1392,'DISTRIBUIÇÃO NF4267'!$E$3:$FQ$3,0)+1,0)</f>
        <v>1</v>
      </c>
      <c r="F1392" s="28">
        <f t="shared" si="67"/>
        <v>3</v>
      </c>
    </row>
    <row r="1393" spans="1:6" x14ac:dyDescent="0.35">
      <c r="A1393">
        <f t="shared" si="68"/>
        <v>0</v>
      </c>
      <c r="B1393" t="str">
        <f t="shared" si="69"/>
        <v>J1</v>
      </c>
      <c r="C1393" s="13" t="s">
        <v>27</v>
      </c>
      <c r="D1393" s="18">
        <f>VLOOKUP(C1393,'DISTRIBUIÇÃO NF4267'!$E$3:$FQ$75,MATCH(B1393,'DISTRIBUIÇÃO NF4267'!$E$3:$FQ$3,0)+1,0)</f>
        <v>0</v>
      </c>
      <c r="F1393" s="28">
        <f t="shared" si="67"/>
        <v>3</v>
      </c>
    </row>
    <row r="1394" spans="1:6" x14ac:dyDescent="0.35">
      <c r="A1394">
        <f t="shared" si="68"/>
        <v>0</v>
      </c>
      <c r="B1394" t="str">
        <f t="shared" si="69"/>
        <v>J1</v>
      </c>
      <c r="C1394" s="14" t="s">
        <v>138</v>
      </c>
      <c r="D1394" s="18">
        <f>VLOOKUP(C1394,'DISTRIBUIÇÃO NF4267'!$E$3:$FQ$75,MATCH(B1394,'DISTRIBUIÇÃO NF4267'!$E$3:$FQ$3,0)+1,0)</f>
        <v>0</v>
      </c>
      <c r="F1394" s="28">
        <f t="shared" si="67"/>
        <v>3</v>
      </c>
    </row>
    <row r="1395" spans="1:6" x14ac:dyDescent="0.35">
      <c r="A1395">
        <f t="shared" si="68"/>
        <v>0</v>
      </c>
      <c r="B1395" t="str">
        <f t="shared" si="69"/>
        <v>J1</v>
      </c>
      <c r="C1395" s="14" t="s">
        <v>139</v>
      </c>
      <c r="D1395" s="18">
        <f>VLOOKUP(C1395,'DISTRIBUIÇÃO NF4267'!$E$3:$FQ$75,MATCH(B1395,'DISTRIBUIÇÃO NF4267'!$E$3:$FQ$3,0)+1,0)</f>
        <v>4</v>
      </c>
      <c r="F1395" s="28">
        <f t="shared" si="67"/>
        <v>3</v>
      </c>
    </row>
    <row r="1396" spans="1:6" x14ac:dyDescent="0.35">
      <c r="A1396">
        <f t="shared" si="68"/>
        <v>0</v>
      </c>
      <c r="B1396" t="str">
        <f t="shared" si="69"/>
        <v>J1</v>
      </c>
      <c r="C1396" s="14" t="s">
        <v>140</v>
      </c>
      <c r="D1396" s="18">
        <f>VLOOKUP(C1396,'DISTRIBUIÇÃO NF4267'!$E$3:$FQ$75,MATCH(B1396,'DISTRIBUIÇÃO NF4267'!$E$3:$FQ$3,0)+1,0)</f>
        <v>8</v>
      </c>
      <c r="F1396" s="28">
        <f t="shared" si="67"/>
        <v>3</v>
      </c>
    </row>
    <row r="1397" spans="1:6" x14ac:dyDescent="0.35">
      <c r="A1397">
        <f t="shared" si="68"/>
        <v>0</v>
      </c>
      <c r="B1397" t="str">
        <f t="shared" si="69"/>
        <v>J1</v>
      </c>
      <c r="C1397" s="14" t="s">
        <v>141</v>
      </c>
      <c r="D1397" s="18">
        <f>VLOOKUP(C1397,'DISTRIBUIÇÃO NF4267'!$E$3:$FQ$75,MATCH(B1397,'DISTRIBUIÇÃO NF4267'!$E$3:$FQ$3,0)+1,0)</f>
        <v>4</v>
      </c>
      <c r="F1397" s="28">
        <f t="shared" si="67"/>
        <v>3</v>
      </c>
    </row>
    <row r="1398" spans="1:6" x14ac:dyDescent="0.35">
      <c r="A1398">
        <f t="shared" si="68"/>
        <v>0</v>
      </c>
      <c r="B1398" t="str">
        <f t="shared" si="69"/>
        <v>J1</v>
      </c>
      <c r="C1398" s="14" t="s">
        <v>142</v>
      </c>
      <c r="D1398" s="18">
        <f>VLOOKUP(C1398,'DISTRIBUIÇÃO NF4267'!$E$3:$FQ$75,MATCH(B1398,'DISTRIBUIÇÃO NF4267'!$E$3:$FQ$3,0)+1,0)</f>
        <v>4</v>
      </c>
      <c r="F1398" s="28">
        <f t="shared" si="67"/>
        <v>3</v>
      </c>
    </row>
    <row r="1399" spans="1:6" x14ac:dyDescent="0.35">
      <c r="A1399">
        <f t="shared" si="68"/>
        <v>0</v>
      </c>
      <c r="B1399" t="str">
        <f t="shared" si="69"/>
        <v>J1</v>
      </c>
      <c r="C1399" s="14" t="s">
        <v>143</v>
      </c>
      <c r="D1399" s="18">
        <f>VLOOKUP(C1399,'DISTRIBUIÇÃO NF4267'!$E$3:$FQ$75,MATCH(B1399,'DISTRIBUIÇÃO NF4267'!$E$3:$FQ$3,0)+1,0)</f>
        <v>0</v>
      </c>
      <c r="F1399" s="28">
        <f t="shared" si="67"/>
        <v>3</v>
      </c>
    </row>
    <row r="1400" spans="1:6" x14ac:dyDescent="0.35">
      <c r="A1400">
        <f t="shared" si="68"/>
        <v>0</v>
      </c>
      <c r="B1400" t="str">
        <f t="shared" si="69"/>
        <v>J1</v>
      </c>
      <c r="C1400" s="15" t="s">
        <v>145</v>
      </c>
      <c r="D1400" s="18">
        <f>VLOOKUP(C1400,'DISTRIBUIÇÃO NF4267'!$E$3:$FQ$75,MATCH(B1400,'DISTRIBUIÇÃO NF4267'!$E$3:$FQ$3,0)+1,0)</f>
        <v>0</v>
      </c>
      <c r="F1400" s="28">
        <f t="shared" ref="F1400:F1463" si="70">ROUNDUP(SUMIFS(D:D,B:B,B1400)/80,0)</f>
        <v>3</v>
      </c>
    </row>
    <row r="1401" spans="1:6" x14ac:dyDescent="0.35">
      <c r="A1401">
        <f t="shared" si="68"/>
        <v>0</v>
      </c>
      <c r="B1401" t="str">
        <f t="shared" si="69"/>
        <v>J1</v>
      </c>
      <c r="C1401" s="15" t="s">
        <v>146</v>
      </c>
      <c r="D1401" s="18">
        <f>VLOOKUP(C1401,'DISTRIBUIÇÃO NF4267'!$E$3:$FQ$75,MATCH(B1401,'DISTRIBUIÇÃO NF4267'!$E$3:$FQ$3,0)+1,0)</f>
        <v>2</v>
      </c>
      <c r="F1401" s="28">
        <f t="shared" si="70"/>
        <v>3</v>
      </c>
    </row>
    <row r="1402" spans="1:6" x14ac:dyDescent="0.35">
      <c r="A1402">
        <f t="shared" si="68"/>
        <v>0</v>
      </c>
      <c r="B1402" t="str">
        <f t="shared" si="69"/>
        <v>J1</v>
      </c>
      <c r="C1402" s="15" t="s">
        <v>147</v>
      </c>
      <c r="D1402" s="18">
        <f>VLOOKUP(C1402,'DISTRIBUIÇÃO NF4267'!$E$3:$FQ$75,MATCH(B1402,'DISTRIBUIÇÃO NF4267'!$E$3:$FQ$3,0)+1,0)</f>
        <v>4</v>
      </c>
      <c r="F1402" s="28">
        <f t="shared" si="70"/>
        <v>3</v>
      </c>
    </row>
    <row r="1403" spans="1:6" x14ac:dyDescent="0.35">
      <c r="A1403">
        <f t="shared" si="68"/>
        <v>0</v>
      </c>
      <c r="B1403" t="str">
        <f t="shared" si="69"/>
        <v>J1</v>
      </c>
      <c r="C1403" s="15" t="s">
        <v>148</v>
      </c>
      <c r="D1403" s="18">
        <f>VLOOKUP(C1403,'DISTRIBUIÇÃO NF4267'!$E$3:$FQ$75,MATCH(B1403,'DISTRIBUIÇÃO NF4267'!$E$3:$FQ$3,0)+1,0)</f>
        <v>2</v>
      </c>
      <c r="F1403" s="28">
        <f t="shared" si="70"/>
        <v>3</v>
      </c>
    </row>
    <row r="1404" spans="1:6" x14ac:dyDescent="0.35">
      <c r="A1404">
        <f t="shared" si="68"/>
        <v>0</v>
      </c>
      <c r="B1404" t="str">
        <f t="shared" si="69"/>
        <v>J1</v>
      </c>
      <c r="C1404" s="15" t="s">
        <v>149</v>
      </c>
      <c r="D1404" s="18">
        <f>VLOOKUP(C1404,'DISTRIBUIÇÃO NF4267'!$E$3:$FQ$75,MATCH(B1404,'DISTRIBUIÇÃO NF4267'!$E$3:$FQ$3,0)+1,0)</f>
        <v>2</v>
      </c>
      <c r="F1404" s="28">
        <f t="shared" si="70"/>
        <v>3</v>
      </c>
    </row>
    <row r="1405" spans="1:6" x14ac:dyDescent="0.35">
      <c r="A1405">
        <f t="shared" si="68"/>
        <v>0</v>
      </c>
      <c r="B1405" t="str">
        <f t="shared" si="69"/>
        <v>J1</v>
      </c>
      <c r="C1405" s="15" t="s">
        <v>150</v>
      </c>
      <c r="D1405" s="18">
        <f>VLOOKUP(C1405,'DISTRIBUIÇÃO NF4267'!$E$3:$FQ$75,MATCH(B1405,'DISTRIBUIÇÃO NF4267'!$E$3:$FQ$3,0)+1,0)</f>
        <v>0</v>
      </c>
      <c r="F1405" s="28">
        <f t="shared" si="70"/>
        <v>3</v>
      </c>
    </row>
    <row r="1406" spans="1:6" x14ac:dyDescent="0.35">
      <c r="A1406">
        <f t="shared" si="68"/>
        <v>0</v>
      </c>
      <c r="B1406">
        <v>89</v>
      </c>
      <c r="C1406" s="7" t="s">
        <v>98</v>
      </c>
      <c r="D1406" s="18">
        <f>VLOOKUP(C1406,'DISTRIBUIÇÃO NF4267'!$E$3:$FQ$75,MATCH(B1406,'DISTRIBUIÇÃO NF4267'!$E$3:$FQ$3,0)+1,0)</f>
        <v>0</v>
      </c>
      <c r="F1406" s="28">
        <f t="shared" si="70"/>
        <v>3</v>
      </c>
    </row>
    <row r="1407" spans="1:6" x14ac:dyDescent="0.35">
      <c r="A1407">
        <f t="shared" si="68"/>
        <v>0</v>
      </c>
      <c r="B1407">
        <f>B1406</f>
        <v>89</v>
      </c>
      <c r="C1407" s="7" t="s">
        <v>99</v>
      </c>
      <c r="D1407" s="18">
        <f>VLOOKUP(C1407,'DISTRIBUIÇÃO NF4267'!$E$3:$FQ$75,MATCH(B1407,'DISTRIBUIÇÃO NF4267'!$E$3:$FQ$3,0)+1,0)</f>
        <v>4</v>
      </c>
      <c r="F1407" s="28">
        <f t="shared" si="70"/>
        <v>3</v>
      </c>
    </row>
    <row r="1408" spans="1:6" x14ac:dyDescent="0.35">
      <c r="A1408">
        <f t="shared" si="68"/>
        <v>0</v>
      </c>
      <c r="B1408">
        <f t="shared" ref="B1408:B1459" si="71">B1407</f>
        <v>89</v>
      </c>
      <c r="C1408" s="7" t="s">
        <v>100</v>
      </c>
      <c r="D1408" s="18">
        <f>VLOOKUP(C1408,'DISTRIBUIÇÃO NF4267'!$E$3:$FQ$75,MATCH(B1408,'DISTRIBUIÇÃO NF4267'!$E$3:$FQ$3,0)+1,0)</f>
        <v>8</v>
      </c>
      <c r="F1408" s="28">
        <f t="shared" si="70"/>
        <v>3</v>
      </c>
    </row>
    <row r="1409" spans="1:6" x14ac:dyDescent="0.35">
      <c r="A1409">
        <f t="shared" si="68"/>
        <v>0</v>
      </c>
      <c r="B1409">
        <f t="shared" si="71"/>
        <v>89</v>
      </c>
      <c r="C1409" s="7" t="s">
        <v>101</v>
      </c>
      <c r="D1409" s="18">
        <f>VLOOKUP(C1409,'DISTRIBUIÇÃO NF4267'!$E$3:$FQ$75,MATCH(B1409,'DISTRIBUIÇÃO NF4267'!$E$3:$FQ$3,0)+1,0)</f>
        <v>4</v>
      </c>
      <c r="F1409" s="28">
        <f t="shared" si="70"/>
        <v>3</v>
      </c>
    </row>
    <row r="1410" spans="1:6" x14ac:dyDescent="0.35">
      <c r="A1410">
        <f t="shared" ref="A1410:A1473" si="72">IF(ISERROR(VLOOKUP(C1410,I:I,1,0)),0,1)</f>
        <v>0</v>
      </c>
      <c r="B1410">
        <f t="shared" si="71"/>
        <v>89</v>
      </c>
      <c r="C1410" s="7" t="s">
        <v>102</v>
      </c>
      <c r="D1410" s="18">
        <f>VLOOKUP(C1410,'DISTRIBUIÇÃO NF4267'!$E$3:$FQ$75,MATCH(B1410,'DISTRIBUIÇÃO NF4267'!$E$3:$FQ$3,0)+1,0)</f>
        <v>4</v>
      </c>
      <c r="F1410" s="28">
        <f t="shared" si="70"/>
        <v>3</v>
      </c>
    </row>
    <row r="1411" spans="1:6" x14ac:dyDescent="0.35">
      <c r="A1411">
        <f t="shared" si="72"/>
        <v>0</v>
      </c>
      <c r="B1411">
        <f t="shared" si="71"/>
        <v>89</v>
      </c>
      <c r="C1411" s="7" t="s">
        <v>103</v>
      </c>
      <c r="D1411" s="18">
        <f>VLOOKUP(C1411,'DISTRIBUIÇÃO NF4267'!$E$3:$FQ$75,MATCH(B1411,'DISTRIBUIÇÃO NF4267'!$E$3:$FQ$3,0)+1,0)</f>
        <v>0</v>
      </c>
      <c r="F1411" s="28">
        <f t="shared" si="70"/>
        <v>3</v>
      </c>
    </row>
    <row r="1412" spans="1:6" x14ac:dyDescent="0.35">
      <c r="A1412">
        <f t="shared" si="72"/>
        <v>0</v>
      </c>
      <c r="B1412">
        <f t="shared" si="71"/>
        <v>89</v>
      </c>
      <c r="C1412" s="8" t="s">
        <v>107</v>
      </c>
      <c r="D1412" s="18">
        <f>VLOOKUP(C1412,'DISTRIBUIÇÃO NF4267'!$E$3:$FQ$75,MATCH(B1412,'DISTRIBUIÇÃO NF4267'!$E$3:$FQ$3,0)+1,0)</f>
        <v>0</v>
      </c>
      <c r="F1412" s="28">
        <f t="shared" si="70"/>
        <v>3</v>
      </c>
    </row>
    <row r="1413" spans="1:6" x14ac:dyDescent="0.35">
      <c r="A1413">
        <f t="shared" si="72"/>
        <v>0</v>
      </c>
      <c r="B1413">
        <f t="shared" si="71"/>
        <v>89</v>
      </c>
      <c r="C1413" s="8" t="s">
        <v>108</v>
      </c>
      <c r="D1413" s="18">
        <f>VLOOKUP(C1413,'DISTRIBUIÇÃO NF4267'!$E$3:$FQ$75,MATCH(B1413,'DISTRIBUIÇÃO NF4267'!$E$3:$FQ$3,0)+1,0)</f>
        <v>2</v>
      </c>
      <c r="F1413" s="28">
        <f t="shared" si="70"/>
        <v>3</v>
      </c>
    </row>
    <row r="1414" spans="1:6" x14ac:dyDescent="0.35">
      <c r="A1414">
        <f t="shared" si="72"/>
        <v>0</v>
      </c>
      <c r="B1414">
        <f t="shared" si="71"/>
        <v>89</v>
      </c>
      <c r="C1414" s="8" t="s">
        <v>109</v>
      </c>
      <c r="D1414" s="18">
        <f>VLOOKUP(C1414,'DISTRIBUIÇÃO NF4267'!$E$3:$FQ$75,MATCH(B1414,'DISTRIBUIÇÃO NF4267'!$E$3:$FQ$3,0)+1,0)</f>
        <v>4</v>
      </c>
      <c r="F1414" s="28">
        <f t="shared" si="70"/>
        <v>3</v>
      </c>
    </row>
    <row r="1415" spans="1:6" x14ac:dyDescent="0.35">
      <c r="A1415">
        <f t="shared" si="72"/>
        <v>0</v>
      </c>
      <c r="B1415">
        <f t="shared" si="71"/>
        <v>89</v>
      </c>
      <c r="C1415" s="8" t="s">
        <v>110</v>
      </c>
      <c r="D1415" s="18">
        <f>VLOOKUP(C1415,'DISTRIBUIÇÃO NF4267'!$E$3:$FQ$75,MATCH(B1415,'DISTRIBUIÇÃO NF4267'!$E$3:$FQ$3,0)+1,0)</f>
        <v>2</v>
      </c>
      <c r="F1415" s="28">
        <f t="shared" si="70"/>
        <v>3</v>
      </c>
    </row>
    <row r="1416" spans="1:6" x14ac:dyDescent="0.35">
      <c r="A1416">
        <f t="shared" si="72"/>
        <v>0</v>
      </c>
      <c r="B1416">
        <f t="shared" si="71"/>
        <v>89</v>
      </c>
      <c r="C1416" s="8" t="s">
        <v>111</v>
      </c>
      <c r="D1416" s="18">
        <f>VLOOKUP(C1416,'DISTRIBUIÇÃO NF4267'!$E$3:$FQ$75,MATCH(B1416,'DISTRIBUIÇÃO NF4267'!$E$3:$FQ$3,0)+1,0)</f>
        <v>2</v>
      </c>
      <c r="F1416" s="28">
        <f t="shared" si="70"/>
        <v>3</v>
      </c>
    </row>
    <row r="1417" spans="1:6" x14ac:dyDescent="0.35">
      <c r="A1417">
        <f t="shared" si="72"/>
        <v>0</v>
      </c>
      <c r="B1417">
        <f t="shared" si="71"/>
        <v>89</v>
      </c>
      <c r="C1417" s="8" t="s">
        <v>112</v>
      </c>
      <c r="D1417" s="18">
        <f>VLOOKUP(C1417,'DISTRIBUIÇÃO NF4267'!$E$3:$FQ$75,MATCH(B1417,'DISTRIBUIÇÃO NF4267'!$E$3:$FQ$3,0)+1,0)</f>
        <v>0</v>
      </c>
      <c r="F1417" s="28">
        <f t="shared" si="70"/>
        <v>3</v>
      </c>
    </row>
    <row r="1418" spans="1:6" x14ac:dyDescent="0.35">
      <c r="A1418">
        <f t="shared" si="72"/>
        <v>0</v>
      </c>
      <c r="B1418">
        <f t="shared" si="71"/>
        <v>89</v>
      </c>
      <c r="C1418" s="9" t="s">
        <v>113</v>
      </c>
      <c r="D1418" s="18">
        <f>VLOOKUP(C1418,'DISTRIBUIÇÃO NF4267'!$E$3:$FQ$75,MATCH(B1418,'DISTRIBUIÇÃO NF4267'!$E$3:$FQ$3,0)+1,0)</f>
        <v>0</v>
      </c>
      <c r="F1418" s="28">
        <f t="shared" si="70"/>
        <v>3</v>
      </c>
    </row>
    <row r="1419" spans="1:6" x14ac:dyDescent="0.35">
      <c r="A1419">
        <f t="shared" si="72"/>
        <v>0</v>
      </c>
      <c r="B1419">
        <f t="shared" si="71"/>
        <v>89</v>
      </c>
      <c r="C1419" s="9" t="s">
        <v>114</v>
      </c>
      <c r="D1419" s="18">
        <f>VLOOKUP(C1419,'DISTRIBUIÇÃO NF4267'!$E$3:$FQ$75,MATCH(B1419,'DISTRIBUIÇÃO NF4267'!$E$3:$FQ$3,0)+1,0)</f>
        <v>6</v>
      </c>
      <c r="F1419" s="28">
        <f t="shared" si="70"/>
        <v>3</v>
      </c>
    </row>
    <row r="1420" spans="1:6" x14ac:dyDescent="0.35">
      <c r="A1420">
        <f t="shared" si="72"/>
        <v>0</v>
      </c>
      <c r="B1420">
        <f t="shared" si="71"/>
        <v>89</v>
      </c>
      <c r="C1420" s="9" t="s">
        <v>115</v>
      </c>
      <c r="D1420" s="18">
        <f>VLOOKUP(C1420,'DISTRIBUIÇÃO NF4267'!$E$3:$FQ$75,MATCH(B1420,'DISTRIBUIÇÃO NF4267'!$E$3:$FQ$3,0)+1,0)</f>
        <v>8</v>
      </c>
      <c r="F1420" s="28">
        <f t="shared" si="70"/>
        <v>3</v>
      </c>
    </row>
    <row r="1421" spans="1:6" x14ac:dyDescent="0.35">
      <c r="A1421">
        <f t="shared" si="72"/>
        <v>0</v>
      </c>
      <c r="B1421">
        <f t="shared" si="71"/>
        <v>89</v>
      </c>
      <c r="C1421" s="9" t="s">
        <v>116</v>
      </c>
      <c r="D1421" s="18">
        <f>VLOOKUP(C1421,'DISTRIBUIÇÃO NF4267'!$E$3:$FQ$75,MATCH(B1421,'DISTRIBUIÇÃO NF4267'!$E$3:$FQ$3,0)+1,0)</f>
        <v>4</v>
      </c>
      <c r="F1421" s="28">
        <f t="shared" si="70"/>
        <v>3</v>
      </c>
    </row>
    <row r="1422" spans="1:6" x14ac:dyDescent="0.35">
      <c r="A1422">
        <f t="shared" si="72"/>
        <v>0</v>
      </c>
      <c r="B1422">
        <f t="shared" si="71"/>
        <v>89</v>
      </c>
      <c r="C1422" s="9" t="s">
        <v>117</v>
      </c>
      <c r="D1422" s="18">
        <f>VLOOKUP(C1422,'DISTRIBUIÇÃO NF4267'!$E$3:$FQ$75,MATCH(B1422,'DISTRIBUIÇÃO NF4267'!$E$3:$FQ$3,0)+1,0)</f>
        <v>2</v>
      </c>
      <c r="F1422" s="28">
        <f t="shared" si="70"/>
        <v>3</v>
      </c>
    </row>
    <row r="1423" spans="1:6" x14ac:dyDescent="0.35">
      <c r="A1423">
        <f t="shared" si="72"/>
        <v>0</v>
      </c>
      <c r="B1423">
        <f t="shared" si="71"/>
        <v>89</v>
      </c>
      <c r="C1423" s="9" t="s">
        <v>118</v>
      </c>
      <c r="D1423" s="18">
        <f>VLOOKUP(C1423,'DISTRIBUIÇÃO NF4267'!$E$3:$FQ$75,MATCH(B1423,'DISTRIBUIÇÃO NF4267'!$E$3:$FQ$3,0)+1,0)</f>
        <v>0</v>
      </c>
      <c r="F1423" s="28">
        <f t="shared" si="70"/>
        <v>3</v>
      </c>
    </row>
    <row r="1424" spans="1:6" x14ac:dyDescent="0.35">
      <c r="A1424">
        <f t="shared" si="72"/>
        <v>0</v>
      </c>
      <c r="B1424">
        <f t="shared" si="71"/>
        <v>89</v>
      </c>
      <c r="C1424" s="10" t="s">
        <v>119</v>
      </c>
      <c r="D1424" s="18">
        <f>VLOOKUP(C1424,'DISTRIBUIÇÃO NF4267'!$E$3:$FQ$75,MATCH(B1424,'DISTRIBUIÇÃO NF4267'!$E$3:$FQ$3,0)+1,0)</f>
        <v>0</v>
      </c>
      <c r="F1424" s="28">
        <f t="shared" si="70"/>
        <v>3</v>
      </c>
    </row>
    <row r="1425" spans="1:6" x14ac:dyDescent="0.35">
      <c r="A1425">
        <f t="shared" si="72"/>
        <v>0</v>
      </c>
      <c r="B1425">
        <f t="shared" si="71"/>
        <v>89</v>
      </c>
      <c r="C1425" s="10" t="s">
        <v>120</v>
      </c>
      <c r="D1425" s="18">
        <f>VLOOKUP(C1425,'DISTRIBUIÇÃO NF4267'!$E$3:$FQ$75,MATCH(B1425,'DISTRIBUIÇÃO NF4267'!$E$3:$FQ$3,0)+1,0)</f>
        <v>48</v>
      </c>
      <c r="F1425" s="28">
        <f t="shared" si="70"/>
        <v>3</v>
      </c>
    </row>
    <row r="1426" spans="1:6" x14ac:dyDescent="0.35">
      <c r="A1426">
        <f t="shared" si="72"/>
        <v>0</v>
      </c>
      <c r="B1426">
        <f t="shared" si="71"/>
        <v>89</v>
      </c>
      <c r="C1426" s="10" t="s">
        <v>121</v>
      </c>
      <c r="D1426" s="18">
        <f>VLOOKUP(C1426,'DISTRIBUIÇÃO NF4267'!$E$3:$FQ$75,MATCH(B1426,'DISTRIBUIÇÃO NF4267'!$E$3:$FQ$3,0)+1,0)</f>
        <v>16</v>
      </c>
      <c r="F1426" s="28">
        <f t="shared" si="70"/>
        <v>3</v>
      </c>
    </row>
    <row r="1427" spans="1:6" x14ac:dyDescent="0.35">
      <c r="A1427">
        <f t="shared" si="72"/>
        <v>0</v>
      </c>
      <c r="B1427">
        <f t="shared" si="71"/>
        <v>89</v>
      </c>
      <c r="C1427" s="10" t="s">
        <v>122</v>
      </c>
      <c r="D1427" s="18">
        <f>VLOOKUP(C1427,'DISTRIBUIÇÃO NF4267'!$E$3:$FQ$75,MATCH(B1427,'DISTRIBUIÇÃO NF4267'!$E$3:$FQ$3,0)+1,0)</f>
        <v>16</v>
      </c>
      <c r="F1427" s="28">
        <f t="shared" si="70"/>
        <v>3</v>
      </c>
    </row>
    <row r="1428" spans="1:6" x14ac:dyDescent="0.35">
      <c r="A1428">
        <f t="shared" si="72"/>
        <v>0</v>
      </c>
      <c r="B1428">
        <f t="shared" si="71"/>
        <v>89</v>
      </c>
      <c r="C1428" s="10" t="s">
        <v>123</v>
      </c>
      <c r="D1428" s="18">
        <f>VLOOKUP(C1428,'DISTRIBUIÇÃO NF4267'!$E$3:$FQ$75,MATCH(B1428,'DISTRIBUIÇÃO NF4267'!$E$3:$FQ$3,0)+1,0)</f>
        <v>0</v>
      </c>
      <c r="F1428" s="28">
        <f t="shared" si="70"/>
        <v>3</v>
      </c>
    </row>
    <row r="1429" spans="1:6" x14ac:dyDescent="0.35">
      <c r="A1429">
        <f t="shared" si="72"/>
        <v>0</v>
      </c>
      <c r="B1429">
        <f t="shared" si="71"/>
        <v>89</v>
      </c>
      <c r="C1429" s="10" t="s">
        <v>124</v>
      </c>
      <c r="D1429" s="18">
        <f>VLOOKUP(C1429,'DISTRIBUIÇÃO NF4267'!$E$3:$FQ$75,MATCH(B1429,'DISTRIBUIÇÃO NF4267'!$E$3:$FQ$3,0)+1,0)</f>
        <v>0</v>
      </c>
      <c r="F1429" s="28">
        <f t="shared" si="70"/>
        <v>3</v>
      </c>
    </row>
    <row r="1430" spans="1:6" x14ac:dyDescent="0.35">
      <c r="A1430">
        <f t="shared" si="72"/>
        <v>0</v>
      </c>
      <c r="B1430">
        <f t="shared" si="71"/>
        <v>89</v>
      </c>
      <c r="C1430" s="11" t="s">
        <v>16</v>
      </c>
      <c r="D1430" s="18">
        <f>VLOOKUP(C1430,'DISTRIBUIÇÃO NF4267'!$E$3:$FQ$75,MATCH(B1430,'DISTRIBUIÇÃO NF4267'!$E$3:$FQ$3,0)+1,0)</f>
        <v>0</v>
      </c>
      <c r="F1430" s="28">
        <f t="shared" si="70"/>
        <v>3</v>
      </c>
    </row>
    <row r="1431" spans="1:6" x14ac:dyDescent="0.35">
      <c r="A1431">
        <f t="shared" si="72"/>
        <v>0</v>
      </c>
      <c r="B1431">
        <f t="shared" si="71"/>
        <v>89</v>
      </c>
      <c r="C1431" s="11" t="s">
        <v>17</v>
      </c>
      <c r="D1431" s="18">
        <f>VLOOKUP(C1431,'DISTRIBUIÇÃO NF4267'!$E$3:$FQ$75,MATCH(B1431,'DISTRIBUIÇÃO NF4267'!$E$3:$FQ$3,0)+1,0)</f>
        <v>9</v>
      </c>
      <c r="F1431" s="28">
        <f t="shared" si="70"/>
        <v>3</v>
      </c>
    </row>
    <row r="1432" spans="1:6" x14ac:dyDescent="0.35">
      <c r="A1432">
        <f t="shared" si="72"/>
        <v>0</v>
      </c>
      <c r="B1432">
        <f t="shared" si="71"/>
        <v>89</v>
      </c>
      <c r="C1432" s="11" t="s">
        <v>18</v>
      </c>
      <c r="D1432" s="18">
        <f>VLOOKUP(C1432,'DISTRIBUIÇÃO NF4267'!$E$3:$FQ$75,MATCH(B1432,'DISTRIBUIÇÃO NF4267'!$E$3:$FQ$3,0)+1,0)</f>
        <v>3</v>
      </c>
      <c r="F1432" s="28">
        <f t="shared" si="70"/>
        <v>3</v>
      </c>
    </row>
    <row r="1433" spans="1:6" x14ac:dyDescent="0.35">
      <c r="A1433">
        <f t="shared" si="72"/>
        <v>0</v>
      </c>
      <c r="B1433">
        <f t="shared" si="71"/>
        <v>89</v>
      </c>
      <c r="C1433" s="11" t="s">
        <v>19</v>
      </c>
      <c r="D1433" s="18">
        <f>VLOOKUP(C1433,'DISTRIBUIÇÃO NF4267'!$E$3:$FQ$75,MATCH(B1433,'DISTRIBUIÇÃO NF4267'!$E$3:$FQ$3,0)+1,0)</f>
        <v>3</v>
      </c>
      <c r="F1433" s="28">
        <f t="shared" si="70"/>
        <v>3</v>
      </c>
    </row>
    <row r="1434" spans="1:6" x14ac:dyDescent="0.35">
      <c r="A1434">
        <f t="shared" si="72"/>
        <v>0</v>
      </c>
      <c r="B1434">
        <f t="shared" si="71"/>
        <v>89</v>
      </c>
      <c r="C1434" s="11" t="s">
        <v>20</v>
      </c>
      <c r="D1434" s="18">
        <f>VLOOKUP(C1434,'DISTRIBUIÇÃO NF4267'!$E$3:$FQ$75,MATCH(B1434,'DISTRIBUIÇÃO NF4267'!$E$3:$FQ$3,0)+1,0)</f>
        <v>15</v>
      </c>
      <c r="F1434" s="28">
        <f t="shared" si="70"/>
        <v>3</v>
      </c>
    </row>
    <row r="1435" spans="1:6" x14ac:dyDescent="0.35">
      <c r="A1435">
        <f t="shared" si="72"/>
        <v>0</v>
      </c>
      <c r="B1435">
        <f t="shared" si="71"/>
        <v>89</v>
      </c>
      <c r="C1435" s="11" t="s">
        <v>21</v>
      </c>
      <c r="D1435" s="18">
        <f>VLOOKUP(C1435,'DISTRIBUIÇÃO NF4267'!$E$3:$FQ$75,MATCH(B1435,'DISTRIBUIÇÃO NF4267'!$E$3:$FQ$3,0)+1,0)</f>
        <v>0</v>
      </c>
      <c r="F1435" s="28">
        <f t="shared" si="70"/>
        <v>3</v>
      </c>
    </row>
    <row r="1436" spans="1:6" x14ac:dyDescent="0.35">
      <c r="A1436">
        <f t="shared" si="72"/>
        <v>0</v>
      </c>
      <c r="B1436">
        <f t="shared" si="71"/>
        <v>89</v>
      </c>
      <c r="C1436" s="12" t="s">
        <v>130</v>
      </c>
      <c r="D1436" s="18">
        <f>VLOOKUP(C1436,'DISTRIBUIÇÃO NF4267'!$E$3:$FQ$75,MATCH(B1436,'DISTRIBUIÇÃO NF4267'!$E$3:$FQ$3,0)+1,0)</f>
        <v>0</v>
      </c>
      <c r="F1436" s="28">
        <f t="shared" si="70"/>
        <v>3</v>
      </c>
    </row>
    <row r="1437" spans="1:6" x14ac:dyDescent="0.35">
      <c r="A1437">
        <f t="shared" si="72"/>
        <v>0</v>
      </c>
      <c r="B1437">
        <f t="shared" si="71"/>
        <v>89</v>
      </c>
      <c r="C1437" s="12" t="s">
        <v>131</v>
      </c>
      <c r="D1437" s="18">
        <f>VLOOKUP(C1437,'DISTRIBUIÇÃO NF4267'!$E$3:$FQ$75,MATCH(B1437,'DISTRIBUIÇÃO NF4267'!$E$3:$FQ$3,0)+1,0)</f>
        <v>1</v>
      </c>
      <c r="F1437" s="28">
        <f t="shared" si="70"/>
        <v>3</v>
      </c>
    </row>
    <row r="1438" spans="1:6" x14ac:dyDescent="0.35">
      <c r="A1438">
        <f t="shared" si="72"/>
        <v>0</v>
      </c>
      <c r="B1438">
        <f t="shared" si="71"/>
        <v>89</v>
      </c>
      <c r="C1438" s="12" t="s">
        <v>132</v>
      </c>
      <c r="D1438" s="18">
        <f>VLOOKUP(C1438,'DISTRIBUIÇÃO NF4267'!$E$3:$FQ$75,MATCH(B1438,'DISTRIBUIÇÃO NF4267'!$E$3:$FQ$3,0)+1,0)</f>
        <v>4</v>
      </c>
      <c r="F1438" s="28">
        <f t="shared" si="70"/>
        <v>3</v>
      </c>
    </row>
    <row r="1439" spans="1:6" x14ac:dyDescent="0.35">
      <c r="A1439">
        <f t="shared" si="72"/>
        <v>0</v>
      </c>
      <c r="B1439">
        <f t="shared" si="71"/>
        <v>89</v>
      </c>
      <c r="C1439" s="12" t="s">
        <v>133</v>
      </c>
      <c r="D1439" s="18">
        <f>VLOOKUP(C1439,'DISTRIBUIÇÃO NF4267'!$E$3:$FQ$75,MATCH(B1439,'DISTRIBUIÇÃO NF4267'!$E$3:$FQ$3,0)+1,0)</f>
        <v>3</v>
      </c>
      <c r="F1439" s="28">
        <f t="shared" si="70"/>
        <v>3</v>
      </c>
    </row>
    <row r="1440" spans="1:6" x14ac:dyDescent="0.35">
      <c r="A1440">
        <f t="shared" si="72"/>
        <v>0</v>
      </c>
      <c r="B1440">
        <f t="shared" si="71"/>
        <v>89</v>
      </c>
      <c r="C1440" s="12" t="s">
        <v>134</v>
      </c>
      <c r="D1440" s="18">
        <f>VLOOKUP(C1440,'DISTRIBUIÇÃO NF4267'!$E$3:$FQ$75,MATCH(B1440,'DISTRIBUIÇÃO NF4267'!$E$3:$FQ$3,0)+1,0)</f>
        <v>2</v>
      </c>
      <c r="F1440" s="28">
        <f t="shared" si="70"/>
        <v>3</v>
      </c>
    </row>
    <row r="1441" spans="1:6" x14ac:dyDescent="0.35">
      <c r="A1441">
        <f t="shared" si="72"/>
        <v>0</v>
      </c>
      <c r="B1441">
        <f t="shared" si="71"/>
        <v>89</v>
      </c>
      <c r="C1441" s="12" t="s">
        <v>135</v>
      </c>
      <c r="D1441" s="18">
        <f>VLOOKUP(C1441,'DISTRIBUIÇÃO NF4267'!$E$3:$FQ$75,MATCH(B1441,'DISTRIBUIÇÃO NF4267'!$E$3:$FQ$3,0)+1,0)</f>
        <v>0</v>
      </c>
      <c r="F1441" s="28">
        <f t="shared" si="70"/>
        <v>3</v>
      </c>
    </row>
    <row r="1442" spans="1:6" x14ac:dyDescent="0.35">
      <c r="A1442">
        <f t="shared" si="72"/>
        <v>0</v>
      </c>
      <c r="B1442">
        <f t="shared" si="71"/>
        <v>89</v>
      </c>
      <c r="C1442" s="13" t="s">
        <v>22</v>
      </c>
      <c r="D1442" s="18">
        <f>VLOOKUP(C1442,'DISTRIBUIÇÃO NF4267'!$E$3:$FQ$75,MATCH(B1442,'DISTRIBUIÇÃO NF4267'!$E$3:$FQ$3,0)+1,0)</f>
        <v>0</v>
      </c>
      <c r="F1442" s="28">
        <f t="shared" si="70"/>
        <v>3</v>
      </c>
    </row>
    <row r="1443" spans="1:6" x14ac:dyDescent="0.35">
      <c r="A1443">
        <f t="shared" si="72"/>
        <v>0</v>
      </c>
      <c r="B1443">
        <f t="shared" si="71"/>
        <v>89</v>
      </c>
      <c r="C1443" s="13" t="s">
        <v>23</v>
      </c>
      <c r="D1443" s="18">
        <f>VLOOKUP(C1443,'DISTRIBUIÇÃO NF4267'!$E$3:$FQ$75,MATCH(B1443,'DISTRIBUIÇÃO NF4267'!$E$3:$FQ$3,0)+1,0)</f>
        <v>1</v>
      </c>
      <c r="F1443" s="28">
        <f t="shared" si="70"/>
        <v>3</v>
      </c>
    </row>
    <row r="1444" spans="1:6" x14ac:dyDescent="0.35">
      <c r="A1444">
        <f t="shared" si="72"/>
        <v>0</v>
      </c>
      <c r="B1444">
        <f t="shared" si="71"/>
        <v>89</v>
      </c>
      <c r="C1444" s="13" t="s">
        <v>24</v>
      </c>
      <c r="D1444" s="18">
        <f>VLOOKUP(C1444,'DISTRIBUIÇÃO NF4267'!$E$3:$FQ$75,MATCH(B1444,'DISTRIBUIÇÃO NF4267'!$E$3:$FQ$3,0)+1,0)</f>
        <v>6</v>
      </c>
      <c r="F1444" s="28">
        <f t="shared" si="70"/>
        <v>3</v>
      </c>
    </row>
    <row r="1445" spans="1:6" x14ac:dyDescent="0.35">
      <c r="A1445">
        <f t="shared" si="72"/>
        <v>0</v>
      </c>
      <c r="B1445">
        <f t="shared" si="71"/>
        <v>89</v>
      </c>
      <c r="C1445" s="13" t="s">
        <v>25</v>
      </c>
      <c r="D1445" s="18">
        <f>VLOOKUP(C1445,'DISTRIBUIÇÃO NF4267'!$E$3:$FQ$75,MATCH(B1445,'DISTRIBUIÇÃO NF4267'!$E$3:$FQ$3,0)+1,0)</f>
        <v>2</v>
      </c>
      <c r="F1445" s="28">
        <f t="shared" si="70"/>
        <v>3</v>
      </c>
    </row>
    <row r="1446" spans="1:6" x14ac:dyDescent="0.35">
      <c r="A1446">
        <f t="shared" si="72"/>
        <v>0</v>
      </c>
      <c r="B1446">
        <f t="shared" si="71"/>
        <v>89</v>
      </c>
      <c r="C1446" s="13" t="s">
        <v>26</v>
      </c>
      <c r="D1446" s="18">
        <f>VLOOKUP(C1446,'DISTRIBUIÇÃO NF4267'!$E$3:$FQ$75,MATCH(B1446,'DISTRIBUIÇÃO NF4267'!$E$3:$FQ$3,0)+1,0)</f>
        <v>1</v>
      </c>
      <c r="F1446" s="28">
        <f t="shared" si="70"/>
        <v>3</v>
      </c>
    </row>
    <row r="1447" spans="1:6" x14ac:dyDescent="0.35">
      <c r="A1447">
        <f t="shared" si="72"/>
        <v>0</v>
      </c>
      <c r="B1447">
        <f t="shared" si="71"/>
        <v>89</v>
      </c>
      <c r="C1447" s="13" t="s">
        <v>27</v>
      </c>
      <c r="D1447" s="18">
        <f>VLOOKUP(C1447,'DISTRIBUIÇÃO NF4267'!$E$3:$FQ$75,MATCH(B1447,'DISTRIBUIÇÃO NF4267'!$E$3:$FQ$3,0)+1,0)</f>
        <v>0</v>
      </c>
      <c r="F1447" s="28">
        <f t="shared" si="70"/>
        <v>3</v>
      </c>
    </row>
    <row r="1448" spans="1:6" x14ac:dyDescent="0.35">
      <c r="A1448">
        <f t="shared" si="72"/>
        <v>0</v>
      </c>
      <c r="B1448">
        <f t="shared" si="71"/>
        <v>89</v>
      </c>
      <c r="C1448" s="14" t="s">
        <v>138</v>
      </c>
      <c r="D1448" s="18">
        <f>VLOOKUP(C1448,'DISTRIBUIÇÃO NF4267'!$E$3:$FQ$75,MATCH(B1448,'DISTRIBUIÇÃO NF4267'!$E$3:$FQ$3,0)+1,0)</f>
        <v>0</v>
      </c>
      <c r="F1448" s="28">
        <f t="shared" si="70"/>
        <v>3</v>
      </c>
    </row>
    <row r="1449" spans="1:6" x14ac:dyDescent="0.35">
      <c r="A1449">
        <f t="shared" si="72"/>
        <v>0</v>
      </c>
      <c r="B1449">
        <f t="shared" si="71"/>
        <v>89</v>
      </c>
      <c r="C1449" s="14" t="s">
        <v>139</v>
      </c>
      <c r="D1449" s="18">
        <f>VLOOKUP(C1449,'DISTRIBUIÇÃO NF4267'!$E$3:$FQ$75,MATCH(B1449,'DISTRIBUIÇÃO NF4267'!$E$3:$FQ$3,0)+1,0)</f>
        <v>4</v>
      </c>
      <c r="F1449" s="28">
        <f t="shared" si="70"/>
        <v>3</v>
      </c>
    </row>
    <row r="1450" spans="1:6" x14ac:dyDescent="0.35">
      <c r="A1450">
        <f t="shared" si="72"/>
        <v>0</v>
      </c>
      <c r="B1450">
        <f t="shared" si="71"/>
        <v>89</v>
      </c>
      <c r="C1450" s="14" t="s">
        <v>140</v>
      </c>
      <c r="D1450" s="18">
        <f>VLOOKUP(C1450,'DISTRIBUIÇÃO NF4267'!$E$3:$FQ$75,MATCH(B1450,'DISTRIBUIÇÃO NF4267'!$E$3:$FQ$3,0)+1,0)</f>
        <v>8</v>
      </c>
      <c r="F1450" s="28">
        <f t="shared" si="70"/>
        <v>3</v>
      </c>
    </row>
    <row r="1451" spans="1:6" x14ac:dyDescent="0.35">
      <c r="A1451">
        <f t="shared" si="72"/>
        <v>0</v>
      </c>
      <c r="B1451">
        <f t="shared" si="71"/>
        <v>89</v>
      </c>
      <c r="C1451" s="14" t="s">
        <v>141</v>
      </c>
      <c r="D1451" s="18">
        <f>VLOOKUP(C1451,'DISTRIBUIÇÃO NF4267'!$E$3:$FQ$75,MATCH(B1451,'DISTRIBUIÇÃO NF4267'!$E$3:$FQ$3,0)+1,0)</f>
        <v>4</v>
      </c>
      <c r="F1451" s="28">
        <f t="shared" si="70"/>
        <v>3</v>
      </c>
    </row>
    <row r="1452" spans="1:6" x14ac:dyDescent="0.35">
      <c r="A1452">
        <f t="shared" si="72"/>
        <v>0</v>
      </c>
      <c r="B1452">
        <f t="shared" si="71"/>
        <v>89</v>
      </c>
      <c r="C1452" s="14" t="s">
        <v>142</v>
      </c>
      <c r="D1452" s="18">
        <f>VLOOKUP(C1452,'DISTRIBUIÇÃO NF4267'!$E$3:$FQ$75,MATCH(B1452,'DISTRIBUIÇÃO NF4267'!$E$3:$FQ$3,0)+1,0)</f>
        <v>4</v>
      </c>
      <c r="F1452" s="28">
        <f t="shared" si="70"/>
        <v>3</v>
      </c>
    </row>
    <row r="1453" spans="1:6" x14ac:dyDescent="0.35">
      <c r="A1453">
        <f t="shared" si="72"/>
        <v>0</v>
      </c>
      <c r="B1453">
        <f t="shared" si="71"/>
        <v>89</v>
      </c>
      <c r="C1453" s="14" t="s">
        <v>143</v>
      </c>
      <c r="D1453" s="18">
        <f>VLOOKUP(C1453,'DISTRIBUIÇÃO NF4267'!$E$3:$FQ$75,MATCH(B1453,'DISTRIBUIÇÃO NF4267'!$E$3:$FQ$3,0)+1,0)</f>
        <v>0</v>
      </c>
      <c r="F1453" s="28">
        <f t="shared" si="70"/>
        <v>3</v>
      </c>
    </row>
    <row r="1454" spans="1:6" x14ac:dyDescent="0.35">
      <c r="A1454">
        <f t="shared" si="72"/>
        <v>0</v>
      </c>
      <c r="B1454">
        <f t="shared" si="71"/>
        <v>89</v>
      </c>
      <c r="C1454" s="15" t="s">
        <v>145</v>
      </c>
      <c r="D1454" s="18">
        <f>VLOOKUP(C1454,'DISTRIBUIÇÃO NF4267'!$E$3:$FQ$75,MATCH(B1454,'DISTRIBUIÇÃO NF4267'!$E$3:$FQ$3,0)+1,0)</f>
        <v>0</v>
      </c>
      <c r="F1454" s="28">
        <f t="shared" si="70"/>
        <v>3</v>
      </c>
    </row>
    <row r="1455" spans="1:6" x14ac:dyDescent="0.35">
      <c r="A1455">
        <f t="shared" si="72"/>
        <v>0</v>
      </c>
      <c r="B1455">
        <f t="shared" si="71"/>
        <v>89</v>
      </c>
      <c r="C1455" s="15" t="s">
        <v>146</v>
      </c>
      <c r="D1455" s="18">
        <f>VLOOKUP(C1455,'DISTRIBUIÇÃO NF4267'!$E$3:$FQ$75,MATCH(B1455,'DISTRIBUIÇÃO NF4267'!$E$3:$FQ$3,0)+1,0)</f>
        <v>2</v>
      </c>
      <c r="F1455" s="28">
        <f t="shared" si="70"/>
        <v>3</v>
      </c>
    </row>
    <row r="1456" spans="1:6" x14ac:dyDescent="0.35">
      <c r="A1456">
        <f t="shared" si="72"/>
        <v>0</v>
      </c>
      <c r="B1456">
        <f t="shared" si="71"/>
        <v>89</v>
      </c>
      <c r="C1456" s="15" t="s">
        <v>147</v>
      </c>
      <c r="D1456" s="18">
        <f>VLOOKUP(C1456,'DISTRIBUIÇÃO NF4267'!$E$3:$FQ$75,MATCH(B1456,'DISTRIBUIÇÃO NF4267'!$E$3:$FQ$3,0)+1,0)</f>
        <v>4</v>
      </c>
      <c r="F1456" s="28">
        <f t="shared" si="70"/>
        <v>3</v>
      </c>
    </row>
    <row r="1457" spans="1:6" x14ac:dyDescent="0.35">
      <c r="A1457">
        <f t="shared" si="72"/>
        <v>0</v>
      </c>
      <c r="B1457">
        <f t="shared" si="71"/>
        <v>89</v>
      </c>
      <c r="C1457" s="15" t="s">
        <v>148</v>
      </c>
      <c r="D1457" s="18">
        <f>VLOOKUP(C1457,'DISTRIBUIÇÃO NF4267'!$E$3:$FQ$75,MATCH(B1457,'DISTRIBUIÇÃO NF4267'!$E$3:$FQ$3,0)+1,0)</f>
        <v>2</v>
      </c>
      <c r="F1457" s="28">
        <f t="shared" si="70"/>
        <v>3</v>
      </c>
    </row>
    <row r="1458" spans="1:6" x14ac:dyDescent="0.35">
      <c r="A1458">
        <f t="shared" si="72"/>
        <v>0</v>
      </c>
      <c r="B1458">
        <f t="shared" si="71"/>
        <v>89</v>
      </c>
      <c r="C1458" s="15" t="s">
        <v>149</v>
      </c>
      <c r="D1458" s="18">
        <f>VLOOKUP(C1458,'DISTRIBUIÇÃO NF4267'!$E$3:$FQ$75,MATCH(B1458,'DISTRIBUIÇÃO NF4267'!$E$3:$FQ$3,0)+1,0)</f>
        <v>2</v>
      </c>
      <c r="F1458" s="28">
        <f t="shared" si="70"/>
        <v>3</v>
      </c>
    </row>
    <row r="1459" spans="1:6" x14ac:dyDescent="0.35">
      <c r="A1459">
        <f t="shared" si="72"/>
        <v>0</v>
      </c>
      <c r="B1459">
        <f t="shared" si="71"/>
        <v>89</v>
      </c>
      <c r="C1459" s="15" t="s">
        <v>150</v>
      </c>
      <c r="D1459" s="18">
        <f>VLOOKUP(C1459,'DISTRIBUIÇÃO NF4267'!$E$3:$FQ$75,MATCH(B1459,'DISTRIBUIÇÃO NF4267'!$E$3:$FQ$3,0)+1,0)</f>
        <v>0</v>
      </c>
      <c r="F1459" s="28">
        <f t="shared" si="70"/>
        <v>3</v>
      </c>
    </row>
    <row r="1460" spans="1:6" x14ac:dyDescent="0.35">
      <c r="A1460">
        <f t="shared" si="72"/>
        <v>0</v>
      </c>
      <c r="B1460" t="s">
        <v>46</v>
      </c>
      <c r="C1460" s="7" t="s">
        <v>98</v>
      </c>
      <c r="D1460" s="18">
        <f>VLOOKUP(C1460,'DISTRIBUIÇÃO NF4267'!$E$3:$FQ$75,MATCH(B1460,'DISTRIBUIÇÃO NF4267'!$E$3:$FQ$3,0)+1,0)</f>
        <v>0</v>
      </c>
      <c r="F1460" s="28">
        <f t="shared" si="70"/>
        <v>3</v>
      </c>
    </row>
    <row r="1461" spans="1:6" x14ac:dyDescent="0.35">
      <c r="A1461">
        <f t="shared" si="72"/>
        <v>0</v>
      </c>
      <c r="B1461" t="str">
        <f>B1460</f>
        <v>B0</v>
      </c>
      <c r="C1461" s="7" t="s">
        <v>99</v>
      </c>
      <c r="D1461" s="18">
        <f>VLOOKUP(C1461,'DISTRIBUIÇÃO NF4267'!$E$3:$FQ$75,MATCH(B1461,'DISTRIBUIÇÃO NF4267'!$E$3:$FQ$3,0)+1,0)</f>
        <v>4</v>
      </c>
      <c r="F1461" s="28">
        <f t="shared" si="70"/>
        <v>3</v>
      </c>
    </row>
    <row r="1462" spans="1:6" x14ac:dyDescent="0.35">
      <c r="A1462">
        <f t="shared" si="72"/>
        <v>0</v>
      </c>
      <c r="B1462" t="str">
        <f t="shared" ref="B1462:B1513" si="73">B1461</f>
        <v>B0</v>
      </c>
      <c r="C1462" s="7" t="s">
        <v>100</v>
      </c>
      <c r="D1462" s="18">
        <f>VLOOKUP(C1462,'DISTRIBUIÇÃO NF4267'!$E$3:$FQ$75,MATCH(B1462,'DISTRIBUIÇÃO NF4267'!$E$3:$FQ$3,0)+1,0)</f>
        <v>8</v>
      </c>
      <c r="F1462" s="28">
        <f t="shared" si="70"/>
        <v>3</v>
      </c>
    </row>
    <row r="1463" spans="1:6" x14ac:dyDescent="0.35">
      <c r="A1463">
        <f t="shared" si="72"/>
        <v>0</v>
      </c>
      <c r="B1463" t="str">
        <f t="shared" si="73"/>
        <v>B0</v>
      </c>
      <c r="C1463" s="7" t="s">
        <v>101</v>
      </c>
      <c r="D1463" s="18">
        <f>VLOOKUP(C1463,'DISTRIBUIÇÃO NF4267'!$E$3:$FQ$75,MATCH(B1463,'DISTRIBUIÇÃO NF4267'!$E$3:$FQ$3,0)+1,0)</f>
        <v>4</v>
      </c>
      <c r="F1463" s="28">
        <f t="shared" si="70"/>
        <v>3</v>
      </c>
    </row>
    <row r="1464" spans="1:6" x14ac:dyDescent="0.35">
      <c r="A1464">
        <f t="shared" si="72"/>
        <v>0</v>
      </c>
      <c r="B1464" t="str">
        <f t="shared" si="73"/>
        <v>B0</v>
      </c>
      <c r="C1464" s="7" t="s">
        <v>102</v>
      </c>
      <c r="D1464" s="18">
        <f>VLOOKUP(C1464,'DISTRIBUIÇÃO NF4267'!$E$3:$FQ$75,MATCH(B1464,'DISTRIBUIÇÃO NF4267'!$E$3:$FQ$3,0)+1,0)</f>
        <v>4</v>
      </c>
      <c r="F1464" s="28">
        <f t="shared" ref="F1464:F1527" si="74">ROUNDUP(SUMIFS(D:D,B:B,B1464)/80,0)</f>
        <v>3</v>
      </c>
    </row>
    <row r="1465" spans="1:6" x14ac:dyDescent="0.35">
      <c r="A1465">
        <f t="shared" si="72"/>
        <v>0</v>
      </c>
      <c r="B1465" t="str">
        <f t="shared" si="73"/>
        <v>B0</v>
      </c>
      <c r="C1465" s="7" t="s">
        <v>103</v>
      </c>
      <c r="D1465" s="18">
        <f>VLOOKUP(C1465,'DISTRIBUIÇÃO NF4267'!$E$3:$FQ$75,MATCH(B1465,'DISTRIBUIÇÃO NF4267'!$E$3:$FQ$3,0)+1,0)</f>
        <v>0</v>
      </c>
      <c r="F1465" s="28">
        <f t="shared" si="74"/>
        <v>3</v>
      </c>
    </row>
    <row r="1466" spans="1:6" x14ac:dyDescent="0.35">
      <c r="A1466">
        <f t="shared" si="72"/>
        <v>0</v>
      </c>
      <c r="B1466" t="str">
        <f t="shared" si="73"/>
        <v>B0</v>
      </c>
      <c r="C1466" s="8" t="s">
        <v>107</v>
      </c>
      <c r="D1466" s="18">
        <f>VLOOKUP(C1466,'DISTRIBUIÇÃO NF4267'!$E$3:$FQ$75,MATCH(B1466,'DISTRIBUIÇÃO NF4267'!$E$3:$FQ$3,0)+1,0)</f>
        <v>0</v>
      </c>
      <c r="F1466" s="28">
        <f t="shared" si="74"/>
        <v>3</v>
      </c>
    </row>
    <row r="1467" spans="1:6" x14ac:dyDescent="0.35">
      <c r="A1467">
        <f t="shared" si="72"/>
        <v>0</v>
      </c>
      <c r="B1467" t="str">
        <f t="shared" si="73"/>
        <v>B0</v>
      </c>
      <c r="C1467" s="8" t="s">
        <v>108</v>
      </c>
      <c r="D1467" s="18">
        <f>VLOOKUP(C1467,'DISTRIBUIÇÃO NF4267'!$E$3:$FQ$75,MATCH(B1467,'DISTRIBUIÇÃO NF4267'!$E$3:$FQ$3,0)+1,0)</f>
        <v>2</v>
      </c>
      <c r="F1467" s="28">
        <f t="shared" si="74"/>
        <v>3</v>
      </c>
    </row>
    <row r="1468" spans="1:6" x14ac:dyDescent="0.35">
      <c r="A1468">
        <f t="shared" si="72"/>
        <v>0</v>
      </c>
      <c r="B1468" t="str">
        <f t="shared" si="73"/>
        <v>B0</v>
      </c>
      <c r="C1468" s="8" t="s">
        <v>109</v>
      </c>
      <c r="D1468" s="18">
        <f>VLOOKUP(C1468,'DISTRIBUIÇÃO NF4267'!$E$3:$FQ$75,MATCH(B1468,'DISTRIBUIÇÃO NF4267'!$E$3:$FQ$3,0)+1,0)</f>
        <v>4</v>
      </c>
      <c r="F1468" s="28">
        <f t="shared" si="74"/>
        <v>3</v>
      </c>
    </row>
    <row r="1469" spans="1:6" x14ac:dyDescent="0.35">
      <c r="A1469">
        <f t="shared" si="72"/>
        <v>0</v>
      </c>
      <c r="B1469" t="str">
        <f t="shared" si="73"/>
        <v>B0</v>
      </c>
      <c r="C1469" s="8" t="s">
        <v>110</v>
      </c>
      <c r="D1469" s="18">
        <f>VLOOKUP(C1469,'DISTRIBUIÇÃO NF4267'!$E$3:$FQ$75,MATCH(B1469,'DISTRIBUIÇÃO NF4267'!$E$3:$FQ$3,0)+1,0)</f>
        <v>2</v>
      </c>
      <c r="F1469" s="28">
        <f t="shared" si="74"/>
        <v>3</v>
      </c>
    </row>
    <row r="1470" spans="1:6" x14ac:dyDescent="0.35">
      <c r="A1470">
        <f t="shared" si="72"/>
        <v>0</v>
      </c>
      <c r="B1470" t="str">
        <f t="shared" si="73"/>
        <v>B0</v>
      </c>
      <c r="C1470" s="8" t="s">
        <v>111</v>
      </c>
      <c r="D1470" s="18">
        <f>VLOOKUP(C1470,'DISTRIBUIÇÃO NF4267'!$E$3:$FQ$75,MATCH(B1470,'DISTRIBUIÇÃO NF4267'!$E$3:$FQ$3,0)+1,0)</f>
        <v>2</v>
      </c>
      <c r="F1470" s="28">
        <f t="shared" si="74"/>
        <v>3</v>
      </c>
    </row>
    <row r="1471" spans="1:6" x14ac:dyDescent="0.35">
      <c r="A1471">
        <f t="shared" si="72"/>
        <v>0</v>
      </c>
      <c r="B1471" t="str">
        <f t="shared" si="73"/>
        <v>B0</v>
      </c>
      <c r="C1471" s="8" t="s">
        <v>112</v>
      </c>
      <c r="D1471" s="18">
        <f>VLOOKUP(C1471,'DISTRIBUIÇÃO NF4267'!$E$3:$FQ$75,MATCH(B1471,'DISTRIBUIÇÃO NF4267'!$E$3:$FQ$3,0)+1,0)</f>
        <v>0</v>
      </c>
      <c r="F1471" s="28">
        <f t="shared" si="74"/>
        <v>3</v>
      </c>
    </row>
    <row r="1472" spans="1:6" x14ac:dyDescent="0.35">
      <c r="A1472">
        <f t="shared" si="72"/>
        <v>0</v>
      </c>
      <c r="B1472" t="str">
        <f t="shared" si="73"/>
        <v>B0</v>
      </c>
      <c r="C1472" s="9" t="s">
        <v>113</v>
      </c>
      <c r="D1472" s="18">
        <f>VLOOKUP(C1472,'DISTRIBUIÇÃO NF4267'!$E$3:$FQ$75,MATCH(B1472,'DISTRIBUIÇÃO NF4267'!$E$3:$FQ$3,0)+1,0)</f>
        <v>0</v>
      </c>
      <c r="F1472" s="28">
        <f t="shared" si="74"/>
        <v>3</v>
      </c>
    </row>
    <row r="1473" spans="1:6" x14ac:dyDescent="0.35">
      <c r="A1473">
        <f t="shared" si="72"/>
        <v>0</v>
      </c>
      <c r="B1473" t="str">
        <f t="shared" si="73"/>
        <v>B0</v>
      </c>
      <c r="C1473" s="9" t="s">
        <v>114</v>
      </c>
      <c r="D1473" s="18">
        <f>VLOOKUP(C1473,'DISTRIBUIÇÃO NF4267'!$E$3:$FQ$75,MATCH(B1473,'DISTRIBUIÇÃO NF4267'!$E$3:$FQ$3,0)+1,0)</f>
        <v>6</v>
      </c>
      <c r="F1473" s="28">
        <f t="shared" si="74"/>
        <v>3</v>
      </c>
    </row>
    <row r="1474" spans="1:6" x14ac:dyDescent="0.35">
      <c r="A1474">
        <f t="shared" ref="A1474:A1537" si="75">IF(ISERROR(VLOOKUP(C1474,I:I,1,0)),0,1)</f>
        <v>0</v>
      </c>
      <c r="B1474" t="str">
        <f t="shared" si="73"/>
        <v>B0</v>
      </c>
      <c r="C1474" s="9" t="s">
        <v>115</v>
      </c>
      <c r="D1474" s="18">
        <f>VLOOKUP(C1474,'DISTRIBUIÇÃO NF4267'!$E$3:$FQ$75,MATCH(B1474,'DISTRIBUIÇÃO NF4267'!$E$3:$FQ$3,0)+1,0)</f>
        <v>8</v>
      </c>
      <c r="F1474" s="28">
        <f t="shared" si="74"/>
        <v>3</v>
      </c>
    </row>
    <row r="1475" spans="1:6" x14ac:dyDescent="0.35">
      <c r="A1475">
        <f t="shared" si="75"/>
        <v>0</v>
      </c>
      <c r="B1475" t="str">
        <f t="shared" si="73"/>
        <v>B0</v>
      </c>
      <c r="C1475" s="9" t="s">
        <v>116</v>
      </c>
      <c r="D1475" s="18">
        <f>VLOOKUP(C1475,'DISTRIBUIÇÃO NF4267'!$E$3:$FQ$75,MATCH(B1475,'DISTRIBUIÇÃO NF4267'!$E$3:$FQ$3,0)+1,0)</f>
        <v>4</v>
      </c>
      <c r="F1475" s="28">
        <f t="shared" si="74"/>
        <v>3</v>
      </c>
    </row>
    <row r="1476" spans="1:6" x14ac:dyDescent="0.35">
      <c r="A1476">
        <f t="shared" si="75"/>
        <v>0</v>
      </c>
      <c r="B1476" t="str">
        <f t="shared" si="73"/>
        <v>B0</v>
      </c>
      <c r="C1476" s="9" t="s">
        <v>117</v>
      </c>
      <c r="D1476" s="18">
        <f>VLOOKUP(C1476,'DISTRIBUIÇÃO NF4267'!$E$3:$FQ$75,MATCH(B1476,'DISTRIBUIÇÃO NF4267'!$E$3:$FQ$3,0)+1,0)</f>
        <v>2</v>
      </c>
      <c r="F1476" s="28">
        <f t="shared" si="74"/>
        <v>3</v>
      </c>
    </row>
    <row r="1477" spans="1:6" x14ac:dyDescent="0.35">
      <c r="A1477">
        <f t="shared" si="75"/>
        <v>0</v>
      </c>
      <c r="B1477" t="str">
        <f t="shared" si="73"/>
        <v>B0</v>
      </c>
      <c r="C1477" s="9" t="s">
        <v>118</v>
      </c>
      <c r="D1477" s="18">
        <f>VLOOKUP(C1477,'DISTRIBUIÇÃO NF4267'!$E$3:$FQ$75,MATCH(B1477,'DISTRIBUIÇÃO NF4267'!$E$3:$FQ$3,0)+1,0)</f>
        <v>0</v>
      </c>
      <c r="F1477" s="28">
        <f t="shared" si="74"/>
        <v>3</v>
      </c>
    </row>
    <row r="1478" spans="1:6" x14ac:dyDescent="0.35">
      <c r="A1478">
        <f t="shared" si="75"/>
        <v>0</v>
      </c>
      <c r="B1478" t="str">
        <f t="shared" si="73"/>
        <v>B0</v>
      </c>
      <c r="C1478" s="10" t="s">
        <v>119</v>
      </c>
      <c r="D1478" s="18">
        <f>VLOOKUP(C1478,'DISTRIBUIÇÃO NF4267'!$E$3:$FQ$75,MATCH(B1478,'DISTRIBUIÇÃO NF4267'!$E$3:$FQ$3,0)+1,0)</f>
        <v>0</v>
      </c>
      <c r="F1478" s="28">
        <f t="shared" si="74"/>
        <v>3</v>
      </c>
    </row>
    <row r="1479" spans="1:6" x14ac:dyDescent="0.35">
      <c r="A1479">
        <f t="shared" si="75"/>
        <v>0</v>
      </c>
      <c r="B1479" t="str">
        <f t="shared" si="73"/>
        <v>B0</v>
      </c>
      <c r="C1479" s="10" t="s">
        <v>120</v>
      </c>
      <c r="D1479" s="18">
        <f>VLOOKUP(C1479,'DISTRIBUIÇÃO NF4267'!$E$3:$FQ$75,MATCH(B1479,'DISTRIBUIÇÃO NF4267'!$E$3:$FQ$3,0)+1,0)</f>
        <v>48</v>
      </c>
      <c r="F1479" s="28">
        <f t="shared" si="74"/>
        <v>3</v>
      </c>
    </row>
    <row r="1480" spans="1:6" x14ac:dyDescent="0.35">
      <c r="A1480">
        <f t="shared" si="75"/>
        <v>0</v>
      </c>
      <c r="B1480" t="str">
        <f t="shared" si="73"/>
        <v>B0</v>
      </c>
      <c r="C1480" s="10" t="s">
        <v>121</v>
      </c>
      <c r="D1480" s="18">
        <f>VLOOKUP(C1480,'DISTRIBUIÇÃO NF4267'!$E$3:$FQ$75,MATCH(B1480,'DISTRIBUIÇÃO NF4267'!$E$3:$FQ$3,0)+1,0)</f>
        <v>16</v>
      </c>
      <c r="F1480" s="28">
        <f t="shared" si="74"/>
        <v>3</v>
      </c>
    </row>
    <row r="1481" spans="1:6" x14ac:dyDescent="0.35">
      <c r="A1481">
        <f t="shared" si="75"/>
        <v>0</v>
      </c>
      <c r="B1481" t="str">
        <f t="shared" si="73"/>
        <v>B0</v>
      </c>
      <c r="C1481" s="10" t="s">
        <v>122</v>
      </c>
      <c r="D1481" s="18">
        <f>VLOOKUP(C1481,'DISTRIBUIÇÃO NF4267'!$E$3:$FQ$75,MATCH(B1481,'DISTRIBUIÇÃO NF4267'!$E$3:$FQ$3,0)+1,0)</f>
        <v>16</v>
      </c>
      <c r="F1481" s="28">
        <f t="shared" si="74"/>
        <v>3</v>
      </c>
    </row>
    <row r="1482" spans="1:6" x14ac:dyDescent="0.35">
      <c r="A1482">
        <f t="shared" si="75"/>
        <v>0</v>
      </c>
      <c r="B1482" t="str">
        <f t="shared" si="73"/>
        <v>B0</v>
      </c>
      <c r="C1482" s="10" t="s">
        <v>123</v>
      </c>
      <c r="D1482" s="18">
        <f>VLOOKUP(C1482,'DISTRIBUIÇÃO NF4267'!$E$3:$FQ$75,MATCH(B1482,'DISTRIBUIÇÃO NF4267'!$E$3:$FQ$3,0)+1,0)</f>
        <v>0</v>
      </c>
      <c r="F1482" s="28">
        <f t="shared" si="74"/>
        <v>3</v>
      </c>
    </row>
    <row r="1483" spans="1:6" x14ac:dyDescent="0.35">
      <c r="A1483">
        <f t="shared" si="75"/>
        <v>0</v>
      </c>
      <c r="B1483" t="str">
        <f t="shared" si="73"/>
        <v>B0</v>
      </c>
      <c r="C1483" s="10" t="s">
        <v>124</v>
      </c>
      <c r="D1483" s="18">
        <f>VLOOKUP(C1483,'DISTRIBUIÇÃO NF4267'!$E$3:$FQ$75,MATCH(B1483,'DISTRIBUIÇÃO NF4267'!$E$3:$FQ$3,0)+1,0)</f>
        <v>0</v>
      </c>
      <c r="F1483" s="28">
        <f t="shared" si="74"/>
        <v>3</v>
      </c>
    </row>
    <row r="1484" spans="1:6" x14ac:dyDescent="0.35">
      <c r="A1484">
        <f t="shared" si="75"/>
        <v>0</v>
      </c>
      <c r="B1484" t="str">
        <f t="shared" si="73"/>
        <v>B0</v>
      </c>
      <c r="C1484" s="11" t="s">
        <v>16</v>
      </c>
      <c r="D1484" s="18">
        <f>VLOOKUP(C1484,'DISTRIBUIÇÃO NF4267'!$E$3:$FQ$75,MATCH(B1484,'DISTRIBUIÇÃO NF4267'!$E$3:$FQ$3,0)+1,0)</f>
        <v>0</v>
      </c>
      <c r="F1484" s="28">
        <f t="shared" si="74"/>
        <v>3</v>
      </c>
    </row>
    <row r="1485" spans="1:6" x14ac:dyDescent="0.35">
      <c r="A1485">
        <f t="shared" si="75"/>
        <v>0</v>
      </c>
      <c r="B1485" t="str">
        <f t="shared" si="73"/>
        <v>B0</v>
      </c>
      <c r="C1485" s="11" t="s">
        <v>17</v>
      </c>
      <c r="D1485" s="18">
        <f>VLOOKUP(C1485,'DISTRIBUIÇÃO NF4267'!$E$3:$FQ$75,MATCH(B1485,'DISTRIBUIÇÃO NF4267'!$E$3:$FQ$3,0)+1,0)</f>
        <v>9</v>
      </c>
      <c r="F1485" s="28">
        <f t="shared" si="74"/>
        <v>3</v>
      </c>
    </row>
    <row r="1486" spans="1:6" x14ac:dyDescent="0.35">
      <c r="A1486">
        <f t="shared" si="75"/>
        <v>0</v>
      </c>
      <c r="B1486" t="str">
        <f t="shared" si="73"/>
        <v>B0</v>
      </c>
      <c r="C1486" s="11" t="s">
        <v>18</v>
      </c>
      <c r="D1486" s="18">
        <f>VLOOKUP(C1486,'DISTRIBUIÇÃO NF4267'!$E$3:$FQ$75,MATCH(B1486,'DISTRIBUIÇÃO NF4267'!$E$3:$FQ$3,0)+1,0)</f>
        <v>3</v>
      </c>
      <c r="F1486" s="28">
        <f t="shared" si="74"/>
        <v>3</v>
      </c>
    </row>
    <row r="1487" spans="1:6" x14ac:dyDescent="0.35">
      <c r="A1487">
        <f t="shared" si="75"/>
        <v>0</v>
      </c>
      <c r="B1487" t="str">
        <f t="shared" si="73"/>
        <v>B0</v>
      </c>
      <c r="C1487" s="11" t="s">
        <v>19</v>
      </c>
      <c r="D1487" s="18">
        <f>VLOOKUP(C1487,'DISTRIBUIÇÃO NF4267'!$E$3:$FQ$75,MATCH(B1487,'DISTRIBUIÇÃO NF4267'!$E$3:$FQ$3,0)+1,0)</f>
        <v>3</v>
      </c>
      <c r="F1487" s="28">
        <f t="shared" si="74"/>
        <v>3</v>
      </c>
    </row>
    <row r="1488" spans="1:6" x14ac:dyDescent="0.35">
      <c r="A1488">
        <f t="shared" si="75"/>
        <v>0</v>
      </c>
      <c r="B1488" t="str">
        <f t="shared" si="73"/>
        <v>B0</v>
      </c>
      <c r="C1488" s="11" t="s">
        <v>20</v>
      </c>
      <c r="D1488" s="18">
        <f>VLOOKUP(C1488,'DISTRIBUIÇÃO NF4267'!$E$3:$FQ$75,MATCH(B1488,'DISTRIBUIÇÃO NF4267'!$E$3:$FQ$3,0)+1,0)</f>
        <v>15</v>
      </c>
      <c r="F1488" s="28">
        <f t="shared" si="74"/>
        <v>3</v>
      </c>
    </row>
    <row r="1489" spans="1:6" x14ac:dyDescent="0.35">
      <c r="A1489">
        <f t="shared" si="75"/>
        <v>0</v>
      </c>
      <c r="B1489" t="str">
        <f t="shared" si="73"/>
        <v>B0</v>
      </c>
      <c r="C1489" s="11" t="s">
        <v>21</v>
      </c>
      <c r="D1489" s="18">
        <f>VLOOKUP(C1489,'DISTRIBUIÇÃO NF4267'!$E$3:$FQ$75,MATCH(B1489,'DISTRIBUIÇÃO NF4267'!$E$3:$FQ$3,0)+1,0)</f>
        <v>0</v>
      </c>
      <c r="F1489" s="28">
        <f t="shared" si="74"/>
        <v>3</v>
      </c>
    </row>
    <row r="1490" spans="1:6" x14ac:dyDescent="0.35">
      <c r="A1490">
        <f t="shared" si="75"/>
        <v>0</v>
      </c>
      <c r="B1490" t="str">
        <f t="shared" si="73"/>
        <v>B0</v>
      </c>
      <c r="C1490" s="12" t="s">
        <v>130</v>
      </c>
      <c r="D1490" s="18">
        <f>VLOOKUP(C1490,'DISTRIBUIÇÃO NF4267'!$E$3:$FQ$75,MATCH(B1490,'DISTRIBUIÇÃO NF4267'!$E$3:$FQ$3,0)+1,0)</f>
        <v>0</v>
      </c>
      <c r="F1490" s="28">
        <f t="shared" si="74"/>
        <v>3</v>
      </c>
    </row>
    <row r="1491" spans="1:6" x14ac:dyDescent="0.35">
      <c r="A1491">
        <f t="shared" si="75"/>
        <v>0</v>
      </c>
      <c r="B1491" t="str">
        <f t="shared" si="73"/>
        <v>B0</v>
      </c>
      <c r="C1491" s="12" t="s">
        <v>131</v>
      </c>
      <c r="D1491" s="18">
        <f>VLOOKUP(C1491,'DISTRIBUIÇÃO NF4267'!$E$3:$FQ$75,MATCH(B1491,'DISTRIBUIÇÃO NF4267'!$E$3:$FQ$3,0)+1,0)</f>
        <v>1</v>
      </c>
      <c r="F1491" s="28">
        <f t="shared" si="74"/>
        <v>3</v>
      </c>
    </row>
    <row r="1492" spans="1:6" x14ac:dyDescent="0.35">
      <c r="A1492">
        <f t="shared" si="75"/>
        <v>0</v>
      </c>
      <c r="B1492" t="str">
        <f t="shared" si="73"/>
        <v>B0</v>
      </c>
      <c r="C1492" s="12" t="s">
        <v>132</v>
      </c>
      <c r="D1492" s="18">
        <f>VLOOKUP(C1492,'DISTRIBUIÇÃO NF4267'!$E$3:$FQ$75,MATCH(B1492,'DISTRIBUIÇÃO NF4267'!$E$3:$FQ$3,0)+1,0)</f>
        <v>4</v>
      </c>
      <c r="F1492" s="28">
        <f t="shared" si="74"/>
        <v>3</v>
      </c>
    </row>
    <row r="1493" spans="1:6" x14ac:dyDescent="0.35">
      <c r="A1493">
        <f t="shared" si="75"/>
        <v>0</v>
      </c>
      <c r="B1493" t="str">
        <f t="shared" si="73"/>
        <v>B0</v>
      </c>
      <c r="C1493" s="12" t="s">
        <v>133</v>
      </c>
      <c r="D1493" s="18">
        <f>VLOOKUP(C1493,'DISTRIBUIÇÃO NF4267'!$E$3:$FQ$75,MATCH(B1493,'DISTRIBUIÇÃO NF4267'!$E$3:$FQ$3,0)+1,0)</f>
        <v>3</v>
      </c>
      <c r="F1493" s="28">
        <f t="shared" si="74"/>
        <v>3</v>
      </c>
    </row>
    <row r="1494" spans="1:6" x14ac:dyDescent="0.35">
      <c r="A1494">
        <f t="shared" si="75"/>
        <v>0</v>
      </c>
      <c r="B1494" t="str">
        <f t="shared" si="73"/>
        <v>B0</v>
      </c>
      <c r="C1494" s="12" t="s">
        <v>134</v>
      </c>
      <c r="D1494" s="18">
        <f>VLOOKUP(C1494,'DISTRIBUIÇÃO NF4267'!$E$3:$FQ$75,MATCH(B1494,'DISTRIBUIÇÃO NF4267'!$E$3:$FQ$3,0)+1,0)</f>
        <v>2</v>
      </c>
      <c r="F1494" s="28">
        <f t="shared" si="74"/>
        <v>3</v>
      </c>
    </row>
    <row r="1495" spans="1:6" x14ac:dyDescent="0.35">
      <c r="A1495">
        <f t="shared" si="75"/>
        <v>0</v>
      </c>
      <c r="B1495" t="str">
        <f t="shared" si="73"/>
        <v>B0</v>
      </c>
      <c r="C1495" s="12" t="s">
        <v>135</v>
      </c>
      <c r="D1495" s="18">
        <f>VLOOKUP(C1495,'DISTRIBUIÇÃO NF4267'!$E$3:$FQ$75,MATCH(B1495,'DISTRIBUIÇÃO NF4267'!$E$3:$FQ$3,0)+1,0)</f>
        <v>0</v>
      </c>
      <c r="F1495" s="28">
        <f t="shared" si="74"/>
        <v>3</v>
      </c>
    </row>
    <row r="1496" spans="1:6" x14ac:dyDescent="0.35">
      <c r="A1496">
        <f t="shared" si="75"/>
        <v>0</v>
      </c>
      <c r="B1496" t="str">
        <f t="shared" si="73"/>
        <v>B0</v>
      </c>
      <c r="C1496" s="13" t="s">
        <v>22</v>
      </c>
      <c r="D1496" s="18">
        <f>VLOOKUP(C1496,'DISTRIBUIÇÃO NF4267'!$E$3:$FQ$75,MATCH(B1496,'DISTRIBUIÇÃO NF4267'!$E$3:$FQ$3,0)+1,0)</f>
        <v>0</v>
      </c>
      <c r="F1496" s="28">
        <f t="shared" si="74"/>
        <v>3</v>
      </c>
    </row>
    <row r="1497" spans="1:6" x14ac:dyDescent="0.35">
      <c r="A1497">
        <f t="shared" si="75"/>
        <v>0</v>
      </c>
      <c r="B1497" t="str">
        <f t="shared" si="73"/>
        <v>B0</v>
      </c>
      <c r="C1497" s="13" t="s">
        <v>23</v>
      </c>
      <c r="D1497" s="18">
        <f>VLOOKUP(C1497,'DISTRIBUIÇÃO NF4267'!$E$3:$FQ$75,MATCH(B1497,'DISTRIBUIÇÃO NF4267'!$E$3:$FQ$3,0)+1,0)</f>
        <v>1</v>
      </c>
      <c r="F1497" s="28">
        <f t="shared" si="74"/>
        <v>3</v>
      </c>
    </row>
    <row r="1498" spans="1:6" x14ac:dyDescent="0.35">
      <c r="A1498">
        <f t="shared" si="75"/>
        <v>0</v>
      </c>
      <c r="B1498" t="str">
        <f t="shared" si="73"/>
        <v>B0</v>
      </c>
      <c r="C1498" s="13" t="s">
        <v>24</v>
      </c>
      <c r="D1498" s="18">
        <f>VLOOKUP(C1498,'DISTRIBUIÇÃO NF4267'!$E$3:$FQ$75,MATCH(B1498,'DISTRIBUIÇÃO NF4267'!$E$3:$FQ$3,0)+1,0)</f>
        <v>6</v>
      </c>
      <c r="F1498" s="28">
        <f t="shared" si="74"/>
        <v>3</v>
      </c>
    </row>
    <row r="1499" spans="1:6" x14ac:dyDescent="0.35">
      <c r="A1499">
        <f t="shared" si="75"/>
        <v>0</v>
      </c>
      <c r="B1499" t="str">
        <f t="shared" si="73"/>
        <v>B0</v>
      </c>
      <c r="C1499" s="13" t="s">
        <v>25</v>
      </c>
      <c r="D1499" s="18">
        <f>VLOOKUP(C1499,'DISTRIBUIÇÃO NF4267'!$E$3:$FQ$75,MATCH(B1499,'DISTRIBUIÇÃO NF4267'!$E$3:$FQ$3,0)+1,0)</f>
        <v>2</v>
      </c>
      <c r="F1499" s="28">
        <f t="shared" si="74"/>
        <v>3</v>
      </c>
    </row>
    <row r="1500" spans="1:6" x14ac:dyDescent="0.35">
      <c r="A1500">
        <f t="shared" si="75"/>
        <v>0</v>
      </c>
      <c r="B1500" t="str">
        <f t="shared" si="73"/>
        <v>B0</v>
      </c>
      <c r="C1500" s="13" t="s">
        <v>26</v>
      </c>
      <c r="D1500" s="18">
        <f>VLOOKUP(C1500,'DISTRIBUIÇÃO NF4267'!$E$3:$FQ$75,MATCH(B1500,'DISTRIBUIÇÃO NF4267'!$E$3:$FQ$3,0)+1,0)</f>
        <v>1</v>
      </c>
      <c r="F1500" s="28">
        <f t="shared" si="74"/>
        <v>3</v>
      </c>
    </row>
    <row r="1501" spans="1:6" x14ac:dyDescent="0.35">
      <c r="A1501">
        <f t="shared" si="75"/>
        <v>0</v>
      </c>
      <c r="B1501" t="str">
        <f t="shared" si="73"/>
        <v>B0</v>
      </c>
      <c r="C1501" s="13" t="s">
        <v>27</v>
      </c>
      <c r="D1501" s="18">
        <f>VLOOKUP(C1501,'DISTRIBUIÇÃO NF4267'!$E$3:$FQ$75,MATCH(B1501,'DISTRIBUIÇÃO NF4267'!$E$3:$FQ$3,0)+1,0)</f>
        <v>0</v>
      </c>
      <c r="F1501" s="28">
        <f t="shared" si="74"/>
        <v>3</v>
      </c>
    </row>
    <row r="1502" spans="1:6" x14ac:dyDescent="0.35">
      <c r="A1502">
        <f t="shared" si="75"/>
        <v>0</v>
      </c>
      <c r="B1502" t="str">
        <f t="shared" si="73"/>
        <v>B0</v>
      </c>
      <c r="C1502" s="14" t="s">
        <v>138</v>
      </c>
      <c r="D1502" s="18">
        <f>VLOOKUP(C1502,'DISTRIBUIÇÃO NF4267'!$E$3:$FQ$75,MATCH(B1502,'DISTRIBUIÇÃO NF4267'!$E$3:$FQ$3,0)+1,0)</f>
        <v>0</v>
      </c>
      <c r="F1502" s="28">
        <f t="shared" si="74"/>
        <v>3</v>
      </c>
    </row>
    <row r="1503" spans="1:6" x14ac:dyDescent="0.35">
      <c r="A1503">
        <f t="shared" si="75"/>
        <v>0</v>
      </c>
      <c r="B1503" t="str">
        <f t="shared" si="73"/>
        <v>B0</v>
      </c>
      <c r="C1503" s="14" t="s">
        <v>139</v>
      </c>
      <c r="D1503" s="18">
        <f>VLOOKUP(C1503,'DISTRIBUIÇÃO NF4267'!$E$3:$FQ$75,MATCH(B1503,'DISTRIBUIÇÃO NF4267'!$E$3:$FQ$3,0)+1,0)</f>
        <v>4</v>
      </c>
      <c r="F1503" s="28">
        <f t="shared" si="74"/>
        <v>3</v>
      </c>
    </row>
    <row r="1504" spans="1:6" x14ac:dyDescent="0.35">
      <c r="A1504">
        <f t="shared" si="75"/>
        <v>0</v>
      </c>
      <c r="B1504" t="str">
        <f t="shared" si="73"/>
        <v>B0</v>
      </c>
      <c r="C1504" s="14" t="s">
        <v>140</v>
      </c>
      <c r="D1504" s="18">
        <f>VLOOKUP(C1504,'DISTRIBUIÇÃO NF4267'!$E$3:$FQ$75,MATCH(B1504,'DISTRIBUIÇÃO NF4267'!$E$3:$FQ$3,0)+1,0)</f>
        <v>8</v>
      </c>
      <c r="F1504" s="28">
        <f t="shared" si="74"/>
        <v>3</v>
      </c>
    </row>
    <row r="1505" spans="1:6" x14ac:dyDescent="0.35">
      <c r="A1505">
        <f t="shared" si="75"/>
        <v>0</v>
      </c>
      <c r="B1505" t="str">
        <f t="shared" si="73"/>
        <v>B0</v>
      </c>
      <c r="C1505" s="14" t="s">
        <v>141</v>
      </c>
      <c r="D1505" s="18">
        <f>VLOOKUP(C1505,'DISTRIBUIÇÃO NF4267'!$E$3:$FQ$75,MATCH(B1505,'DISTRIBUIÇÃO NF4267'!$E$3:$FQ$3,0)+1,0)</f>
        <v>4</v>
      </c>
      <c r="F1505" s="28">
        <f t="shared" si="74"/>
        <v>3</v>
      </c>
    </row>
    <row r="1506" spans="1:6" x14ac:dyDescent="0.35">
      <c r="A1506">
        <f t="shared" si="75"/>
        <v>0</v>
      </c>
      <c r="B1506" t="str">
        <f t="shared" si="73"/>
        <v>B0</v>
      </c>
      <c r="C1506" s="14" t="s">
        <v>142</v>
      </c>
      <c r="D1506" s="18">
        <f>VLOOKUP(C1506,'DISTRIBUIÇÃO NF4267'!$E$3:$FQ$75,MATCH(B1506,'DISTRIBUIÇÃO NF4267'!$E$3:$FQ$3,0)+1,0)</f>
        <v>4</v>
      </c>
      <c r="F1506" s="28">
        <f t="shared" si="74"/>
        <v>3</v>
      </c>
    </row>
    <row r="1507" spans="1:6" x14ac:dyDescent="0.35">
      <c r="A1507">
        <f t="shared" si="75"/>
        <v>0</v>
      </c>
      <c r="B1507" t="str">
        <f t="shared" si="73"/>
        <v>B0</v>
      </c>
      <c r="C1507" s="14" t="s">
        <v>143</v>
      </c>
      <c r="D1507" s="18">
        <f>VLOOKUP(C1507,'DISTRIBUIÇÃO NF4267'!$E$3:$FQ$75,MATCH(B1507,'DISTRIBUIÇÃO NF4267'!$E$3:$FQ$3,0)+1,0)</f>
        <v>0</v>
      </c>
      <c r="F1507" s="28">
        <f t="shared" si="74"/>
        <v>3</v>
      </c>
    </row>
    <row r="1508" spans="1:6" x14ac:dyDescent="0.35">
      <c r="A1508">
        <f t="shared" si="75"/>
        <v>0</v>
      </c>
      <c r="B1508" t="str">
        <f t="shared" si="73"/>
        <v>B0</v>
      </c>
      <c r="C1508" s="15" t="s">
        <v>145</v>
      </c>
      <c r="D1508" s="18">
        <f>VLOOKUP(C1508,'DISTRIBUIÇÃO NF4267'!$E$3:$FQ$75,MATCH(B1508,'DISTRIBUIÇÃO NF4267'!$E$3:$FQ$3,0)+1,0)</f>
        <v>0</v>
      </c>
      <c r="F1508" s="28">
        <f t="shared" si="74"/>
        <v>3</v>
      </c>
    </row>
    <row r="1509" spans="1:6" x14ac:dyDescent="0.35">
      <c r="A1509">
        <f t="shared" si="75"/>
        <v>0</v>
      </c>
      <c r="B1509" t="str">
        <f t="shared" si="73"/>
        <v>B0</v>
      </c>
      <c r="C1509" s="15" t="s">
        <v>146</v>
      </c>
      <c r="D1509" s="18">
        <f>VLOOKUP(C1509,'DISTRIBUIÇÃO NF4267'!$E$3:$FQ$75,MATCH(B1509,'DISTRIBUIÇÃO NF4267'!$E$3:$FQ$3,0)+1,0)</f>
        <v>2</v>
      </c>
      <c r="F1509" s="28">
        <f t="shared" si="74"/>
        <v>3</v>
      </c>
    </row>
    <row r="1510" spans="1:6" x14ac:dyDescent="0.35">
      <c r="A1510">
        <f t="shared" si="75"/>
        <v>0</v>
      </c>
      <c r="B1510" t="str">
        <f t="shared" si="73"/>
        <v>B0</v>
      </c>
      <c r="C1510" s="15" t="s">
        <v>147</v>
      </c>
      <c r="D1510" s="18">
        <f>VLOOKUP(C1510,'DISTRIBUIÇÃO NF4267'!$E$3:$FQ$75,MATCH(B1510,'DISTRIBUIÇÃO NF4267'!$E$3:$FQ$3,0)+1,0)</f>
        <v>4</v>
      </c>
      <c r="F1510" s="28">
        <f t="shared" si="74"/>
        <v>3</v>
      </c>
    </row>
    <row r="1511" spans="1:6" x14ac:dyDescent="0.35">
      <c r="A1511">
        <f t="shared" si="75"/>
        <v>0</v>
      </c>
      <c r="B1511" t="str">
        <f t="shared" si="73"/>
        <v>B0</v>
      </c>
      <c r="C1511" s="15" t="s">
        <v>148</v>
      </c>
      <c r="D1511" s="18">
        <f>VLOOKUP(C1511,'DISTRIBUIÇÃO NF4267'!$E$3:$FQ$75,MATCH(B1511,'DISTRIBUIÇÃO NF4267'!$E$3:$FQ$3,0)+1,0)</f>
        <v>2</v>
      </c>
      <c r="F1511" s="28">
        <f t="shared" si="74"/>
        <v>3</v>
      </c>
    </row>
    <row r="1512" spans="1:6" x14ac:dyDescent="0.35">
      <c r="A1512">
        <f t="shared" si="75"/>
        <v>0</v>
      </c>
      <c r="B1512" t="str">
        <f t="shared" si="73"/>
        <v>B0</v>
      </c>
      <c r="C1512" s="15" t="s">
        <v>149</v>
      </c>
      <c r="D1512" s="18">
        <f>VLOOKUP(C1512,'DISTRIBUIÇÃO NF4267'!$E$3:$FQ$75,MATCH(B1512,'DISTRIBUIÇÃO NF4267'!$E$3:$FQ$3,0)+1,0)</f>
        <v>2</v>
      </c>
      <c r="F1512" s="28">
        <f t="shared" si="74"/>
        <v>3</v>
      </c>
    </row>
    <row r="1513" spans="1:6" x14ac:dyDescent="0.35">
      <c r="A1513">
        <f t="shared" si="75"/>
        <v>0</v>
      </c>
      <c r="B1513" t="str">
        <f t="shared" si="73"/>
        <v>B0</v>
      </c>
      <c r="C1513" s="15" t="s">
        <v>150</v>
      </c>
      <c r="D1513" s="18">
        <f>VLOOKUP(C1513,'DISTRIBUIÇÃO NF4267'!$E$3:$FQ$75,MATCH(B1513,'DISTRIBUIÇÃO NF4267'!$E$3:$FQ$3,0)+1,0)</f>
        <v>0</v>
      </c>
      <c r="F1513" s="28">
        <f t="shared" si="74"/>
        <v>3</v>
      </c>
    </row>
    <row r="1514" spans="1:6" x14ac:dyDescent="0.35">
      <c r="A1514">
        <f t="shared" si="75"/>
        <v>0</v>
      </c>
      <c r="B1514">
        <v>61</v>
      </c>
      <c r="C1514" s="7" t="s">
        <v>98</v>
      </c>
      <c r="D1514" s="18">
        <f>VLOOKUP(C1514,'DISTRIBUIÇÃO NF4267'!$E$3:$FQ$75,MATCH(B1514,'DISTRIBUIÇÃO NF4267'!$E$3:$FQ$3,0)+1,0)</f>
        <v>0</v>
      </c>
      <c r="F1514" s="28">
        <f t="shared" si="74"/>
        <v>3</v>
      </c>
    </row>
    <row r="1515" spans="1:6" x14ac:dyDescent="0.35">
      <c r="A1515">
        <f t="shared" si="75"/>
        <v>0</v>
      </c>
      <c r="B1515">
        <f>B1514</f>
        <v>61</v>
      </c>
      <c r="C1515" s="7" t="s">
        <v>99</v>
      </c>
      <c r="D1515" s="18">
        <f>VLOOKUP(C1515,'DISTRIBUIÇÃO NF4267'!$E$3:$FQ$75,MATCH(B1515,'DISTRIBUIÇÃO NF4267'!$E$3:$FQ$3,0)+1,0)</f>
        <v>4</v>
      </c>
      <c r="F1515" s="28">
        <f t="shared" si="74"/>
        <v>3</v>
      </c>
    </row>
    <row r="1516" spans="1:6" x14ac:dyDescent="0.35">
      <c r="A1516">
        <f t="shared" si="75"/>
        <v>0</v>
      </c>
      <c r="B1516">
        <f t="shared" ref="B1516:B1567" si="76">B1515</f>
        <v>61</v>
      </c>
      <c r="C1516" s="7" t="s">
        <v>100</v>
      </c>
      <c r="D1516" s="18">
        <f>VLOOKUP(C1516,'DISTRIBUIÇÃO NF4267'!$E$3:$FQ$75,MATCH(B1516,'DISTRIBUIÇÃO NF4267'!$E$3:$FQ$3,0)+1,0)</f>
        <v>8</v>
      </c>
      <c r="F1516" s="28">
        <f t="shared" si="74"/>
        <v>3</v>
      </c>
    </row>
    <row r="1517" spans="1:6" x14ac:dyDescent="0.35">
      <c r="A1517">
        <f t="shared" si="75"/>
        <v>0</v>
      </c>
      <c r="B1517">
        <f t="shared" si="76"/>
        <v>61</v>
      </c>
      <c r="C1517" s="7" t="s">
        <v>101</v>
      </c>
      <c r="D1517" s="18">
        <f>VLOOKUP(C1517,'DISTRIBUIÇÃO NF4267'!$E$3:$FQ$75,MATCH(B1517,'DISTRIBUIÇÃO NF4267'!$E$3:$FQ$3,0)+1,0)</f>
        <v>4</v>
      </c>
      <c r="F1517" s="28">
        <f t="shared" si="74"/>
        <v>3</v>
      </c>
    </row>
    <row r="1518" spans="1:6" x14ac:dyDescent="0.35">
      <c r="A1518">
        <f t="shared" si="75"/>
        <v>0</v>
      </c>
      <c r="B1518">
        <f t="shared" si="76"/>
        <v>61</v>
      </c>
      <c r="C1518" s="7" t="s">
        <v>102</v>
      </c>
      <c r="D1518" s="18">
        <f>VLOOKUP(C1518,'DISTRIBUIÇÃO NF4267'!$E$3:$FQ$75,MATCH(B1518,'DISTRIBUIÇÃO NF4267'!$E$3:$FQ$3,0)+1,0)</f>
        <v>4</v>
      </c>
      <c r="F1518" s="28">
        <f t="shared" si="74"/>
        <v>3</v>
      </c>
    </row>
    <row r="1519" spans="1:6" x14ac:dyDescent="0.35">
      <c r="A1519">
        <f t="shared" si="75"/>
        <v>0</v>
      </c>
      <c r="B1519">
        <f t="shared" si="76"/>
        <v>61</v>
      </c>
      <c r="C1519" s="7" t="s">
        <v>103</v>
      </c>
      <c r="D1519" s="18">
        <f>VLOOKUP(C1519,'DISTRIBUIÇÃO NF4267'!$E$3:$FQ$75,MATCH(B1519,'DISTRIBUIÇÃO NF4267'!$E$3:$FQ$3,0)+1,0)</f>
        <v>0</v>
      </c>
      <c r="F1519" s="28">
        <f t="shared" si="74"/>
        <v>3</v>
      </c>
    </row>
    <row r="1520" spans="1:6" x14ac:dyDescent="0.35">
      <c r="A1520">
        <f t="shared" si="75"/>
        <v>0</v>
      </c>
      <c r="B1520">
        <f t="shared" si="76"/>
        <v>61</v>
      </c>
      <c r="C1520" s="8" t="s">
        <v>107</v>
      </c>
      <c r="D1520" s="18">
        <f>VLOOKUP(C1520,'DISTRIBUIÇÃO NF4267'!$E$3:$FQ$75,MATCH(B1520,'DISTRIBUIÇÃO NF4267'!$E$3:$FQ$3,0)+1,0)</f>
        <v>0</v>
      </c>
      <c r="F1520" s="28">
        <f t="shared" si="74"/>
        <v>3</v>
      </c>
    </row>
    <row r="1521" spans="1:6" x14ac:dyDescent="0.35">
      <c r="A1521">
        <f t="shared" si="75"/>
        <v>0</v>
      </c>
      <c r="B1521">
        <f t="shared" si="76"/>
        <v>61</v>
      </c>
      <c r="C1521" s="8" t="s">
        <v>108</v>
      </c>
      <c r="D1521" s="18">
        <f>VLOOKUP(C1521,'DISTRIBUIÇÃO NF4267'!$E$3:$FQ$75,MATCH(B1521,'DISTRIBUIÇÃO NF4267'!$E$3:$FQ$3,0)+1,0)</f>
        <v>2</v>
      </c>
      <c r="F1521" s="28">
        <f t="shared" si="74"/>
        <v>3</v>
      </c>
    </row>
    <row r="1522" spans="1:6" x14ac:dyDescent="0.35">
      <c r="A1522">
        <f t="shared" si="75"/>
        <v>0</v>
      </c>
      <c r="B1522">
        <f t="shared" si="76"/>
        <v>61</v>
      </c>
      <c r="C1522" s="8" t="s">
        <v>109</v>
      </c>
      <c r="D1522" s="18">
        <f>VLOOKUP(C1522,'DISTRIBUIÇÃO NF4267'!$E$3:$FQ$75,MATCH(B1522,'DISTRIBUIÇÃO NF4267'!$E$3:$FQ$3,0)+1,0)</f>
        <v>4</v>
      </c>
      <c r="F1522" s="28">
        <f t="shared" si="74"/>
        <v>3</v>
      </c>
    </row>
    <row r="1523" spans="1:6" x14ac:dyDescent="0.35">
      <c r="A1523">
        <f t="shared" si="75"/>
        <v>0</v>
      </c>
      <c r="B1523">
        <f t="shared" si="76"/>
        <v>61</v>
      </c>
      <c r="C1523" s="8" t="s">
        <v>110</v>
      </c>
      <c r="D1523" s="18">
        <f>VLOOKUP(C1523,'DISTRIBUIÇÃO NF4267'!$E$3:$FQ$75,MATCH(B1523,'DISTRIBUIÇÃO NF4267'!$E$3:$FQ$3,0)+1,0)</f>
        <v>2</v>
      </c>
      <c r="F1523" s="28">
        <f t="shared" si="74"/>
        <v>3</v>
      </c>
    </row>
    <row r="1524" spans="1:6" x14ac:dyDescent="0.35">
      <c r="A1524">
        <f t="shared" si="75"/>
        <v>0</v>
      </c>
      <c r="B1524">
        <f t="shared" si="76"/>
        <v>61</v>
      </c>
      <c r="C1524" s="8" t="s">
        <v>111</v>
      </c>
      <c r="D1524" s="18">
        <f>VLOOKUP(C1524,'DISTRIBUIÇÃO NF4267'!$E$3:$FQ$75,MATCH(B1524,'DISTRIBUIÇÃO NF4267'!$E$3:$FQ$3,0)+1,0)</f>
        <v>2</v>
      </c>
      <c r="F1524" s="28">
        <f t="shared" si="74"/>
        <v>3</v>
      </c>
    </row>
    <row r="1525" spans="1:6" x14ac:dyDescent="0.35">
      <c r="A1525">
        <f t="shared" si="75"/>
        <v>0</v>
      </c>
      <c r="B1525">
        <f t="shared" si="76"/>
        <v>61</v>
      </c>
      <c r="C1525" s="8" t="s">
        <v>112</v>
      </c>
      <c r="D1525" s="18">
        <f>VLOOKUP(C1525,'DISTRIBUIÇÃO NF4267'!$E$3:$FQ$75,MATCH(B1525,'DISTRIBUIÇÃO NF4267'!$E$3:$FQ$3,0)+1,0)</f>
        <v>0</v>
      </c>
      <c r="F1525" s="28">
        <f t="shared" si="74"/>
        <v>3</v>
      </c>
    </row>
    <row r="1526" spans="1:6" x14ac:dyDescent="0.35">
      <c r="A1526">
        <f t="shared" si="75"/>
        <v>0</v>
      </c>
      <c r="B1526">
        <f t="shared" si="76"/>
        <v>61</v>
      </c>
      <c r="C1526" s="9" t="s">
        <v>113</v>
      </c>
      <c r="D1526" s="18">
        <f>VLOOKUP(C1526,'DISTRIBUIÇÃO NF4267'!$E$3:$FQ$75,MATCH(B1526,'DISTRIBUIÇÃO NF4267'!$E$3:$FQ$3,0)+1,0)</f>
        <v>0</v>
      </c>
      <c r="F1526" s="28">
        <f t="shared" si="74"/>
        <v>3</v>
      </c>
    </row>
    <row r="1527" spans="1:6" x14ac:dyDescent="0.35">
      <c r="A1527">
        <f t="shared" si="75"/>
        <v>0</v>
      </c>
      <c r="B1527">
        <f t="shared" si="76"/>
        <v>61</v>
      </c>
      <c r="C1527" s="9" t="s">
        <v>114</v>
      </c>
      <c r="D1527" s="18">
        <f>VLOOKUP(C1527,'DISTRIBUIÇÃO NF4267'!$E$3:$FQ$75,MATCH(B1527,'DISTRIBUIÇÃO NF4267'!$E$3:$FQ$3,0)+1,0)</f>
        <v>6</v>
      </c>
      <c r="F1527" s="28">
        <f t="shared" si="74"/>
        <v>3</v>
      </c>
    </row>
    <row r="1528" spans="1:6" x14ac:dyDescent="0.35">
      <c r="A1528">
        <f t="shared" si="75"/>
        <v>0</v>
      </c>
      <c r="B1528">
        <f t="shared" si="76"/>
        <v>61</v>
      </c>
      <c r="C1528" s="9" t="s">
        <v>115</v>
      </c>
      <c r="D1528" s="18">
        <f>VLOOKUP(C1528,'DISTRIBUIÇÃO NF4267'!$E$3:$FQ$75,MATCH(B1528,'DISTRIBUIÇÃO NF4267'!$E$3:$FQ$3,0)+1,0)</f>
        <v>8</v>
      </c>
      <c r="F1528" s="28">
        <f t="shared" ref="F1528:F1591" si="77">ROUNDUP(SUMIFS(D:D,B:B,B1528)/80,0)</f>
        <v>3</v>
      </c>
    </row>
    <row r="1529" spans="1:6" x14ac:dyDescent="0.35">
      <c r="A1529">
        <f t="shared" si="75"/>
        <v>0</v>
      </c>
      <c r="B1529">
        <f t="shared" si="76"/>
        <v>61</v>
      </c>
      <c r="C1529" s="9" t="s">
        <v>116</v>
      </c>
      <c r="D1529" s="18">
        <f>VLOOKUP(C1529,'DISTRIBUIÇÃO NF4267'!$E$3:$FQ$75,MATCH(B1529,'DISTRIBUIÇÃO NF4267'!$E$3:$FQ$3,0)+1,0)</f>
        <v>4</v>
      </c>
      <c r="F1529" s="28">
        <f t="shared" si="77"/>
        <v>3</v>
      </c>
    </row>
    <row r="1530" spans="1:6" x14ac:dyDescent="0.35">
      <c r="A1530">
        <f t="shared" si="75"/>
        <v>0</v>
      </c>
      <c r="B1530">
        <f t="shared" si="76"/>
        <v>61</v>
      </c>
      <c r="C1530" s="9" t="s">
        <v>117</v>
      </c>
      <c r="D1530" s="18">
        <f>VLOOKUP(C1530,'DISTRIBUIÇÃO NF4267'!$E$3:$FQ$75,MATCH(B1530,'DISTRIBUIÇÃO NF4267'!$E$3:$FQ$3,0)+1,0)</f>
        <v>2</v>
      </c>
      <c r="F1530" s="28">
        <f t="shared" si="77"/>
        <v>3</v>
      </c>
    </row>
    <row r="1531" spans="1:6" x14ac:dyDescent="0.35">
      <c r="A1531">
        <f t="shared" si="75"/>
        <v>0</v>
      </c>
      <c r="B1531">
        <f t="shared" si="76"/>
        <v>61</v>
      </c>
      <c r="C1531" s="9" t="s">
        <v>118</v>
      </c>
      <c r="D1531" s="18">
        <f>VLOOKUP(C1531,'DISTRIBUIÇÃO NF4267'!$E$3:$FQ$75,MATCH(B1531,'DISTRIBUIÇÃO NF4267'!$E$3:$FQ$3,0)+1,0)</f>
        <v>0</v>
      </c>
      <c r="F1531" s="28">
        <f t="shared" si="77"/>
        <v>3</v>
      </c>
    </row>
    <row r="1532" spans="1:6" x14ac:dyDescent="0.35">
      <c r="A1532">
        <f t="shared" si="75"/>
        <v>0</v>
      </c>
      <c r="B1532">
        <f t="shared" si="76"/>
        <v>61</v>
      </c>
      <c r="C1532" s="10" t="s">
        <v>119</v>
      </c>
      <c r="D1532" s="18">
        <f>VLOOKUP(C1532,'DISTRIBUIÇÃO NF4267'!$E$3:$FQ$75,MATCH(B1532,'DISTRIBUIÇÃO NF4267'!$E$3:$FQ$3,0)+1,0)</f>
        <v>0</v>
      </c>
      <c r="F1532" s="28">
        <f t="shared" si="77"/>
        <v>3</v>
      </c>
    </row>
    <row r="1533" spans="1:6" x14ac:dyDescent="0.35">
      <c r="A1533">
        <f t="shared" si="75"/>
        <v>0</v>
      </c>
      <c r="B1533">
        <f t="shared" si="76"/>
        <v>61</v>
      </c>
      <c r="C1533" s="10" t="s">
        <v>120</v>
      </c>
      <c r="D1533" s="18">
        <f>VLOOKUP(C1533,'DISTRIBUIÇÃO NF4267'!$E$3:$FQ$75,MATCH(B1533,'DISTRIBUIÇÃO NF4267'!$E$3:$FQ$3,0)+1,0)</f>
        <v>48</v>
      </c>
      <c r="F1533" s="28">
        <f t="shared" si="77"/>
        <v>3</v>
      </c>
    </row>
    <row r="1534" spans="1:6" x14ac:dyDescent="0.35">
      <c r="A1534">
        <f t="shared" si="75"/>
        <v>0</v>
      </c>
      <c r="B1534">
        <f t="shared" si="76"/>
        <v>61</v>
      </c>
      <c r="C1534" s="10" t="s">
        <v>121</v>
      </c>
      <c r="D1534" s="18">
        <f>VLOOKUP(C1534,'DISTRIBUIÇÃO NF4267'!$E$3:$FQ$75,MATCH(B1534,'DISTRIBUIÇÃO NF4267'!$E$3:$FQ$3,0)+1,0)</f>
        <v>16</v>
      </c>
      <c r="F1534" s="28">
        <f t="shared" si="77"/>
        <v>3</v>
      </c>
    </row>
    <row r="1535" spans="1:6" x14ac:dyDescent="0.35">
      <c r="A1535">
        <f t="shared" si="75"/>
        <v>0</v>
      </c>
      <c r="B1535">
        <f t="shared" si="76"/>
        <v>61</v>
      </c>
      <c r="C1535" s="10" t="s">
        <v>122</v>
      </c>
      <c r="D1535" s="18">
        <f>VLOOKUP(C1535,'DISTRIBUIÇÃO NF4267'!$E$3:$FQ$75,MATCH(B1535,'DISTRIBUIÇÃO NF4267'!$E$3:$FQ$3,0)+1,0)</f>
        <v>16</v>
      </c>
      <c r="F1535" s="28">
        <f t="shared" si="77"/>
        <v>3</v>
      </c>
    </row>
    <row r="1536" spans="1:6" x14ac:dyDescent="0.35">
      <c r="A1536">
        <f t="shared" si="75"/>
        <v>0</v>
      </c>
      <c r="B1536">
        <f t="shared" si="76"/>
        <v>61</v>
      </c>
      <c r="C1536" s="10" t="s">
        <v>123</v>
      </c>
      <c r="D1536" s="18">
        <f>VLOOKUP(C1536,'DISTRIBUIÇÃO NF4267'!$E$3:$FQ$75,MATCH(B1536,'DISTRIBUIÇÃO NF4267'!$E$3:$FQ$3,0)+1,0)</f>
        <v>0</v>
      </c>
      <c r="F1536" s="28">
        <f t="shared" si="77"/>
        <v>3</v>
      </c>
    </row>
    <row r="1537" spans="1:6" x14ac:dyDescent="0.35">
      <c r="A1537">
        <f t="shared" si="75"/>
        <v>0</v>
      </c>
      <c r="B1537">
        <f t="shared" si="76"/>
        <v>61</v>
      </c>
      <c r="C1537" s="10" t="s">
        <v>124</v>
      </c>
      <c r="D1537" s="18">
        <f>VLOOKUP(C1537,'DISTRIBUIÇÃO NF4267'!$E$3:$FQ$75,MATCH(B1537,'DISTRIBUIÇÃO NF4267'!$E$3:$FQ$3,0)+1,0)</f>
        <v>0</v>
      </c>
      <c r="F1537" s="28">
        <f t="shared" si="77"/>
        <v>3</v>
      </c>
    </row>
    <row r="1538" spans="1:6" x14ac:dyDescent="0.35">
      <c r="A1538">
        <f t="shared" ref="A1538:A1601" si="78">IF(ISERROR(VLOOKUP(C1538,I:I,1,0)),0,1)</f>
        <v>0</v>
      </c>
      <c r="B1538">
        <f t="shared" si="76"/>
        <v>61</v>
      </c>
      <c r="C1538" s="11" t="s">
        <v>16</v>
      </c>
      <c r="D1538" s="18">
        <f>VLOOKUP(C1538,'DISTRIBUIÇÃO NF4267'!$E$3:$FQ$75,MATCH(B1538,'DISTRIBUIÇÃO NF4267'!$E$3:$FQ$3,0)+1,0)</f>
        <v>0</v>
      </c>
      <c r="F1538" s="28">
        <f t="shared" si="77"/>
        <v>3</v>
      </c>
    </row>
    <row r="1539" spans="1:6" x14ac:dyDescent="0.35">
      <c r="A1539">
        <f t="shared" si="78"/>
        <v>0</v>
      </c>
      <c r="B1539">
        <f t="shared" si="76"/>
        <v>61</v>
      </c>
      <c r="C1539" s="11" t="s">
        <v>17</v>
      </c>
      <c r="D1539" s="18">
        <f>VLOOKUP(C1539,'DISTRIBUIÇÃO NF4267'!$E$3:$FQ$75,MATCH(B1539,'DISTRIBUIÇÃO NF4267'!$E$3:$FQ$3,0)+1,0)</f>
        <v>9</v>
      </c>
      <c r="F1539" s="28">
        <f t="shared" si="77"/>
        <v>3</v>
      </c>
    </row>
    <row r="1540" spans="1:6" x14ac:dyDescent="0.35">
      <c r="A1540">
        <f t="shared" si="78"/>
        <v>0</v>
      </c>
      <c r="B1540">
        <f t="shared" si="76"/>
        <v>61</v>
      </c>
      <c r="C1540" s="11" t="s">
        <v>18</v>
      </c>
      <c r="D1540" s="18">
        <f>VLOOKUP(C1540,'DISTRIBUIÇÃO NF4267'!$E$3:$FQ$75,MATCH(B1540,'DISTRIBUIÇÃO NF4267'!$E$3:$FQ$3,0)+1,0)</f>
        <v>3</v>
      </c>
      <c r="F1540" s="28">
        <f t="shared" si="77"/>
        <v>3</v>
      </c>
    </row>
    <row r="1541" spans="1:6" x14ac:dyDescent="0.35">
      <c r="A1541">
        <f t="shared" si="78"/>
        <v>0</v>
      </c>
      <c r="B1541">
        <f t="shared" si="76"/>
        <v>61</v>
      </c>
      <c r="C1541" s="11" t="s">
        <v>19</v>
      </c>
      <c r="D1541" s="18">
        <f>VLOOKUP(C1541,'DISTRIBUIÇÃO NF4267'!$E$3:$FQ$75,MATCH(B1541,'DISTRIBUIÇÃO NF4267'!$E$3:$FQ$3,0)+1,0)</f>
        <v>3</v>
      </c>
      <c r="F1541" s="28">
        <f t="shared" si="77"/>
        <v>3</v>
      </c>
    </row>
    <row r="1542" spans="1:6" x14ac:dyDescent="0.35">
      <c r="A1542">
        <f t="shared" si="78"/>
        <v>0</v>
      </c>
      <c r="B1542">
        <f t="shared" si="76"/>
        <v>61</v>
      </c>
      <c r="C1542" s="11" t="s">
        <v>20</v>
      </c>
      <c r="D1542" s="18">
        <f>VLOOKUP(C1542,'DISTRIBUIÇÃO NF4267'!$E$3:$FQ$75,MATCH(B1542,'DISTRIBUIÇÃO NF4267'!$E$3:$FQ$3,0)+1,0)</f>
        <v>15</v>
      </c>
      <c r="F1542" s="28">
        <f t="shared" si="77"/>
        <v>3</v>
      </c>
    </row>
    <row r="1543" spans="1:6" x14ac:dyDescent="0.35">
      <c r="A1543">
        <f t="shared" si="78"/>
        <v>0</v>
      </c>
      <c r="B1543">
        <f t="shared" si="76"/>
        <v>61</v>
      </c>
      <c r="C1543" s="11" t="s">
        <v>21</v>
      </c>
      <c r="D1543" s="18">
        <f>VLOOKUP(C1543,'DISTRIBUIÇÃO NF4267'!$E$3:$FQ$75,MATCH(B1543,'DISTRIBUIÇÃO NF4267'!$E$3:$FQ$3,0)+1,0)</f>
        <v>0</v>
      </c>
      <c r="F1543" s="28">
        <f t="shared" si="77"/>
        <v>3</v>
      </c>
    </row>
    <row r="1544" spans="1:6" x14ac:dyDescent="0.35">
      <c r="A1544">
        <f t="shared" si="78"/>
        <v>0</v>
      </c>
      <c r="B1544">
        <f t="shared" si="76"/>
        <v>61</v>
      </c>
      <c r="C1544" s="12" t="s">
        <v>130</v>
      </c>
      <c r="D1544" s="18">
        <f>VLOOKUP(C1544,'DISTRIBUIÇÃO NF4267'!$E$3:$FQ$75,MATCH(B1544,'DISTRIBUIÇÃO NF4267'!$E$3:$FQ$3,0)+1,0)</f>
        <v>0</v>
      </c>
      <c r="F1544" s="28">
        <f t="shared" si="77"/>
        <v>3</v>
      </c>
    </row>
    <row r="1545" spans="1:6" x14ac:dyDescent="0.35">
      <c r="A1545">
        <f t="shared" si="78"/>
        <v>0</v>
      </c>
      <c r="B1545">
        <f t="shared" si="76"/>
        <v>61</v>
      </c>
      <c r="C1545" s="12" t="s">
        <v>131</v>
      </c>
      <c r="D1545" s="18">
        <f>VLOOKUP(C1545,'DISTRIBUIÇÃO NF4267'!$E$3:$FQ$75,MATCH(B1545,'DISTRIBUIÇÃO NF4267'!$E$3:$FQ$3,0)+1,0)</f>
        <v>1</v>
      </c>
      <c r="F1545" s="28">
        <f t="shared" si="77"/>
        <v>3</v>
      </c>
    </row>
    <row r="1546" spans="1:6" x14ac:dyDescent="0.35">
      <c r="A1546">
        <f t="shared" si="78"/>
        <v>0</v>
      </c>
      <c r="B1546">
        <f t="shared" si="76"/>
        <v>61</v>
      </c>
      <c r="C1546" s="12" t="s">
        <v>132</v>
      </c>
      <c r="D1546" s="18">
        <f>VLOOKUP(C1546,'DISTRIBUIÇÃO NF4267'!$E$3:$FQ$75,MATCH(B1546,'DISTRIBUIÇÃO NF4267'!$E$3:$FQ$3,0)+1,0)</f>
        <v>4</v>
      </c>
      <c r="F1546" s="28">
        <f t="shared" si="77"/>
        <v>3</v>
      </c>
    </row>
    <row r="1547" spans="1:6" x14ac:dyDescent="0.35">
      <c r="A1547">
        <f t="shared" si="78"/>
        <v>0</v>
      </c>
      <c r="B1547">
        <f t="shared" si="76"/>
        <v>61</v>
      </c>
      <c r="C1547" s="12" t="s">
        <v>133</v>
      </c>
      <c r="D1547" s="18">
        <f>VLOOKUP(C1547,'DISTRIBUIÇÃO NF4267'!$E$3:$FQ$75,MATCH(B1547,'DISTRIBUIÇÃO NF4267'!$E$3:$FQ$3,0)+1,0)</f>
        <v>3</v>
      </c>
      <c r="F1547" s="28">
        <f t="shared" si="77"/>
        <v>3</v>
      </c>
    </row>
    <row r="1548" spans="1:6" x14ac:dyDescent="0.35">
      <c r="A1548">
        <f t="shared" si="78"/>
        <v>0</v>
      </c>
      <c r="B1548">
        <f t="shared" si="76"/>
        <v>61</v>
      </c>
      <c r="C1548" s="12" t="s">
        <v>134</v>
      </c>
      <c r="D1548" s="18">
        <f>VLOOKUP(C1548,'DISTRIBUIÇÃO NF4267'!$E$3:$FQ$75,MATCH(B1548,'DISTRIBUIÇÃO NF4267'!$E$3:$FQ$3,0)+1,0)</f>
        <v>2</v>
      </c>
      <c r="F1548" s="28">
        <f t="shared" si="77"/>
        <v>3</v>
      </c>
    </row>
    <row r="1549" spans="1:6" x14ac:dyDescent="0.35">
      <c r="A1549">
        <f t="shared" si="78"/>
        <v>0</v>
      </c>
      <c r="B1549">
        <f t="shared" si="76"/>
        <v>61</v>
      </c>
      <c r="C1549" s="12" t="s">
        <v>135</v>
      </c>
      <c r="D1549" s="18">
        <f>VLOOKUP(C1549,'DISTRIBUIÇÃO NF4267'!$E$3:$FQ$75,MATCH(B1549,'DISTRIBUIÇÃO NF4267'!$E$3:$FQ$3,0)+1,0)</f>
        <v>0</v>
      </c>
      <c r="F1549" s="28">
        <f t="shared" si="77"/>
        <v>3</v>
      </c>
    </row>
    <row r="1550" spans="1:6" x14ac:dyDescent="0.35">
      <c r="A1550">
        <f t="shared" si="78"/>
        <v>0</v>
      </c>
      <c r="B1550">
        <f t="shared" si="76"/>
        <v>61</v>
      </c>
      <c r="C1550" s="13" t="s">
        <v>22</v>
      </c>
      <c r="D1550" s="18">
        <f>VLOOKUP(C1550,'DISTRIBUIÇÃO NF4267'!$E$3:$FQ$75,MATCH(B1550,'DISTRIBUIÇÃO NF4267'!$E$3:$FQ$3,0)+1,0)</f>
        <v>0</v>
      </c>
      <c r="F1550" s="28">
        <f t="shared" si="77"/>
        <v>3</v>
      </c>
    </row>
    <row r="1551" spans="1:6" x14ac:dyDescent="0.35">
      <c r="A1551">
        <f t="shared" si="78"/>
        <v>0</v>
      </c>
      <c r="B1551">
        <f t="shared" si="76"/>
        <v>61</v>
      </c>
      <c r="C1551" s="13" t="s">
        <v>23</v>
      </c>
      <c r="D1551" s="18">
        <f>VLOOKUP(C1551,'DISTRIBUIÇÃO NF4267'!$E$3:$FQ$75,MATCH(B1551,'DISTRIBUIÇÃO NF4267'!$E$3:$FQ$3,0)+1,0)</f>
        <v>1</v>
      </c>
      <c r="F1551" s="28">
        <f t="shared" si="77"/>
        <v>3</v>
      </c>
    </row>
    <row r="1552" spans="1:6" x14ac:dyDescent="0.35">
      <c r="A1552">
        <f t="shared" si="78"/>
        <v>0</v>
      </c>
      <c r="B1552">
        <f t="shared" si="76"/>
        <v>61</v>
      </c>
      <c r="C1552" s="13" t="s">
        <v>24</v>
      </c>
      <c r="D1552" s="18">
        <f>VLOOKUP(C1552,'DISTRIBUIÇÃO NF4267'!$E$3:$FQ$75,MATCH(B1552,'DISTRIBUIÇÃO NF4267'!$E$3:$FQ$3,0)+1,0)</f>
        <v>6</v>
      </c>
      <c r="F1552" s="28">
        <f t="shared" si="77"/>
        <v>3</v>
      </c>
    </row>
    <row r="1553" spans="1:6" x14ac:dyDescent="0.35">
      <c r="A1553">
        <f t="shared" si="78"/>
        <v>0</v>
      </c>
      <c r="B1553">
        <f t="shared" si="76"/>
        <v>61</v>
      </c>
      <c r="C1553" s="13" t="s">
        <v>25</v>
      </c>
      <c r="D1553" s="18">
        <f>VLOOKUP(C1553,'DISTRIBUIÇÃO NF4267'!$E$3:$FQ$75,MATCH(B1553,'DISTRIBUIÇÃO NF4267'!$E$3:$FQ$3,0)+1,0)</f>
        <v>2</v>
      </c>
      <c r="F1553" s="28">
        <f t="shared" si="77"/>
        <v>3</v>
      </c>
    </row>
    <row r="1554" spans="1:6" x14ac:dyDescent="0.35">
      <c r="A1554">
        <f t="shared" si="78"/>
        <v>0</v>
      </c>
      <c r="B1554">
        <f t="shared" si="76"/>
        <v>61</v>
      </c>
      <c r="C1554" s="13" t="s">
        <v>26</v>
      </c>
      <c r="D1554" s="18">
        <f>VLOOKUP(C1554,'DISTRIBUIÇÃO NF4267'!$E$3:$FQ$75,MATCH(B1554,'DISTRIBUIÇÃO NF4267'!$E$3:$FQ$3,0)+1,0)</f>
        <v>1</v>
      </c>
      <c r="F1554" s="28">
        <f t="shared" si="77"/>
        <v>3</v>
      </c>
    </row>
    <row r="1555" spans="1:6" x14ac:dyDescent="0.35">
      <c r="A1555">
        <f t="shared" si="78"/>
        <v>0</v>
      </c>
      <c r="B1555">
        <f t="shared" si="76"/>
        <v>61</v>
      </c>
      <c r="C1555" s="13" t="s">
        <v>27</v>
      </c>
      <c r="D1555" s="18">
        <f>VLOOKUP(C1555,'DISTRIBUIÇÃO NF4267'!$E$3:$FQ$75,MATCH(B1555,'DISTRIBUIÇÃO NF4267'!$E$3:$FQ$3,0)+1,0)</f>
        <v>0</v>
      </c>
      <c r="F1555" s="28">
        <f t="shared" si="77"/>
        <v>3</v>
      </c>
    </row>
    <row r="1556" spans="1:6" x14ac:dyDescent="0.35">
      <c r="A1556">
        <f t="shared" si="78"/>
        <v>0</v>
      </c>
      <c r="B1556">
        <f t="shared" si="76"/>
        <v>61</v>
      </c>
      <c r="C1556" s="14" t="s">
        <v>138</v>
      </c>
      <c r="D1556" s="18">
        <f>VLOOKUP(C1556,'DISTRIBUIÇÃO NF4267'!$E$3:$FQ$75,MATCH(B1556,'DISTRIBUIÇÃO NF4267'!$E$3:$FQ$3,0)+1,0)</f>
        <v>0</v>
      </c>
      <c r="F1556" s="28">
        <f t="shared" si="77"/>
        <v>3</v>
      </c>
    </row>
    <row r="1557" spans="1:6" x14ac:dyDescent="0.35">
      <c r="A1557">
        <f t="shared" si="78"/>
        <v>0</v>
      </c>
      <c r="B1557">
        <f t="shared" si="76"/>
        <v>61</v>
      </c>
      <c r="C1557" s="14" t="s">
        <v>139</v>
      </c>
      <c r="D1557" s="18">
        <f>VLOOKUP(C1557,'DISTRIBUIÇÃO NF4267'!$E$3:$FQ$75,MATCH(B1557,'DISTRIBUIÇÃO NF4267'!$E$3:$FQ$3,0)+1,0)</f>
        <v>4</v>
      </c>
      <c r="F1557" s="28">
        <f t="shared" si="77"/>
        <v>3</v>
      </c>
    </row>
    <row r="1558" spans="1:6" x14ac:dyDescent="0.35">
      <c r="A1558">
        <f t="shared" si="78"/>
        <v>0</v>
      </c>
      <c r="B1558">
        <f t="shared" si="76"/>
        <v>61</v>
      </c>
      <c r="C1558" s="14" t="s">
        <v>140</v>
      </c>
      <c r="D1558" s="18">
        <f>VLOOKUP(C1558,'DISTRIBUIÇÃO NF4267'!$E$3:$FQ$75,MATCH(B1558,'DISTRIBUIÇÃO NF4267'!$E$3:$FQ$3,0)+1,0)</f>
        <v>8</v>
      </c>
      <c r="F1558" s="28">
        <f t="shared" si="77"/>
        <v>3</v>
      </c>
    </row>
    <row r="1559" spans="1:6" x14ac:dyDescent="0.35">
      <c r="A1559">
        <f t="shared" si="78"/>
        <v>0</v>
      </c>
      <c r="B1559">
        <f t="shared" si="76"/>
        <v>61</v>
      </c>
      <c r="C1559" s="14" t="s">
        <v>141</v>
      </c>
      <c r="D1559" s="18">
        <f>VLOOKUP(C1559,'DISTRIBUIÇÃO NF4267'!$E$3:$FQ$75,MATCH(B1559,'DISTRIBUIÇÃO NF4267'!$E$3:$FQ$3,0)+1,0)</f>
        <v>4</v>
      </c>
      <c r="F1559" s="28">
        <f t="shared" si="77"/>
        <v>3</v>
      </c>
    </row>
    <row r="1560" spans="1:6" x14ac:dyDescent="0.35">
      <c r="A1560">
        <f t="shared" si="78"/>
        <v>0</v>
      </c>
      <c r="B1560">
        <f t="shared" si="76"/>
        <v>61</v>
      </c>
      <c r="C1560" s="14" t="s">
        <v>142</v>
      </c>
      <c r="D1560" s="18">
        <f>VLOOKUP(C1560,'DISTRIBUIÇÃO NF4267'!$E$3:$FQ$75,MATCH(B1560,'DISTRIBUIÇÃO NF4267'!$E$3:$FQ$3,0)+1,0)</f>
        <v>4</v>
      </c>
      <c r="F1560" s="28">
        <f t="shared" si="77"/>
        <v>3</v>
      </c>
    </row>
    <row r="1561" spans="1:6" x14ac:dyDescent="0.35">
      <c r="A1561">
        <f t="shared" si="78"/>
        <v>0</v>
      </c>
      <c r="B1561">
        <f t="shared" si="76"/>
        <v>61</v>
      </c>
      <c r="C1561" s="14" t="s">
        <v>143</v>
      </c>
      <c r="D1561" s="18">
        <f>VLOOKUP(C1561,'DISTRIBUIÇÃO NF4267'!$E$3:$FQ$75,MATCH(B1561,'DISTRIBUIÇÃO NF4267'!$E$3:$FQ$3,0)+1,0)</f>
        <v>0</v>
      </c>
      <c r="F1561" s="28">
        <f t="shared" si="77"/>
        <v>3</v>
      </c>
    </row>
    <row r="1562" spans="1:6" x14ac:dyDescent="0.35">
      <c r="A1562">
        <f t="shared" si="78"/>
        <v>0</v>
      </c>
      <c r="B1562">
        <f t="shared" si="76"/>
        <v>61</v>
      </c>
      <c r="C1562" s="15" t="s">
        <v>145</v>
      </c>
      <c r="D1562" s="18">
        <f>VLOOKUP(C1562,'DISTRIBUIÇÃO NF4267'!$E$3:$FQ$75,MATCH(B1562,'DISTRIBUIÇÃO NF4267'!$E$3:$FQ$3,0)+1,0)</f>
        <v>0</v>
      </c>
      <c r="F1562" s="28">
        <f t="shared" si="77"/>
        <v>3</v>
      </c>
    </row>
    <row r="1563" spans="1:6" x14ac:dyDescent="0.35">
      <c r="A1563">
        <f t="shared" si="78"/>
        <v>0</v>
      </c>
      <c r="B1563">
        <f t="shared" si="76"/>
        <v>61</v>
      </c>
      <c r="C1563" s="15" t="s">
        <v>146</v>
      </c>
      <c r="D1563" s="18">
        <f>VLOOKUP(C1563,'DISTRIBUIÇÃO NF4267'!$E$3:$FQ$75,MATCH(B1563,'DISTRIBUIÇÃO NF4267'!$E$3:$FQ$3,0)+1,0)</f>
        <v>2</v>
      </c>
      <c r="F1563" s="28">
        <f t="shared" si="77"/>
        <v>3</v>
      </c>
    </row>
    <row r="1564" spans="1:6" x14ac:dyDescent="0.35">
      <c r="A1564">
        <f t="shared" si="78"/>
        <v>0</v>
      </c>
      <c r="B1564">
        <f t="shared" si="76"/>
        <v>61</v>
      </c>
      <c r="C1564" s="15" t="s">
        <v>147</v>
      </c>
      <c r="D1564" s="18">
        <f>VLOOKUP(C1564,'DISTRIBUIÇÃO NF4267'!$E$3:$FQ$75,MATCH(B1564,'DISTRIBUIÇÃO NF4267'!$E$3:$FQ$3,0)+1,0)</f>
        <v>4</v>
      </c>
      <c r="F1564" s="28">
        <f t="shared" si="77"/>
        <v>3</v>
      </c>
    </row>
    <row r="1565" spans="1:6" x14ac:dyDescent="0.35">
      <c r="A1565">
        <f t="shared" si="78"/>
        <v>0</v>
      </c>
      <c r="B1565">
        <f t="shared" si="76"/>
        <v>61</v>
      </c>
      <c r="C1565" s="15" t="s">
        <v>148</v>
      </c>
      <c r="D1565" s="18">
        <f>VLOOKUP(C1565,'DISTRIBUIÇÃO NF4267'!$E$3:$FQ$75,MATCH(B1565,'DISTRIBUIÇÃO NF4267'!$E$3:$FQ$3,0)+1,0)</f>
        <v>2</v>
      </c>
      <c r="F1565" s="28">
        <f t="shared" si="77"/>
        <v>3</v>
      </c>
    </row>
    <row r="1566" spans="1:6" x14ac:dyDescent="0.35">
      <c r="A1566">
        <f t="shared" si="78"/>
        <v>0</v>
      </c>
      <c r="B1566">
        <f t="shared" si="76"/>
        <v>61</v>
      </c>
      <c r="C1566" s="15" t="s">
        <v>149</v>
      </c>
      <c r="D1566" s="18">
        <f>VLOOKUP(C1566,'DISTRIBUIÇÃO NF4267'!$E$3:$FQ$75,MATCH(B1566,'DISTRIBUIÇÃO NF4267'!$E$3:$FQ$3,0)+1,0)</f>
        <v>2</v>
      </c>
      <c r="F1566" s="28">
        <f t="shared" si="77"/>
        <v>3</v>
      </c>
    </row>
    <row r="1567" spans="1:6" x14ac:dyDescent="0.35">
      <c r="A1567">
        <f t="shared" si="78"/>
        <v>0</v>
      </c>
      <c r="B1567">
        <f t="shared" si="76"/>
        <v>61</v>
      </c>
      <c r="C1567" s="15" t="s">
        <v>150</v>
      </c>
      <c r="D1567" s="18">
        <f>VLOOKUP(C1567,'DISTRIBUIÇÃO NF4267'!$E$3:$FQ$75,MATCH(B1567,'DISTRIBUIÇÃO NF4267'!$E$3:$FQ$3,0)+1,0)</f>
        <v>0</v>
      </c>
      <c r="F1567" s="28">
        <f t="shared" si="77"/>
        <v>3</v>
      </c>
    </row>
    <row r="1568" spans="1:6" x14ac:dyDescent="0.35">
      <c r="A1568">
        <f t="shared" si="78"/>
        <v>0</v>
      </c>
      <c r="B1568" t="s">
        <v>47</v>
      </c>
      <c r="C1568" s="7" t="s">
        <v>98</v>
      </c>
      <c r="D1568" s="18">
        <f>VLOOKUP(C1568,'DISTRIBUIÇÃO NF4267'!$E$3:$FQ$75,MATCH(B1568,'DISTRIBUIÇÃO NF4267'!$E$3:$FQ$3,0)+1,0)</f>
        <v>0</v>
      </c>
      <c r="F1568" s="28">
        <f t="shared" si="77"/>
        <v>3</v>
      </c>
    </row>
    <row r="1569" spans="1:6" x14ac:dyDescent="0.35">
      <c r="A1569">
        <f t="shared" si="78"/>
        <v>0</v>
      </c>
      <c r="B1569" t="str">
        <f>B1568</f>
        <v>O9</v>
      </c>
      <c r="C1569" s="7" t="s">
        <v>99</v>
      </c>
      <c r="D1569" s="18">
        <f>VLOOKUP(C1569,'DISTRIBUIÇÃO NF4267'!$E$3:$FQ$75,MATCH(B1569,'DISTRIBUIÇÃO NF4267'!$E$3:$FQ$3,0)+1,0)</f>
        <v>4</v>
      </c>
      <c r="F1569" s="28">
        <f t="shared" si="77"/>
        <v>3</v>
      </c>
    </row>
    <row r="1570" spans="1:6" x14ac:dyDescent="0.35">
      <c r="A1570">
        <f t="shared" si="78"/>
        <v>0</v>
      </c>
      <c r="B1570" t="str">
        <f t="shared" ref="B1570:B1621" si="79">B1569</f>
        <v>O9</v>
      </c>
      <c r="C1570" s="7" t="s">
        <v>100</v>
      </c>
      <c r="D1570" s="18">
        <f>VLOOKUP(C1570,'DISTRIBUIÇÃO NF4267'!$E$3:$FQ$75,MATCH(B1570,'DISTRIBUIÇÃO NF4267'!$E$3:$FQ$3,0)+1,0)</f>
        <v>8</v>
      </c>
      <c r="F1570" s="28">
        <f t="shared" si="77"/>
        <v>3</v>
      </c>
    </row>
    <row r="1571" spans="1:6" x14ac:dyDescent="0.35">
      <c r="A1571">
        <f t="shared" si="78"/>
        <v>0</v>
      </c>
      <c r="B1571" t="str">
        <f t="shared" si="79"/>
        <v>O9</v>
      </c>
      <c r="C1571" s="7" t="s">
        <v>101</v>
      </c>
      <c r="D1571" s="18">
        <f>VLOOKUP(C1571,'DISTRIBUIÇÃO NF4267'!$E$3:$FQ$75,MATCH(B1571,'DISTRIBUIÇÃO NF4267'!$E$3:$FQ$3,0)+1,0)</f>
        <v>4</v>
      </c>
      <c r="F1571" s="28">
        <f t="shared" si="77"/>
        <v>3</v>
      </c>
    </row>
    <row r="1572" spans="1:6" x14ac:dyDescent="0.35">
      <c r="A1572">
        <f t="shared" si="78"/>
        <v>0</v>
      </c>
      <c r="B1572" t="str">
        <f t="shared" si="79"/>
        <v>O9</v>
      </c>
      <c r="C1572" s="7" t="s">
        <v>102</v>
      </c>
      <c r="D1572" s="18">
        <f>VLOOKUP(C1572,'DISTRIBUIÇÃO NF4267'!$E$3:$FQ$75,MATCH(B1572,'DISTRIBUIÇÃO NF4267'!$E$3:$FQ$3,0)+1,0)</f>
        <v>4</v>
      </c>
      <c r="F1572" s="28">
        <f t="shared" si="77"/>
        <v>3</v>
      </c>
    </row>
    <row r="1573" spans="1:6" x14ac:dyDescent="0.35">
      <c r="A1573">
        <f t="shared" si="78"/>
        <v>0</v>
      </c>
      <c r="B1573" t="str">
        <f t="shared" si="79"/>
        <v>O9</v>
      </c>
      <c r="C1573" s="7" t="s">
        <v>103</v>
      </c>
      <c r="D1573" s="18">
        <f>VLOOKUP(C1573,'DISTRIBUIÇÃO NF4267'!$E$3:$FQ$75,MATCH(B1573,'DISTRIBUIÇÃO NF4267'!$E$3:$FQ$3,0)+1,0)</f>
        <v>0</v>
      </c>
      <c r="F1573" s="28">
        <f t="shared" si="77"/>
        <v>3</v>
      </c>
    </row>
    <row r="1574" spans="1:6" x14ac:dyDescent="0.35">
      <c r="A1574">
        <f t="shared" si="78"/>
        <v>0</v>
      </c>
      <c r="B1574" t="str">
        <f t="shared" si="79"/>
        <v>O9</v>
      </c>
      <c r="C1574" s="8" t="s">
        <v>107</v>
      </c>
      <c r="D1574" s="18">
        <f>VLOOKUP(C1574,'DISTRIBUIÇÃO NF4267'!$E$3:$FQ$75,MATCH(B1574,'DISTRIBUIÇÃO NF4267'!$E$3:$FQ$3,0)+1,0)</f>
        <v>0</v>
      </c>
      <c r="F1574" s="28">
        <f t="shared" si="77"/>
        <v>3</v>
      </c>
    </row>
    <row r="1575" spans="1:6" x14ac:dyDescent="0.35">
      <c r="A1575">
        <f t="shared" si="78"/>
        <v>0</v>
      </c>
      <c r="B1575" t="str">
        <f t="shared" si="79"/>
        <v>O9</v>
      </c>
      <c r="C1575" s="8" t="s">
        <v>108</v>
      </c>
      <c r="D1575" s="18">
        <f>VLOOKUP(C1575,'DISTRIBUIÇÃO NF4267'!$E$3:$FQ$75,MATCH(B1575,'DISTRIBUIÇÃO NF4267'!$E$3:$FQ$3,0)+1,0)</f>
        <v>2</v>
      </c>
      <c r="F1575" s="28">
        <f t="shared" si="77"/>
        <v>3</v>
      </c>
    </row>
    <row r="1576" spans="1:6" x14ac:dyDescent="0.35">
      <c r="A1576">
        <f t="shared" si="78"/>
        <v>0</v>
      </c>
      <c r="B1576" t="str">
        <f t="shared" si="79"/>
        <v>O9</v>
      </c>
      <c r="C1576" s="8" t="s">
        <v>109</v>
      </c>
      <c r="D1576" s="18">
        <f>VLOOKUP(C1576,'DISTRIBUIÇÃO NF4267'!$E$3:$FQ$75,MATCH(B1576,'DISTRIBUIÇÃO NF4267'!$E$3:$FQ$3,0)+1,0)</f>
        <v>4</v>
      </c>
      <c r="F1576" s="28">
        <f t="shared" si="77"/>
        <v>3</v>
      </c>
    </row>
    <row r="1577" spans="1:6" x14ac:dyDescent="0.35">
      <c r="A1577">
        <f t="shared" si="78"/>
        <v>0</v>
      </c>
      <c r="B1577" t="str">
        <f t="shared" si="79"/>
        <v>O9</v>
      </c>
      <c r="C1577" s="8" t="s">
        <v>110</v>
      </c>
      <c r="D1577" s="18">
        <f>VLOOKUP(C1577,'DISTRIBUIÇÃO NF4267'!$E$3:$FQ$75,MATCH(B1577,'DISTRIBUIÇÃO NF4267'!$E$3:$FQ$3,0)+1,0)</f>
        <v>2</v>
      </c>
      <c r="F1577" s="28">
        <f t="shared" si="77"/>
        <v>3</v>
      </c>
    </row>
    <row r="1578" spans="1:6" x14ac:dyDescent="0.35">
      <c r="A1578">
        <f t="shared" si="78"/>
        <v>0</v>
      </c>
      <c r="B1578" t="str">
        <f t="shared" si="79"/>
        <v>O9</v>
      </c>
      <c r="C1578" s="8" t="s">
        <v>111</v>
      </c>
      <c r="D1578" s="18">
        <f>VLOOKUP(C1578,'DISTRIBUIÇÃO NF4267'!$E$3:$FQ$75,MATCH(B1578,'DISTRIBUIÇÃO NF4267'!$E$3:$FQ$3,0)+1,0)</f>
        <v>2</v>
      </c>
      <c r="F1578" s="28">
        <f t="shared" si="77"/>
        <v>3</v>
      </c>
    </row>
    <row r="1579" spans="1:6" x14ac:dyDescent="0.35">
      <c r="A1579">
        <f t="shared" si="78"/>
        <v>0</v>
      </c>
      <c r="B1579" t="str">
        <f t="shared" si="79"/>
        <v>O9</v>
      </c>
      <c r="C1579" s="8" t="s">
        <v>112</v>
      </c>
      <c r="D1579" s="18">
        <f>VLOOKUP(C1579,'DISTRIBUIÇÃO NF4267'!$E$3:$FQ$75,MATCH(B1579,'DISTRIBUIÇÃO NF4267'!$E$3:$FQ$3,0)+1,0)</f>
        <v>0</v>
      </c>
      <c r="F1579" s="28">
        <f t="shared" si="77"/>
        <v>3</v>
      </c>
    </row>
    <row r="1580" spans="1:6" x14ac:dyDescent="0.35">
      <c r="A1580">
        <f t="shared" si="78"/>
        <v>0</v>
      </c>
      <c r="B1580" t="str">
        <f t="shared" si="79"/>
        <v>O9</v>
      </c>
      <c r="C1580" s="9" t="s">
        <v>113</v>
      </c>
      <c r="D1580" s="18">
        <f>VLOOKUP(C1580,'DISTRIBUIÇÃO NF4267'!$E$3:$FQ$75,MATCH(B1580,'DISTRIBUIÇÃO NF4267'!$E$3:$FQ$3,0)+1,0)</f>
        <v>0</v>
      </c>
      <c r="F1580" s="28">
        <f t="shared" si="77"/>
        <v>3</v>
      </c>
    </row>
    <row r="1581" spans="1:6" x14ac:dyDescent="0.35">
      <c r="A1581">
        <f t="shared" si="78"/>
        <v>0</v>
      </c>
      <c r="B1581" t="str">
        <f t="shared" si="79"/>
        <v>O9</v>
      </c>
      <c r="C1581" s="9" t="s">
        <v>114</v>
      </c>
      <c r="D1581" s="18">
        <f>VLOOKUP(C1581,'DISTRIBUIÇÃO NF4267'!$E$3:$FQ$75,MATCH(B1581,'DISTRIBUIÇÃO NF4267'!$E$3:$FQ$3,0)+1,0)</f>
        <v>6</v>
      </c>
      <c r="F1581" s="28">
        <f t="shared" si="77"/>
        <v>3</v>
      </c>
    </row>
    <row r="1582" spans="1:6" x14ac:dyDescent="0.35">
      <c r="A1582">
        <f t="shared" si="78"/>
        <v>0</v>
      </c>
      <c r="B1582" t="str">
        <f t="shared" si="79"/>
        <v>O9</v>
      </c>
      <c r="C1582" s="9" t="s">
        <v>115</v>
      </c>
      <c r="D1582" s="18">
        <f>VLOOKUP(C1582,'DISTRIBUIÇÃO NF4267'!$E$3:$FQ$75,MATCH(B1582,'DISTRIBUIÇÃO NF4267'!$E$3:$FQ$3,0)+1,0)</f>
        <v>8</v>
      </c>
      <c r="F1582" s="28">
        <f t="shared" si="77"/>
        <v>3</v>
      </c>
    </row>
    <row r="1583" spans="1:6" x14ac:dyDescent="0.35">
      <c r="A1583">
        <f t="shared" si="78"/>
        <v>0</v>
      </c>
      <c r="B1583" t="str">
        <f t="shared" si="79"/>
        <v>O9</v>
      </c>
      <c r="C1583" s="9" t="s">
        <v>116</v>
      </c>
      <c r="D1583" s="18">
        <f>VLOOKUP(C1583,'DISTRIBUIÇÃO NF4267'!$E$3:$FQ$75,MATCH(B1583,'DISTRIBUIÇÃO NF4267'!$E$3:$FQ$3,0)+1,0)</f>
        <v>4</v>
      </c>
      <c r="F1583" s="28">
        <f t="shared" si="77"/>
        <v>3</v>
      </c>
    </row>
    <row r="1584" spans="1:6" x14ac:dyDescent="0.35">
      <c r="A1584">
        <f t="shared" si="78"/>
        <v>0</v>
      </c>
      <c r="B1584" t="str">
        <f t="shared" si="79"/>
        <v>O9</v>
      </c>
      <c r="C1584" s="9" t="s">
        <v>117</v>
      </c>
      <c r="D1584" s="18">
        <f>VLOOKUP(C1584,'DISTRIBUIÇÃO NF4267'!$E$3:$FQ$75,MATCH(B1584,'DISTRIBUIÇÃO NF4267'!$E$3:$FQ$3,0)+1,0)</f>
        <v>2</v>
      </c>
      <c r="F1584" s="28">
        <f t="shared" si="77"/>
        <v>3</v>
      </c>
    </row>
    <row r="1585" spans="1:6" x14ac:dyDescent="0.35">
      <c r="A1585">
        <f t="shared" si="78"/>
        <v>0</v>
      </c>
      <c r="B1585" t="str">
        <f t="shared" si="79"/>
        <v>O9</v>
      </c>
      <c r="C1585" s="9" t="s">
        <v>118</v>
      </c>
      <c r="D1585" s="18">
        <f>VLOOKUP(C1585,'DISTRIBUIÇÃO NF4267'!$E$3:$FQ$75,MATCH(B1585,'DISTRIBUIÇÃO NF4267'!$E$3:$FQ$3,0)+1,0)</f>
        <v>0</v>
      </c>
      <c r="F1585" s="28">
        <f t="shared" si="77"/>
        <v>3</v>
      </c>
    </row>
    <row r="1586" spans="1:6" x14ac:dyDescent="0.35">
      <c r="A1586">
        <f t="shared" si="78"/>
        <v>0</v>
      </c>
      <c r="B1586" t="str">
        <f t="shared" si="79"/>
        <v>O9</v>
      </c>
      <c r="C1586" s="10" t="s">
        <v>119</v>
      </c>
      <c r="D1586" s="18">
        <f>VLOOKUP(C1586,'DISTRIBUIÇÃO NF4267'!$E$3:$FQ$75,MATCH(B1586,'DISTRIBUIÇÃO NF4267'!$E$3:$FQ$3,0)+1,0)</f>
        <v>0</v>
      </c>
      <c r="F1586" s="28">
        <f t="shared" si="77"/>
        <v>3</v>
      </c>
    </row>
    <row r="1587" spans="1:6" x14ac:dyDescent="0.35">
      <c r="A1587">
        <f t="shared" si="78"/>
        <v>0</v>
      </c>
      <c r="B1587" t="str">
        <f t="shared" si="79"/>
        <v>O9</v>
      </c>
      <c r="C1587" s="10" t="s">
        <v>120</v>
      </c>
      <c r="D1587" s="18">
        <f>VLOOKUP(C1587,'DISTRIBUIÇÃO NF4267'!$E$3:$FQ$75,MATCH(B1587,'DISTRIBUIÇÃO NF4267'!$E$3:$FQ$3,0)+1,0)</f>
        <v>48</v>
      </c>
      <c r="F1587" s="28">
        <f t="shared" si="77"/>
        <v>3</v>
      </c>
    </row>
    <row r="1588" spans="1:6" x14ac:dyDescent="0.35">
      <c r="A1588">
        <f t="shared" si="78"/>
        <v>0</v>
      </c>
      <c r="B1588" t="str">
        <f t="shared" si="79"/>
        <v>O9</v>
      </c>
      <c r="C1588" s="10" t="s">
        <v>121</v>
      </c>
      <c r="D1588" s="18">
        <f>VLOOKUP(C1588,'DISTRIBUIÇÃO NF4267'!$E$3:$FQ$75,MATCH(B1588,'DISTRIBUIÇÃO NF4267'!$E$3:$FQ$3,0)+1,0)</f>
        <v>16</v>
      </c>
      <c r="F1588" s="28">
        <f t="shared" si="77"/>
        <v>3</v>
      </c>
    </row>
    <row r="1589" spans="1:6" x14ac:dyDescent="0.35">
      <c r="A1589">
        <f t="shared" si="78"/>
        <v>0</v>
      </c>
      <c r="B1589" t="str">
        <f t="shared" si="79"/>
        <v>O9</v>
      </c>
      <c r="C1589" s="10" t="s">
        <v>122</v>
      </c>
      <c r="D1589" s="18">
        <f>VLOOKUP(C1589,'DISTRIBUIÇÃO NF4267'!$E$3:$FQ$75,MATCH(B1589,'DISTRIBUIÇÃO NF4267'!$E$3:$FQ$3,0)+1,0)</f>
        <v>16</v>
      </c>
      <c r="F1589" s="28">
        <f t="shared" si="77"/>
        <v>3</v>
      </c>
    </row>
    <row r="1590" spans="1:6" x14ac:dyDescent="0.35">
      <c r="A1590">
        <f t="shared" si="78"/>
        <v>0</v>
      </c>
      <c r="B1590" t="str">
        <f t="shared" si="79"/>
        <v>O9</v>
      </c>
      <c r="C1590" s="10" t="s">
        <v>123</v>
      </c>
      <c r="D1590" s="18">
        <f>VLOOKUP(C1590,'DISTRIBUIÇÃO NF4267'!$E$3:$FQ$75,MATCH(B1590,'DISTRIBUIÇÃO NF4267'!$E$3:$FQ$3,0)+1,0)</f>
        <v>0</v>
      </c>
      <c r="F1590" s="28">
        <f t="shared" si="77"/>
        <v>3</v>
      </c>
    </row>
    <row r="1591" spans="1:6" x14ac:dyDescent="0.35">
      <c r="A1591">
        <f t="shared" si="78"/>
        <v>0</v>
      </c>
      <c r="B1591" t="str">
        <f t="shared" si="79"/>
        <v>O9</v>
      </c>
      <c r="C1591" s="10" t="s">
        <v>124</v>
      </c>
      <c r="D1591" s="18">
        <f>VLOOKUP(C1591,'DISTRIBUIÇÃO NF4267'!$E$3:$FQ$75,MATCH(B1591,'DISTRIBUIÇÃO NF4267'!$E$3:$FQ$3,0)+1,0)</f>
        <v>0</v>
      </c>
      <c r="F1591" s="28">
        <f t="shared" si="77"/>
        <v>3</v>
      </c>
    </row>
    <row r="1592" spans="1:6" x14ac:dyDescent="0.35">
      <c r="A1592">
        <f t="shared" si="78"/>
        <v>0</v>
      </c>
      <c r="B1592" t="str">
        <f t="shared" si="79"/>
        <v>O9</v>
      </c>
      <c r="C1592" s="11" t="s">
        <v>16</v>
      </c>
      <c r="D1592" s="18">
        <f>VLOOKUP(C1592,'DISTRIBUIÇÃO NF4267'!$E$3:$FQ$75,MATCH(B1592,'DISTRIBUIÇÃO NF4267'!$E$3:$FQ$3,0)+1,0)</f>
        <v>0</v>
      </c>
      <c r="F1592" s="28">
        <f t="shared" ref="F1592:F1655" si="80">ROUNDUP(SUMIFS(D:D,B:B,B1592)/80,0)</f>
        <v>3</v>
      </c>
    </row>
    <row r="1593" spans="1:6" x14ac:dyDescent="0.35">
      <c r="A1593">
        <f t="shared" si="78"/>
        <v>0</v>
      </c>
      <c r="B1593" t="str">
        <f t="shared" si="79"/>
        <v>O9</v>
      </c>
      <c r="C1593" s="11" t="s">
        <v>17</v>
      </c>
      <c r="D1593" s="18">
        <f>VLOOKUP(C1593,'DISTRIBUIÇÃO NF4267'!$E$3:$FQ$75,MATCH(B1593,'DISTRIBUIÇÃO NF4267'!$E$3:$FQ$3,0)+1,0)</f>
        <v>9</v>
      </c>
      <c r="F1593" s="28">
        <f t="shared" si="80"/>
        <v>3</v>
      </c>
    </row>
    <row r="1594" spans="1:6" x14ac:dyDescent="0.35">
      <c r="A1594">
        <f t="shared" si="78"/>
        <v>0</v>
      </c>
      <c r="B1594" t="str">
        <f t="shared" si="79"/>
        <v>O9</v>
      </c>
      <c r="C1594" s="11" t="s">
        <v>18</v>
      </c>
      <c r="D1594" s="18">
        <f>VLOOKUP(C1594,'DISTRIBUIÇÃO NF4267'!$E$3:$FQ$75,MATCH(B1594,'DISTRIBUIÇÃO NF4267'!$E$3:$FQ$3,0)+1,0)</f>
        <v>3</v>
      </c>
      <c r="F1594" s="28">
        <f t="shared" si="80"/>
        <v>3</v>
      </c>
    </row>
    <row r="1595" spans="1:6" x14ac:dyDescent="0.35">
      <c r="A1595">
        <f t="shared" si="78"/>
        <v>0</v>
      </c>
      <c r="B1595" t="str">
        <f t="shared" si="79"/>
        <v>O9</v>
      </c>
      <c r="C1595" s="11" t="s">
        <v>19</v>
      </c>
      <c r="D1595" s="18">
        <f>VLOOKUP(C1595,'DISTRIBUIÇÃO NF4267'!$E$3:$FQ$75,MATCH(B1595,'DISTRIBUIÇÃO NF4267'!$E$3:$FQ$3,0)+1,0)</f>
        <v>3</v>
      </c>
      <c r="F1595" s="28">
        <f t="shared" si="80"/>
        <v>3</v>
      </c>
    </row>
    <row r="1596" spans="1:6" x14ac:dyDescent="0.35">
      <c r="A1596">
        <f t="shared" si="78"/>
        <v>0</v>
      </c>
      <c r="B1596" t="str">
        <f t="shared" si="79"/>
        <v>O9</v>
      </c>
      <c r="C1596" s="11" t="s">
        <v>20</v>
      </c>
      <c r="D1596" s="18">
        <f>VLOOKUP(C1596,'DISTRIBUIÇÃO NF4267'!$E$3:$FQ$75,MATCH(B1596,'DISTRIBUIÇÃO NF4267'!$E$3:$FQ$3,0)+1,0)</f>
        <v>15</v>
      </c>
      <c r="F1596" s="28">
        <f t="shared" si="80"/>
        <v>3</v>
      </c>
    </row>
    <row r="1597" spans="1:6" x14ac:dyDescent="0.35">
      <c r="A1597">
        <f t="shared" si="78"/>
        <v>0</v>
      </c>
      <c r="B1597" t="str">
        <f t="shared" si="79"/>
        <v>O9</v>
      </c>
      <c r="C1597" s="11" t="s">
        <v>21</v>
      </c>
      <c r="D1597" s="18">
        <f>VLOOKUP(C1597,'DISTRIBUIÇÃO NF4267'!$E$3:$FQ$75,MATCH(B1597,'DISTRIBUIÇÃO NF4267'!$E$3:$FQ$3,0)+1,0)</f>
        <v>0</v>
      </c>
      <c r="F1597" s="28">
        <f t="shared" si="80"/>
        <v>3</v>
      </c>
    </row>
    <row r="1598" spans="1:6" x14ac:dyDescent="0.35">
      <c r="A1598">
        <f t="shared" si="78"/>
        <v>0</v>
      </c>
      <c r="B1598" t="str">
        <f t="shared" si="79"/>
        <v>O9</v>
      </c>
      <c r="C1598" s="12" t="s">
        <v>130</v>
      </c>
      <c r="D1598" s="18">
        <f>VLOOKUP(C1598,'DISTRIBUIÇÃO NF4267'!$E$3:$FQ$75,MATCH(B1598,'DISTRIBUIÇÃO NF4267'!$E$3:$FQ$3,0)+1,0)</f>
        <v>0</v>
      </c>
      <c r="F1598" s="28">
        <f t="shared" si="80"/>
        <v>3</v>
      </c>
    </row>
    <row r="1599" spans="1:6" x14ac:dyDescent="0.35">
      <c r="A1599">
        <f t="shared" si="78"/>
        <v>0</v>
      </c>
      <c r="B1599" t="str">
        <f t="shared" si="79"/>
        <v>O9</v>
      </c>
      <c r="C1599" s="12" t="s">
        <v>131</v>
      </c>
      <c r="D1599" s="18">
        <f>VLOOKUP(C1599,'DISTRIBUIÇÃO NF4267'!$E$3:$FQ$75,MATCH(B1599,'DISTRIBUIÇÃO NF4267'!$E$3:$FQ$3,0)+1,0)</f>
        <v>1</v>
      </c>
      <c r="F1599" s="28">
        <f t="shared" si="80"/>
        <v>3</v>
      </c>
    </row>
    <row r="1600" spans="1:6" x14ac:dyDescent="0.35">
      <c r="A1600">
        <f t="shared" si="78"/>
        <v>0</v>
      </c>
      <c r="B1600" t="str">
        <f t="shared" si="79"/>
        <v>O9</v>
      </c>
      <c r="C1600" s="12" t="s">
        <v>132</v>
      </c>
      <c r="D1600" s="18">
        <f>VLOOKUP(C1600,'DISTRIBUIÇÃO NF4267'!$E$3:$FQ$75,MATCH(B1600,'DISTRIBUIÇÃO NF4267'!$E$3:$FQ$3,0)+1,0)</f>
        <v>4</v>
      </c>
      <c r="F1600" s="28">
        <f t="shared" si="80"/>
        <v>3</v>
      </c>
    </row>
    <row r="1601" spans="1:6" x14ac:dyDescent="0.35">
      <c r="A1601">
        <f t="shared" si="78"/>
        <v>0</v>
      </c>
      <c r="B1601" t="str">
        <f t="shared" si="79"/>
        <v>O9</v>
      </c>
      <c r="C1601" s="12" t="s">
        <v>133</v>
      </c>
      <c r="D1601" s="18">
        <f>VLOOKUP(C1601,'DISTRIBUIÇÃO NF4267'!$E$3:$FQ$75,MATCH(B1601,'DISTRIBUIÇÃO NF4267'!$E$3:$FQ$3,0)+1,0)</f>
        <v>3</v>
      </c>
      <c r="F1601" s="28">
        <f t="shared" si="80"/>
        <v>3</v>
      </c>
    </row>
    <row r="1602" spans="1:6" x14ac:dyDescent="0.35">
      <c r="A1602">
        <f t="shared" ref="A1602:A1665" si="81">IF(ISERROR(VLOOKUP(C1602,I:I,1,0)),0,1)</f>
        <v>0</v>
      </c>
      <c r="B1602" t="str">
        <f t="shared" si="79"/>
        <v>O9</v>
      </c>
      <c r="C1602" s="12" t="s">
        <v>134</v>
      </c>
      <c r="D1602" s="18">
        <f>VLOOKUP(C1602,'DISTRIBUIÇÃO NF4267'!$E$3:$FQ$75,MATCH(B1602,'DISTRIBUIÇÃO NF4267'!$E$3:$FQ$3,0)+1,0)</f>
        <v>2</v>
      </c>
      <c r="F1602" s="28">
        <f t="shared" si="80"/>
        <v>3</v>
      </c>
    </row>
    <row r="1603" spans="1:6" x14ac:dyDescent="0.35">
      <c r="A1603">
        <f t="shared" si="81"/>
        <v>0</v>
      </c>
      <c r="B1603" t="str">
        <f t="shared" si="79"/>
        <v>O9</v>
      </c>
      <c r="C1603" s="12" t="s">
        <v>135</v>
      </c>
      <c r="D1603" s="18">
        <f>VLOOKUP(C1603,'DISTRIBUIÇÃO NF4267'!$E$3:$FQ$75,MATCH(B1603,'DISTRIBUIÇÃO NF4267'!$E$3:$FQ$3,0)+1,0)</f>
        <v>0</v>
      </c>
      <c r="F1603" s="28">
        <f t="shared" si="80"/>
        <v>3</v>
      </c>
    </row>
    <row r="1604" spans="1:6" x14ac:dyDescent="0.35">
      <c r="A1604">
        <f t="shared" si="81"/>
        <v>0</v>
      </c>
      <c r="B1604" t="str">
        <f t="shared" si="79"/>
        <v>O9</v>
      </c>
      <c r="C1604" s="13" t="s">
        <v>22</v>
      </c>
      <c r="D1604" s="18">
        <f>VLOOKUP(C1604,'DISTRIBUIÇÃO NF4267'!$E$3:$FQ$75,MATCH(B1604,'DISTRIBUIÇÃO NF4267'!$E$3:$FQ$3,0)+1,0)</f>
        <v>0</v>
      </c>
      <c r="F1604" s="28">
        <f t="shared" si="80"/>
        <v>3</v>
      </c>
    </row>
    <row r="1605" spans="1:6" x14ac:dyDescent="0.35">
      <c r="A1605">
        <f t="shared" si="81"/>
        <v>0</v>
      </c>
      <c r="B1605" t="str">
        <f t="shared" si="79"/>
        <v>O9</v>
      </c>
      <c r="C1605" s="13" t="s">
        <v>23</v>
      </c>
      <c r="D1605" s="18">
        <f>VLOOKUP(C1605,'DISTRIBUIÇÃO NF4267'!$E$3:$FQ$75,MATCH(B1605,'DISTRIBUIÇÃO NF4267'!$E$3:$FQ$3,0)+1,0)</f>
        <v>1</v>
      </c>
      <c r="F1605" s="28">
        <f t="shared" si="80"/>
        <v>3</v>
      </c>
    </row>
    <row r="1606" spans="1:6" x14ac:dyDescent="0.35">
      <c r="A1606">
        <f t="shared" si="81"/>
        <v>0</v>
      </c>
      <c r="B1606" t="str">
        <f t="shared" si="79"/>
        <v>O9</v>
      </c>
      <c r="C1606" s="13" t="s">
        <v>24</v>
      </c>
      <c r="D1606" s="18">
        <f>VLOOKUP(C1606,'DISTRIBUIÇÃO NF4267'!$E$3:$FQ$75,MATCH(B1606,'DISTRIBUIÇÃO NF4267'!$E$3:$FQ$3,0)+1,0)</f>
        <v>6</v>
      </c>
      <c r="F1606" s="28">
        <f t="shared" si="80"/>
        <v>3</v>
      </c>
    </row>
    <row r="1607" spans="1:6" x14ac:dyDescent="0.35">
      <c r="A1607">
        <f t="shared" si="81"/>
        <v>0</v>
      </c>
      <c r="B1607" t="str">
        <f t="shared" si="79"/>
        <v>O9</v>
      </c>
      <c r="C1607" s="13" t="s">
        <v>25</v>
      </c>
      <c r="D1607" s="18">
        <f>VLOOKUP(C1607,'DISTRIBUIÇÃO NF4267'!$E$3:$FQ$75,MATCH(B1607,'DISTRIBUIÇÃO NF4267'!$E$3:$FQ$3,0)+1,0)</f>
        <v>2</v>
      </c>
      <c r="F1607" s="28">
        <f t="shared" si="80"/>
        <v>3</v>
      </c>
    </row>
    <row r="1608" spans="1:6" x14ac:dyDescent="0.35">
      <c r="A1608">
        <f t="shared" si="81"/>
        <v>0</v>
      </c>
      <c r="B1608" t="str">
        <f t="shared" si="79"/>
        <v>O9</v>
      </c>
      <c r="C1608" s="13" t="s">
        <v>26</v>
      </c>
      <c r="D1608" s="18">
        <f>VLOOKUP(C1608,'DISTRIBUIÇÃO NF4267'!$E$3:$FQ$75,MATCH(B1608,'DISTRIBUIÇÃO NF4267'!$E$3:$FQ$3,0)+1,0)</f>
        <v>1</v>
      </c>
      <c r="F1608" s="28">
        <f t="shared" si="80"/>
        <v>3</v>
      </c>
    </row>
    <row r="1609" spans="1:6" x14ac:dyDescent="0.35">
      <c r="A1609">
        <f t="shared" si="81"/>
        <v>0</v>
      </c>
      <c r="B1609" t="str">
        <f t="shared" si="79"/>
        <v>O9</v>
      </c>
      <c r="C1609" s="13" t="s">
        <v>27</v>
      </c>
      <c r="D1609" s="18">
        <f>VLOOKUP(C1609,'DISTRIBUIÇÃO NF4267'!$E$3:$FQ$75,MATCH(B1609,'DISTRIBUIÇÃO NF4267'!$E$3:$FQ$3,0)+1,0)</f>
        <v>0</v>
      </c>
      <c r="F1609" s="28">
        <f t="shared" si="80"/>
        <v>3</v>
      </c>
    </row>
    <row r="1610" spans="1:6" x14ac:dyDescent="0.35">
      <c r="A1610">
        <f t="shared" si="81"/>
        <v>0</v>
      </c>
      <c r="B1610" t="str">
        <f t="shared" si="79"/>
        <v>O9</v>
      </c>
      <c r="C1610" s="14" t="s">
        <v>138</v>
      </c>
      <c r="D1610" s="18">
        <f>VLOOKUP(C1610,'DISTRIBUIÇÃO NF4267'!$E$3:$FQ$75,MATCH(B1610,'DISTRIBUIÇÃO NF4267'!$E$3:$FQ$3,0)+1,0)</f>
        <v>0</v>
      </c>
      <c r="F1610" s="28">
        <f t="shared" si="80"/>
        <v>3</v>
      </c>
    </row>
    <row r="1611" spans="1:6" x14ac:dyDescent="0.35">
      <c r="A1611">
        <f t="shared" si="81"/>
        <v>0</v>
      </c>
      <c r="B1611" t="str">
        <f t="shared" si="79"/>
        <v>O9</v>
      </c>
      <c r="C1611" s="14" t="s">
        <v>139</v>
      </c>
      <c r="D1611" s="18">
        <f>VLOOKUP(C1611,'DISTRIBUIÇÃO NF4267'!$E$3:$FQ$75,MATCH(B1611,'DISTRIBUIÇÃO NF4267'!$E$3:$FQ$3,0)+1,0)</f>
        <v>4</v>
      </c>
      <c r="F1611" s="28">
        <f t="shared" si="80"/>
        <v>3</v>
      </c>
    </row>
    <row r="1612" spans="1:6" x14ac:dyDescent="0.35">
      <c r="A1612">
        <f t="shared" si="81"/>
        <v>0</v>
      </c>
      <c r="B1612" t="str">
        <f t="shared" si="79"/>
        <v>O9</v>
      </c>
      <c r="C1612" s="14" t="s">
        <v>140</v>
      </c>
      <c r="D1612" s="18">
        <f>VLOOKUP(C1612,'DISTRIBUIÇÃO NF4267'!$E$3:$FQ$75,MATCH(B1612,'DISTRIBUIÇÃO NF4267'!$E$3:$FQ$3,0)+1,0)</f>
        <v>8</v>
      </c>
      <c r="F1612" s="28">
        <f t="shared" si="80"/>
        <v>3</v>
      </c>
    </row>
    <row r="1613" spans="1:6" x14ac:dyDescent="0.35">
      <c r="A1613">
        <f t="shared" si="81"/>
        <v>0</v>
      </c>
      <c r="B1613" t="str">
        <f t="shared" si="79"/>
        <v>O9</v>
      </c>
      <c r="C1613" s="14" t="s">
        <v>141</v>
      </c>
      <c r="D1613" s="18">
        <f>VLOOKUP(C1613,'DISTRIBUIÇÃO NF4267'!$E$3:$FQ$75,MATCH(B1613,'DISTRIBUIÇÃO NF4267'!$E$3:$FQ$3,0)+1,0)</f>
        <v>4</v>
      </c>
      <c r="F1613" s="28">
        <f t="shared" si="80"/>
        <v>3</v>
      </c>
    </row>
    <row r="1614" spans="1:6" x14ac:dyDescent="0.35">
      <c r="A1614">
        <f t="shared" si="81"/>
        <v>0</v>
      </c>
      <c r="B1614" t="str">
        <f t="shared" si="79"/>
        <v>O9</v>
      </c>
      <c r="C1614" s="14" t="s">
        <v>142</v>
      </c>
      <c r="D1614" s="18">
        <f>VLOOKUP(C1614,'DISTRIBUIÇÃO NF4267'!$E$3:$FQ$75,MATCH(B1614,'DISTRIBUIÇÃO NF4267'!$E$3:$FQ$3,0)+1,0)</f>
        <v>4</v>
      </c>
      <c r="F1614" s="28">
        <f t="shared" si="80"/>
        <v>3</v>
      </c>
    </row>
    <row r="1615" spans="1:6" x14ac:dyDescent="0.35">
      <c r="A1615">
        <f t="shared" si="81"/>
        <v>0</v>
      </c>
      <c r="B1615" t="str">
        <f t="shared" si="79"/>
        <v>O9</v>
      </c>
      <c r="C1615" s="14" t="s">
        <v>143</v>
      </c>
      <c r="D1615" s="18">
        <f>VLOOKUP(C1615,'DISTRIBUIÇÃO NF4267'!$E$3:$FQ$75,MATCH(B1615,'DISTRIBUIÇÃO NF4267'!$E$3:$FQ$3,0)+1,0)</f>
        <v>0</v>
      </c>
      <c r="F1615" s="28">
        <f t="shared" si="80"/>
        <v>3</v>
      </c>
    </row>
    <row r="1616" spans="1:6" x14ac:dyDescent="0.35">
      <c r="A1616">
        <f t="shared" si="81"/>
        <v>0</v>
      </c>
      <c r="B1616" t="str">
        <f t="shared" si="79"/>
        <v>O9</v>
      </c>
      <c r="C1616" s="15" t="s">
        <v>145</v>
      </c>
      <c r="D1616" s="18">
        <f>VLOOKUP(C1616,'DISTRIBUIÇÃO NF4267'!$E$3:$FQ$75,MATCH(B1616,'DISTRIBUIÇÃO NF4267'!$E$3:$FQ$3,0)+1,0)</f>
        <v>0</v>
      </c>
      <c r="F1616" s="28">
        <f t="shared" si="80"/>
        <v>3</v>
      </c>
    </row>
    <row r="1617" spans="1:6" x14ac:dyDescent="0.35">
      <c r="A1617">
        <f t="shared" si="81"/>
        <v>0</v>
      </c>
      <c r="B1617" t="str">
        <f t="shared" si="79"/>
        <v>O9</v>
      </c>
      <c r="C1617" s="15" t="s">
        <v>146</v>
      </c>
      <c r="D1617" s="18">
        <f>VLOOKUP(C1617,'DISTRIBUIÇÃO NF4267'!$E$3:$FQ$75,MATCH(B1617,'DISTRIBUIÇÃO NF4267'!$E$3:$FQ$3,0)+1,0)</f>
        <v>2</v>
      </c>
      <c r="F1617" s="28">
        <f t="shared" si="80"/>
        <v>3</v>
      </c>
    </row>
    <row r="1618" spans="1:6" x14ac:dyDescent="0.35">
      <c r="A1618">
        <f t="shared" si="81"/>
        <v>0</v>
      </c>
      <c r="B1618" t="str">
        <f t="shared" si="79"/>
        <v>O9</v>
      </c>
      <c r="C1618" s="15" t="s">
        <v>147</v>
      </c>
      <c r="D1618" s="18">
        <f>VLOOKUP(C1618,'DISTRIBUIÇÃO NF4267'!$E$3:$FQ$75,MATCH(B1618,'DISTRIBUIÇÃO NF4267'!$E$3:$FQ$3,0)+1,0)</f>
        <v>4</v>
      </c>
      <c r="F1618" s="28">
        <f t="shared" si="80"/>
        <v>3</v>
      </c>
    </row>
    <row r="1619" spans="1:6" x14ac:dyDescent="0.35">
      <c r="A1619">
        <f t="shared" si="81"/>
        <v>0</v>
      </c>
      <c r="B1619" t="str">
        <f t="shared" si="79"/>
        <v>O9</v>
      </c>
      <c r="C1619" s="15" t="s">
        <v>148</v>
      </c>
      <c r="D1619" s="18">
        <f>VLOOKUP(C1619,'DISTRIBUIÇÃO NF4267'!$E$3:$FQ$75,MATCH(B1619,'DISTRIBUIÇÃO NF4267'!$E$3:$FQ$3,0)+1,0)</f>
        <v>2</v>
      </c>
      <c r="F1619" s="28">
        <f t="shared" si="80"/>
        <v>3</v>
      </c>
    </row>
    <row r="1620" spans="1:6" x14ac:dyDescent="0.35">
      <c r="A1620">
        <f t="shared" si="81"/>
        <v>0</v>
      </c>
      <c r="B1620" t="str">
        <f t="shared" si="79"/>
        <v>O9</v>
      </c>
      <c r="C1620" s="15" t="s">
        <v>149</v>
      </c>
      <c r="D1620" s="18">
        <f>VLOOKUP(C1620,'DISTRIBUIÇÃO NF4267'!$E$3:$FQ$75,MATCH(B1620,'DISTRIBUIÇÃO NF4267'!$E$3:$FQ$3,0)+1,0)</f>
        <v>2</v>
      </c>
      <c r="F1620" s="28">
        <f t="shared" si="80"/>
        <v>3</v>
      </c>
    </row>
    <row r="1621" spans="1:6" x14ac:dyDescent="0.35">
      <c r="A1621">
        <f t="shared" si="81"/>
        <v>0</v>
      </c>
      <c r="B1621" t="str">
        <f t="shared" si="79"/>
        <v>O9</v>
      </c>
      <c r="C1621" s="15" t="s">
        <v>150</v>
      </c>
      <c r="D1621" s="18">
        <f>VLOOKUP(C1621,'DISTRIBUIÇÃO NF4267'!$E$3:$FQ$75,MATCH(B1621,'DISTRIBUIÇÃO NF4267'!$E$3:$FQ$3,0)+1,0)</f>
        <v>0</v>
      </c>
      <c r="F1621" s="28">
        <f t="shared" si="80"/>
        <v>3</v>
      </c>
    </row>
    <row r="1622" spans="1:6" x14ac:dyDescent="0.35">
      <c r="A1622">
        <f t="shared" si="81"/>
        <v>0</v>
      </c>
      <c r="B1622" t="s">
        <v>48</v>
      </c>
      <c r="C1622" s="7" t="s">
        <v>98</v>
      </c>
      <c r="D1622" s="18">
        <f>VLOOKUP(C1622,'DISTRIBUIÇÃO NF4267'!$E$3:$FQ$75,MATCH(B1622,'DISTRIBUIÇÃO NF4267'!$E$3:$FQ$3,0)+1,0)</f>
        <v>0</v>
      </c>
      <c r="F1622" s="28">
        <f t="shared" si="80"/>
        <v>3</v>
      </c>
    </row>
    <row r="1623" spans="1:6" x14ac:dyDescent="0.35">
      <c r="A1623">
        <f t="shared" si="81"/>
        <v>0</v>
      </c>
      <c r="B1623" t="str">
        <f>B1622</f>
        <v>W3</v>
      </c>
      <c r="C1623" s="7" t="s">
        <v>99</v>
      </c>
      <c r="D1623" s="18">
        <f>VLOOKUP(C1623,'DISTRIBUIÇÃO NF4267'!$E$3:$FQ$75,MATCH(B1623,'DISTRIBUIÇÃO NF4267'!$E$3:$FQ$3,0)+1,0)</f>
        <v>4</v>
      </c>
      <c r="F1623" s="28">
        <f t="shared" si="80"/>
        <v>3</v>
      </c>
    </row>
    <row r="1624" spans="1:6" x14ac:dyDescent="0.35">
      <c r="A1624">
        <f t="shared" si="81"/>
        <v>0</v>
      </c>
      <c r="B1624" t="str">
        <f t="shared" ref="B1624:B1675" si="82">B1623</f>
        <v>W3</v>
      </c>
      <c r="C1624" s="7" t="s">
        <v>100</v>
      </c>
      <c r="D1624" s="18">
        <f>VLOOKUP(C1624,'DISTRIBUIÇÃO NF4267'!$E$3:$FQ$75,MATCH(B1624,'DISTRIBUIÇÃO NF4267'!$E$3:$FQ$3,0)+1,0)</f>
        <v>8</v>
      </c>
      <c r="F1624" s="28">
        <f t="shared" si="80"/>
        <v>3</v>
      </c>
    </row>
    <row r="1625" spans="1:6" x14ac:dyDescent="0.35">
      <c r="A1625">
        <f t="shared" si="81"/>
        <v>0</v>
      </c>
      <c r="B1625" t="str">
        <f t="shared" si="82"/>
        <v>W3</v>
      </c>
      <c r="C1625" s="7" t="s">
        <v>101</v>
      </c>
      <c r="D1625" s="18">
        <f>VLOOKUP(C1625,'DISTRIBUIÇÃO NF4267'!$E$3:$FQ$75,MATCH(B1625,'DISTRIBUIÇÃO NF4267'!$E$3:$FQ$3,0)+1,0)</f>
        <v>4</v>
      </c>
      <c r="F1625" s="28">
        <f t="shared" si="80"/>
        <v>3</v>
      </c>
    </row>
    <row r="1626" spans="1:6" x14ac:dyDescent="0.35">
      <c r="A1626">
        <f t="shared" si="81"/>
        <v>0</v>
      </c>
      <c r="B1626" t="str">
        <f t="shared" si="82"/>
        <v>W3</v>
      </c>
      <c r="C1626" s="7" t="s">
        <v>102</v>
      </c>
      <c r="D1626" s="18">
        <f>VLOOKUP(C1626,'DISTRIBUIÇÃO NF4267'!$E$3:$FQ$75,MATCH(B1626,'DISTRIBUIÇÃO NF4267'!$E$3:$FQ$3,0)+1,0)</f>
        <v>4</v>
      </c>
      <c r="F1626" s="28">
        <f t="shared" si="80"/>
        <v>3</v>
      </c>
    </row>
    <row r="1627" spans="1:6" x14ac:dyDescent="0.35">
      <c r="A1627">
        <f t="shared" si="81"/>
        <v>0</v>
      </c>
      <c r="B1627" t="str">
        <f t="shared" si="82"/>
        <v>W3</v>
      </c>
      <c r="C1627" s="7" t="s">
        <v>103</v>
      </c>
      <c r="D1627" s="18">
        <f>VLOOKUP(C1627,'DISTRIBUIÇÃO NF4267'!$E$3:$FQ$75,MATCH(B1627,'DISTRIBUIÇÃO NF4267'!$E$3:$FQ$3,0)+1,0)</f>
        <v>0</v>
      </c>
      <c r="F1627" s="28">
        <f t="shared" si="80"/>
        <v>3</v>
      </c>
    </row>
    <row r="1628" spans="1:6" x14ac:dyDescent="0.35">
      <c r="A1628">
        <f t="shared" si="81"/>
        <v>0</v>
      </c>
      <c r="B1628" t="str">
        <f t="shared" si="82"/>
        <v>W3</v>
      </c>
      <c r="C1628" s="8" t="s">
        <v>107</v>
      </c>
      <c r="D1628" s="18">
        <f>VLOOKUP(C1628,'DISTRIBUIÇÃO NF4267'!$E$3:$FQ$75,MATCH(B1628,'DISTRIBUIÇÃO NF4267'!$E$3:$FQ$3,0)+1,0)</f>
        <v>0</v>
      </c>
      <c r="F1628" s="28">
        <f t="shared" si="80"/>
        <v>3</v>
      </c>
    </row>
    <row r="1629" spans="1:6" x14ac:dyDescent="0.35">
      <c r="A1629">
        <f t="shared" si="81"/>
        <v>0</v>
      </c>
      <c r="B1629" t="str">
        <f t="shared" si="82"/>
        <v>W3</v>
      </c>
      <c r="C1629" s="8" t="s">
        <v>108</v>
      </c>
      <c r="D1629" s="18">
        <f>VLOOKUP(C1629,'DISTRIBUIÇÃO NF4267'!$E$3:$FQ$75,MATCH(B1629,'DISTRIBUIÇÃO NF4267'!$E$3:$FQ$3,0)+1,0)</f>
        <v>2</v>
      </c>
      <c r="F1629" s="28">
        <f t="shared" si="80"/>
        <v>3</v>
      </c>
    </row>
    <row r="1630" spans="1:6" x14ac:dyDescent="0.35">
      <c r="A1630">
        <f t="shared" si="81"/>
        <v>0</v>
      </c>
      <c r="B1630" t="str">
        <f t="shared" si="82"/>
        <v>W3</v>
      </c>
      <c r="C1630" s="8" t="s">
        <v>109</v>
      </c>
      <c r="D1630" s="18">
        <f>VLOOKUP(C1630,'DISTRIBUIÇÃO NF4267'!$E$3:$FQ$75,MATCH(B1630,'DISTRIBUIÇÃO NF4267'!$E$3:$FQ$3,0)+1,0)</f>
        <v>4</v>
      </c>
      <c r="F1630" s="28">
        <f t="shared" si="80"/>
        <v>3</v>
      </c>
    </row>
    <row r="1631" spans="1:6" x14ac:dyDescent="0.35">
      <c r="A1631">
        <f t="shared" si="81"/>
        <v>0</v>
      </c>
      <c r="B1631" t="str">
        <f t="shared" si="82"/>
        <v>W3</v>
      </c>
      <c r="C1631" s="8" t="s">
        <v>110</v>
      </c>
      <c r="D1631" s="18">
        <f>VLOOKUP(C1631,'DISTRIBUIÇÃO NF4267'!$E$3:$FQ$75,MATCH(B1631,'DISTRIBUIÇÃO NF4267'!$E$3:$FQ$3,0)+1,0)</f>
        <v>2</v>
      </c>
      <c r="F1631" s="28">
        <f t="shared" si="80"/>
        <v>3</v>
      </c>
    </row>
    <row r="1632" spans="1:6" x14ac:dyDescent="0.35">
      <c r="A1632">
        <f t="shared" si="81"/>
        <v>0</v>
      </c>
      <c r="B1632" t="str">
        <f t="shared" si="82"/>
        <v>W3</v>
      </c>
      <c r="C1632" s="8" t="s">
        <v>111</v>
      </c>
      <c r="D1632" s="18">
        <f>VLOOKUP(C1632,'DISTRIBUIÇÃO NF4267'!$E$3:$FQ$75,MATCH(B1632,'DISTRIBUIÇÃO NF4267'!$E$3:$FQ$3,0)+1,0)</f>
        <v>2</v>
      </c>
      <c r="F1632" s="28">
        <f t="shared" si="80"/>
        <v>3</v>
      </c>
    </row>
    <row r="1633" spans="1:6" x14ac:dyDescent="0.35">
      <c r="A1633">
        <f t="shared" si="81"/>
        <v>0</v>
      </c>
      <c r="B1633" t="str">
        <f t="shared" si="82"/>
        <v>W3</v>
      </c>
      <c r="C1633" s="8" t="s">
        <v>112</v>
      </c>
      <c r="D1633" s="18">
        <f>VLOOKUP(C1633,'DISTRIBUIÇÃO NF4267'!$E$3:$FQ$75,MATCH(B1633,'DISTRIBUIÇÃO NF4267'!$E$3:$FQ$3,0)+1,0)</f>
        <v>0</v>
      </c>
      <c r="F1633" s="28">
        <f t="shared" si="80"/>
        <v>3</v>
      </c>
    </row>
    <row r="1634" spans="1:6" x14ac:dyDescent="0.35">
      <c r="A1634">
        <f t="shared" si="81"/>
        <v>0</v>
      </c>
      <c r="B1634" t="str">
        <f t="shared" si="82"/>
        <v>W3</v>
      </c>
      <c r="C1634" s="9" t="s">
        <v>113</v>
      </c>
      <c r="D1634" s="18">
        <f>VLOOKUP(C1634,'DISTRIBUIÇÃO NF4267'!$E$3:$FQ$75,MATCH(B1634,'DISTRIBUIÇÃO NF4267'!$E$3:$FQ$3,0)+1,0)</f>
        <v>0</v>
      </c>
      <c r="F1634" s="28">
        <f t="shared" si="80"/>
        <v>3</v>
      </c>
    </row>
    <row r="1635" spans="1:6" x14ac:dyDescent="0.35">
      <c r="A1635">
        <f t="shared" si="81"/>
        <v>0</v>
      </c>
      <c r="B1635" t="str">
        <f t="shared" si="82"/>
        <v>W3</v>
      </c>
      <c r="C1635" s="9" t="s">
        <v>114</v>
      </c>
      <c r="D1635" s="18">
        <f>VLOOKUP(C1635,'DISTRIBUIÇÃO NF4267'!$E$3:$FQ$75,MATCH(B1635,'DISTRIBUIÇÃO NF4267'!$E$3:$FQ$3,0)+1,0)</f>
        <v>6</v>
      </c>
      <c r="F1635" s="28">
        <f t="shared" si="80"/>
        <v>3</v>
      </c>
    </row>
    <row r="1636" spans="1:6" x14ac:dyDescent="0.35">
      <c r="A1636">
        <f t="shared" si="81"/>
        <v>0</v>
      </c>
      <c r="B1636" t="str">
        <f t="shared" si="82"/>
        <v>W3</v>
      </c>
      <c r="C1636" s="9" t="s">
        <v>115</v>
      </c>
      <c r="D1636" s="18">
        <f>VLOOKUP(C1636,'DISTRIBUIÇÃO NF4267'!$E$3:$FQ$75,MATCH(B1636,'DISTRIBUIÇÃO NF4267'!$E$3:$FQ$3,0)+1,0)</f>
        <v>8</v>
      </c>
      <c r="F1636" s="28">
        <f t="shared" si="80"/>
        <v>3</v>
      </c>
    </row>
    <row r="1637" spans="1:6" x14ac:dyDescent="0.35">
      <c r="A1637">
        <f t="shared" si="81"/>
        <v>0</v>
      </c>
      <c r="B1637" t="str">
        <f t="shared" si="82"/>
        <v>W3</v>
      </c>
      <c r="C1637" s="9" t="s">
        <v>116</v>
      </c>
      <c r="D1637" s="18">
        <f>VLOOKUP(C1637,'DISTRIBUIÇÃO NF4267'!$E$3:$FQ$75,MATCH(B1637,'DISTRIBUIÇÃO NF4267'!$E$3:$FQ$3,0)+1,0)</f>
        <v>4</v>
      </c>
      <c r="F1637" s="28">
        <f t="shared" si="80"/>
        <v>3</v>
      </c>
    </row>
    <row r="1638" spans="1:6" x14ac:dyDescent="0.35">
      <c r="A1638">
        <f t="shared" si="81"/>
        <v>0</v>
      </c>
      <c r="B1638" t="str">
        <f t="shared" si="82"/>
        <v>W3</v>
      </c>
      <c r="C1638" s="9" t="s">
        <v>117</v>
      </c>
      <c r="D1638" s="18">
        <f>VLOOKUP(C1638,'DISTRIBUIÇÃO NF4267'!$E$3:$FQ$75,MATCH(B1638,'DISTRIBUIÇÃO NF4267'!$E$3:$FQ$3,0)+1,0)</f>
        <v>2</v>
      </c>
      <c r="F1638" s="28">
        <f t="shared" si="80"/>
        <v>3</v>
      </c>
    </row>
    <row r="1639" spans="1:6" x14ac:dyDescent="0.35">
      <c r="A1639">
        <f t="shared" si="81"/>
        <v>0</v>
      </c>
      <c r="B1639" t="str">
        <f t="shared" si="82"/>
        <v>W3</v>
      </c>
      <c r="C1639" s="9" t="s">
        <v>118</v>
      </c>
      <c r="D1639" s="18">
        <f>VLOOKUP(C1639,'DISTRIBUIÇÃO NF4267'!$E$3:$FQ$75,MATCH(B1639,'DISTRIBUIÇÃO NF4267'!$E$3:$FQ$3,0)+1,0)</f>
        <v>0</v>
      </c>
      <c r="F1639" s="28">
        <f t="shared" si="80"/>
        <v>3</v>
      </c>
    </row>
    <row r="1640" spans="1:6" x14ac:dyDescent="0.35">
      <c r="A1640">
        <f t="shared" si="81"/>
        <v>0</v>
      </c>
      <c r="B1640" t="str">
        <f t="shared" si="82"/>
        <v>W3</v>
      </c>
      <c r="C1640" s="10" t="s">
        <v>119</v>
      </c>
      <c r="D1640" s="18">
        <f>VLOOKUP(C1640,'DISTRIBUIÇÃO NF4267'!$E$3:$FQ$75,MATCH(B1640,'DISTRIBUIÇÃO NF4267'!$E$3:$FQ$3,0)+1,0)</f>
        <v>0</v>
      </c>
      <c r="F1640" s="28">
        <f t="shared" si="80"/>
        <v>3</v>
      </c>
    </row>
    <row r="1641" spans="1:6" x14ac:dyDescent="0.35">
      <c r="A1641">
        <f t="shared" si="81"/>
        <v>0</v>
      </c>
      <c r="B1641" t="str">
        <f t="shared" si="82"/>
        <v>W3</v>
      </c>
      <c r="C1641" s="10" t="s">
        <v>120</v>
      </c>
      <c r="D1641" s="18">
        <f>VLOOKUP(C1641,'DISTRIBUIÇÃO NF4267'!$E$3:$FQ$75,MATCH(B1641,'DISTRIBUIÇÃO NF4267'!$E$3:$FQ$3,0)+1,0)</f>
        <v>48</v>
      </c>
      <c r="F1641" s="28">
        <f t="shared" si="80"/>
        <v>3</v>
      </c>
    </row>
    <row r="1642" spans="1:6" x14ac:dyDescent="0.35">
      <c r="A1642">
        <f t="shared" si="81"/>
        <v>0</v>
      </c>
      <c r="B1642" t="str">
        <f t="shared" si="82"/>
        <v>W3</v>
      </c>
      <c r="C1642" s="10" t="s">
        <v>121</v>
      </c>
      <c r="D1642" s="18">
        <f>VLOOKUP(C1642,'DISTRIBUIÇÃO NF4267'!$E$3:$FQ$75,MATCH(B1642,'DISTRIBUIÇÃO NF4267'!$E$3:$FQ$3,0)+1,0)</f>
        <v>16</v>
      </c>
      <c r="F1642" s="28">
        <f t="shared" si="80"/>
        <v>3</v>
      </c>
    </row>
    <row r="1643" spans="1:6" x14ac:dyDescent="0.35">
      <c r="A1643">
        <f t="shared" si="81"/>
        <v>0</v>
      </c>
      <c r="B1643" t="str">
        <f t="shared" si="82"/>
        <v>W3</v>
      </c>
      <c r="C1643" s="10" t="s">
        <v>122</v>
      </c>
      <c r="D1643" s="18">
        <f>VLOOKUP(C1643,'DISTRIBUIÇÃO NF4267'!$E$3:$FQ$75,MATCH(B1643,'DISTRIBUIÇÃO NF4267'!$E$3:$FQ$3,0)+1,0)</f>
        <v>16</v>
      </c>
      <c r="F1643" s="28">
        <f t="shared" si="80"/>
        <v>3</v>
      </c>
    </row>
    <row r="1644" spans="1:6" x14ac:dyDescent="0.35">
      <c r="A1644">
        <f t="shared" si="81"/>
        <v>0</v>
      </c>
      <c r="B1644" t="str">
        <f t="shared" si="82"/>
        <v>W3</v>
      </c>
      <c r="C1644" s="10" t="s">
        <v>123</v>
      </c>
      <c r="D1644" s="18">
        <f>VLOOKUP(C1644,'DISTRIBUIÇÃO NF4267'!$E$3:$FQ$75,MATCH(B1644,'DISTRIBUIÇÃO NF4267'!$E$3:$FQ$3,0)+1,0)</f>
        <v>0</v>
      </c>
      <c r="F1644" s="28">
        <f t="shared" si="80"/>
        <v>3</v>
      </c>
    </row>
    <row r="1645" spans="1:6" x14ac:dyDescent="0.35">
      <c r="A1645">
        <f t="shared" si="81"/>
        <v>0</v>
      </c>
      <c r="B1645" t="str">
        <f t="shared" si="82"/>
        <v>W3</v>
      </c>
      <c r="C1645" s="10" t="s">
        <v>124</v>
      </c>
      <c r="D1645" s="18">
        <f>VLOOKUP(C1645,'DISTRIBUIÇÃO NF4267'!$E$3:$FQ$75,MATCH(B1645,'DISTRIBUIÇÃO NF4267'!$E$3:$FQ$3,0)+1,0)</f>
        <v>0</v>
      </c>
      <c r="F1645" s="28">
        <f t="shared" si="80"/>
        <v>3</v>
      </c>
    </row>
    <row r="1646" spans="1:6" x14ac:dyDescent="0.35">
      <c r="A1646">
        <f t="shared" si="81"/>
        <v>0</v>
      </c>
      <c r="B1646" t="str">
        <f t="shared" si="82"/>
        <v>W3</v>
      </c>
      <c r="C1646" s="11" t="s">
        <v>16</v>
      </c>
      <c r="D1646" s="18">
        <f>VLOOKUP(C1646,'DISTRIBUIÇÃO NF4267'!$E$3:$FQ$75,MATCH(B1646,'DISTRIBUIÇÃO NF4267'!$E$3:$FQ$3,0)+1,0)</f>
        <v>0</v>
      </c>
      <c r="F1646" s="28">
        <f t="shared" si="80"/>
        <v>3</v>
      </c>
    </row>
    <row r="1647" spans="1:6" x14ac:dyDescent="0.35">
      <c r="A1647">
        <f t="shared" si="81"/>
        <v>0</v>
      </c>
      <c r="B1647" t="str">
        <f t="shared" si="82"/>
        <v>W3</v>
      </c>
      <c r="C1647" s="11" t="s">
        <v>17</v>
      </c>
      <c r="D1647" s="18">
        <f>VLOOKUP(C1647,'DISTRIBUIÇÃO NF4267'!$E$3:$FQ$75,MATCH(B1647,'DISTRIBUIÇÃO NF4267'!$E$3:$FQ$3,0)+1,0)</f>
        <v>9</v>
      </c>
      <c r="F1647" s="28">
        <f t="shared" si="80"/>
        <v>3</v>
      </c>
    </row>
    <row r="1648" spans="1:6" x14ac:dyDescent="0.35">
      <c r="A1648">
        <f t="shared" si="81"/>
        <v>0</v>
      </c>
      <c r="B1648" t="str">
        <f t="shared" si="82"/>
        <v>W3</v>
      </c>
      <c r="C1648" s="11" t="s">
        <v>18</v>
      </c>
      <c r="D1648" s="18">
        <f>VLOOKUP(C1648,'DISTRIBUIÇÃO NF4267'!$E$3:$FQ$75,MATCH(B1648,'DISTRIBUIÇÃO NF4267'!$E$3:$FQ$3,0)+1,0)</f>
        <v>3</v>
      </c>
      <c r="F1648" s="28">
        <f t="shared" si="80"/>
        <v>3</v>
      </c>
    </row>
    <row r="1649" spans="1:6" x14ac:dyDescent="0.35">
      <c r="A1649">
        <f t="shared" si="81"/>
        <v>0</v>
      </c>
      <c r="B1649" t="str">
        <f t="shared" si="82"/>
        <v>W3</v>
      </c>
      <c r="C1649" s="11" t="s">
        <v>19</v>
      </c>
      <c r="D1649" s="18">
        <f>VLOOKUP(C1649,'DISTRIBUIÇÃO NF4267'!$E$3:$FQ$75,MATCH(B1649,'DISTRIBUIÇÃO NF4267'!$E$3:$FQ$3,0)+1,0)</f>
        <v>3</v>
      </c>
      <c r="F1649" s="28">
        <f t="shared" si="80"/>
        <v>3</v>
      </c>
    </row>
    <row r="1650" spans="1:6" x14ac:dyDescent="0.35">
      <c r="A1650">
        <f t="shared" si="81"/>
        <v>0</v>
      </c>
      <c r="B1650" t="str">
        <f t="shared" si="82"/>
        <v>W3</v>
      </c>
      <c r="C1650" s="11" t="s">
        <v>20</v>
      </c>
      <c r="D1650" s="18">
        <f>VLOOKUP(C1650,'DISTRIBUIÇÃO NF4267'!$E$3:$FQ$75,MATCH(B1650,'DISTRIBUIÇÃO NF4267'!$E$3:$FQ$3,0)+1,0)</f>
        <v>15</v>
      </c>
      <c r="F1650" s="28">
        <f t="shared" si="80"/>
        <v>3</v>
      </c>
    </row>
    <row r="1651" spans="1:6" x14ac:dyDescent="0.35">
      <c r="A1651">
        <f t="shared" si="81"/>
        <v>0</v>
      </c>
      <c r="B1651" t="str">
        <f t="shared" si="82"/>
        <v>W3</v>
      </c>
      <c r="C1651" s="11" t="s">
        <v>21</v>
      </c>
      <c r="D1651" s="18">
        <f>VLOOKUP(C1651,'DISTRIBUIÇÃO NF4267'!$E$3:$FQ$75,MATCH(B1651,'DISTRIBUIÇÃO NF4267'!$E$3:$FQ$3,0)+1,0)</f>
        <v>0</v>
      </c>
      <c r="F1651" s="28">
        <f t="shared" si="80"/>
        <v>3</v>
      </c>
    </row>
    <row r="1652" spans="1:6" x14ac:dyDescent="0.35">
      <c r="A1652">
        <f t="shared" si="81"/>
        <v>0</v>
      </c>
      <c r="B1652" t="str">
        <f t="shared" si="82"/>
        <v>W3</v>
      </c>
      <c r="C1652" s="12" t="s">
        <v>130</v>
      </c>
      <c r="D1652" s="18">
        <f>VLOOKUP(C1652,'DISTRIBUIÇÃO NF4267'!$E$3:$FQ$75,MATCH(B1652,'DISTRIBUIÇÃO NF4267'!$E$3:$FQ$3,0)+1,0)</f>
        <v>0</v>
      </c>
      <c r="F1652" s="28">
        <f t="shared" si="80"/>
        <v>3</v>
      </c>
    </row>
    <row r="1653" spans="1:6" x14ac:dyDescent="0.35">
      <c r="A1653">
        <f t="shared" si="81"/>
        <v>0</v>
      </c>
      <c r="B1653" t="str">
        <f t="shared" si="82"/>
        <v>W3</v>
      </c>
      <c r="C1653" s="12" t="s">
        <v>131</v>
      </c>
      <c r="D1653" s="18">
        <f>VLOOKUP(C1653,'DISTRIBUIÇÃO NF4267'!$E$3:$FQ$75,MATCH(B1653,'DISTRIBUIÇÃO NF4267'!$E$3:$FQ$3,0)+1,0)</f>
        <v>1</v>
      </c>
      <c r="F1653" s="28">
        <f t="shared" si="80"/>
        <v>3</v>
      </c>
    </row>
    <row r="1654" spans="1:6" x14ac:dyDescent="0.35">
      <c r="A1654">
        <f t="shared" si="81"/>
        <v>0</v>
      </c>
      <c r="B1654" t="str">
        <f t="shared" si="82"/>
        <v>W3</v>
      </c>
      <c r="C1654" s="12" t="s">
        <v>132</v>
      </c>
      <c r="D1654" s="18">
        <f>VLOOKUP(C1654,'DISTRIBUIÇÃO NF4267'!$E$3:$FQ$75,MATCH(B1654,'DISTRIBUIÇÃO NF4267'!$E$3:$FQ$3,0)+1,0)</f>
        <v>4</v>
      </c>
      <c r="F1654" s="28">
        <f t="shared" si="80"/>
        <v>3</v>
      </c>
    </row>
    <row r="1655" spans="1:6" x14ac:dyDescent="0.35">
      <c r="A1655">
        <f t="shared" si="81"/>
        <v>0</v>
      </c>
      <c r="B1655" t="str">
        <f t="shared" si="82"/>
        <v>W3</v>
      </c>
      <c r="C1655" s="12" t="s">
        <v>133</v>
      </c>
      <c r="D1655" s="18">
        <f>VLOOKUP(C1655,'DISTRIBUIÇÃO NF4267'!$E$3:$FQ$75,MATCH(B1655,'DISTRIBUIÇÃO NF4267'!$E$3:$FQ$3,0)+1,0)</f>
        <v>3</v>
      </c>
      <c r="F1655" s="28">
        <f t="shared" si="80"/>
        <v>3</v>
      </c>
    </row>
    <row r="1656" spans="1:6" x14ac:dyDescent="0.35">
      <c r="A1656">
        <f t="shared" si="81"/>
        <v>0</v>
      </c>
      <c r="B1656" t="str">
        <f t="shared" si="82"/>
        <v>W3</v>
      </c>
      <c r="C1656" s="12" t="s">
        <v>134</v>
      </c>
      <c r="D1656" s="18">
        <f>VLOOKUP(C1656,'DISTRIBUIÇÃO NF4267'!$E$3:$FQ$75,MATCH(B1656,'DISTRIBUIÇÃO NF4267'!$E$3:$FQ$3,0)+1,0)</f>
        <v>2</v>
      </c>
      <c r="F1656" s="28">
        <f t="shared" ref="F1656:F1719" si="83">ROUNDUP(SUMIFS(D:D,B:B,B1656)/80,0)</f>
        <v>3</v>
      </c>
    </row>
    <row r="1657" spans="1:6" x14ac:dyDescent="0.35">
      <c r="A1657">
        <f t="shared" si="81"/>
        <v>0</v>
      </c>
      <c r="B1657" t="str">
        <f t="shared" si="82"/>
        <v>W3</v>
      </c>
      <c r="C1657" s="12" t="s">
        <v>135</v>
      </c>
      <c r="D1657" s="18">
        <f>VLOOKUP(C1657,'DISTRIBUIÇÃO NF4267'!$E$3:$FQ$75,MATCH(B1657,'DISTRIBUIÇÃO NF4267'!$E$3:$FQ$3,0)+1,0)</f>
        <v>0</v>
      </c>
      <c r="F1657" s="28">
        <f t="shared" si="83"/>
        <v>3</v>
      </c>
    </row>
    <row r="1658" spans="1:6" x14ac:dyDescent="0.35">
      <c r="A1658">
        <f t="shared" si="81"/>
        <v>0</v>
      </c>
      <c r="B1658" t="str">
        <f t="shared" si="82"/>
        <v>W3</v>
      </c>
      <c r="C1658" s="13" t="s">
        <v>22</v>
      </c>
      <c r="D1658" s="18">
        <f>VLOOKUP(C1658,'DISTRIBUIÇÃO NF4267'!$E$3:$FQ$75,MATCH(B1658,'DISTRIBUIÇÃO NF4267'!$E$3:$FQ$3,0)+1,0)</f>
        <v>0</v>
      </c>
      <c r="F1658" s="28">
        <f t="shared" si="83"/>
        <v>3</v>
      </c>
    </row>
    <row r="1659" spans="1:6" x14ac:dyDescent="0.35">
      <c r="A1659">
        <f t="shared" si="81"/>
        <v>0</v>
      </c>
      <c r="B1659" t="str">
        <f t="shared" si="82"/>
        <v>W3</v>
      </c>
      <c r="C1659" s="13" t="s">
        <v>23</v>
      </c>
      <c r="D1659" s="18">
        <f>VLOOKUP(C1659,'DISTRIBUIÇÃO NF4267'!$E$3:$FQ$75,MATCH(B1659,'DISTRIBUIÇÃO NF4267'!$E$3:$FQ$3,0)+1,0)</f>
        <v>1</v>
      </c>
      <c r="F1659" s="28">
        <f t="shared" si="83"/>
        <v>3</v>
      </c>
    </row>
    <row r="1660" spans="1:6" x14ac:dyDescent="0.35">
      <c r="A1660">
        <f t="shared" si="81"/>
        <v>0</v>
      </c>
      <c r="B1660" t="str">
        <f t="shared" si="82"/>
        <v>W3</v>
      </c>
      <c r="C1660" s="13" t="s">
        <v>24</v>
      </c>
      <c r="D1660" s="18">
        <f>VLOOKUP(C1660,'DISTRIBUIÇÃO NF4267'!$E$3:$FQ$75,MATCH(B1660,'DISTRIBUIÇÃO NF4267'!$E$3:$FQ$3,0)+1,0)</f>
        <v>6</v>
      </c>
      <c r="F1660" s="28">
        <f t="shared" si="83"/>
        <v>3</v>
      </c>
    </row>
    <row r="1661" spans="1:6" x14ac:dyDescent="0.35">
      <c r="A1661">
        <f t="shared" si="81"/>
        <v>0</v>
      </c>
      <c r="B1661" t="str">
        <f t="shared" si="82"/>
        <v>W3</v>
      </c>
      <c r="C1661" s="13" t="s">
        <v>25</v>
      </c>
      <c r="D1661" s="18">
        <f>VLOOKUP(C1661,'DISTRIBUIÇÃO NF4267'!$E$3:$FQ$75,MATCH(B1661,'DISTRIBUIÇÃO NF4267'!$E$3:$FQ$3,0)+1,0)</f>
        <v>2</v>
      </c>
      <c r="F1661" s="28">
        <f t="shared" si="83"/>
        <v>3</v>
      </c>
    </row>
    <row r="1662" spans="1:6" x14ac:dyDescent="0.35">
      <c r="A1662">
        <f t="shared" si="81"/>
        <v>0</v>
      </c>
      <c r="B1662" t="str">
        <f t="shared" si="82"/>
        <v>W3</v>
      </c>
      <c r="C1662" s="13" t="s">
        <v>26</v>
      </c>
      <c r="D1662" s="18">
        <f>VLOOKUP(C1662,'DISTRIBUIÇÃO NF4267'!$E$3:$FQ$75,MATCH(B1662,'DISTRIBUIÇÃO NF4267'!$E$3:$FQ$3,0)+1,0)</f>
        <v>1</v>
      </c>
      <c r="F1662" s="28">
        <f t="shared" si="83"/>
        <v>3</v>
      </c>
    </row>
    <row r="1663" spans="1:6" x14ac:dyDescent="0.35">
      <c r="A1663">
        <f t="shared" si="81"/>
        <v>0</v>
      </c>
      <c r="B1663" t="str">
        <f t="shared" si="82"/>
        <v>W3</v>
      </c>
      <c r="C1663" s="13" t="s">
        <v>27</v>
      </c>
      <c r="D1663" s="18">
        <f>VLOOKUP(C1663,'DISTRIBUIÇÃO NF4267'!$E$3:$FQ$75,MATCH(B1663,'DISTRIBUIÇÃO NF4267'!$E$3:$FQ$3,0)+1,0)</f>
        <v>0</v>
      </c>
      <c r="F1663" s="28">
        <f t="shared" si="83"/>
        <v>3</v>
      </c>
    </row>
    <row r="1664" spans="1:6" x14ac:dyDescent="0.35">
      <c r="A1664">
        <f t="shared" si="81"/>
        <v>0</v>
      </c>
      <c r="B1664" t="str">
        <f t="shared" si="82"/>
        <v>W3</v>
      </c>
      <c r="C1664" s="14" t="s">
        <v>138</v>
      </c>
      <c r="D1664" s="18">
        <f>VLOOKUP(C1664,'DISTRIBUIÇÃO NF4267'!$E$3:$FQ$75,MATCH(B1664,'DISTRIBUIÇÃO NF4267'!$E$3:$FQ$3,0)+1,0)</f>
        <v>0</v>
      </c>
      <c r="F1664" s="28">
        <f t="shared" si="83"/>
        <v>3</v>
      </c>
    </row>
    <row r="1665" spans="1:6" x14ac:dyDescent="0.35">
      <c r="A1665">
        <f t="shared" si="81"/>
        <v>0</v>
      </c>
      <c r="B1665" t="str">
        <f t="shared" si="82"/>
        <v>W3</v>
      </c>
      <c r="C1665" s="14" t="s">
        <v>139</v>
      </c>
      <c r="D1665" s="18">
        <f>VLOOKUP(C1665,'DISTRIBUIÇÃO NF4267'!$E$3:$FQ$75,MATCH(B1665,'DISTRIBUIÇÃO NF4267'!$E$3:$FQ$3,0)+1,0)</f>
        <v>4</v>
      </c>
      <c r="F1665" s="28">
        <f t="shared" si="83"/>
        <v>3</v>
      </c>
    </row>
    <row r="1666" spans="1:6" x14ac:dyDescent="0.35">
      <c r="A1666">
        <f t="shared" ref="A1666:A1729" si="84">IF(ISERROR(VLOOKUP(C1666,I:I,1,0)),0,1)</f>
        <v>0</v>
      </c>
      <c r="B1666" t="str">
        <f t="shared" si="82"/>
        <v>W3</v>
      </c>
      <c r="C1666" s="14" t="s">
        <v>140</v>
      </c>
      <c r="D1666" s="18">
        <f>VLOOKUP(C1666,'DISTRIBUIÇÃO NF4267'!$E$3:$FQ$75,MATCH(B1666,'DISTRIBUIÇÃO NF4267'!$E$3:$FQ$3,0)+1,0)</f>
        <v>8</v>
      </c>
      <c r="F1666" s="28">
        <f t="shared" si="83"/>
        <v>3</v>
      </c>
    </row>
    <row r="1667" spans="1:6" x14ac:dyDescent="0.35">
      <c r="A1667">
        <f t="shared" si="84"/>
        <v>0</v>
      </c>
      <c r="B1667" t="str">
        <f t="shared" si="82"/>
        <v>W3</v>
      </c>
      <c r="C1667" s="14" t="s">
        <v>141</v>
      </c>
      <c r="D1667" s="18">
        <f>VLOOKUP(C1667,'DISTRIBUIÇÃO NF4267'!$E$3:$FQ$75,MATCH(B1667,'DISTRIBUIÇÃO NF4267'!$E$3:$FQ$3,0)+1,0)</f>
        <v>4</v>
      </c>
      <c r="F1667" s="28">
        <f t="shared" si="83"/>
        <v>3</v>
      </c>
    </row>
    <row r="1668" spans="1:6" x14ac:dyDescent="0.35">
      <c r="A1668">
        <f t="shared" si="84"/>
        <v>0</v>
      </c>
      <c r="B1668" t="str">
        <f t="shared" si="82"/>
        <v>W3</v>
      </c>
      <c r="C1668" s="14" t="s">
        <v>142</v>
      </c>
      <c r="D1668" s="18">
        <f>VLOOKUP(C1668,'DISTRIBUIÇÃO NF4267'!$E$3:$FQ$75,MATCH(B1668,'DISTRIBUIÇÃO NF4267'!$E$3:$FQ$3,0)+1,0)</f>
        <v>4</v>
      </c>
      <c r="F1668" s="28">
        <f t="shared" si="83"/>
        <v>3</v>
      </c>
    </row>
    <row r="1669" spans="1:6" x14ac:dyDescent="0.35">
      <c r="A1669">
        <f t="shared" si="84"/>
        <v>0</v>
      </c>
      <c r="B1669" t="str">
        <f t="shared" si="82"/>
        <v>W3</v>
      </c>
      <c r="C1669" s="14" t="s">
        <v>143</v>
      </c>
      <c r="D1669" s="18">
        <f>VLOOKUP(C1669,'DISTRIBUIÇÃO NF4267'!$E$3:$FQ$75,MATCH(B1669,'DISTRIBUIÇÃO NF4267'!$E$3:$FQ$3,0)+1,0)</f>
        <v>0</v>
      </c>
      <c r="F1669" s="28">
        <f t="shared" si="83"/>
        <v>3</v>
      </c>
    </row>
    <row r="1670" spans="1:6" x14ac:dyDescent="0.35">
      <c r="A1670">
        <f t="shared" si="84"/>
        <v>0</v>
      </c>
      <c r="B1670" t="str">
        <f t="shared" si="82"/>
        <v>W3</v>
      </c>
      <c r="C1670" s="15" t="s">
        <v>145</v>
      </c>
      <c r="D1670" s="18">
        <f>VLOOKUP(C1670,'DISTRIBUIÇÃO NF4267'!$E$3:$FQ$75,MATCH(B1670,'DISTRIBUIÇÃO NF4267'!$E$3:$FQ$3,0)+1,0)</f>
        <v>0</v>
      </c>
      <c r="F1670" s="28">
        <f t="shared" si="83"/>
        <v>3</v>
      </c>
    </row>
    <row r="1671" spans="1:6" x14ac:dyDescent="0.35">
      <c r="A1671">
        <f t="shared" si="84"/>
        <v>0</v>
      </c>
      <c r="B1671" t="str">
        <f t="shared" si="82"/>
        <v>W3</v>
      </c>
      <c r="C1671" s="15" t="s">
        <v>146</v>
      </c>
      <c r="D1671" s="18">
        <f>VLOOKUP(C1671,'DISTRIBUIÇÃO NF4267'!$E$3:$FQ$75,MATCH(B1671,'DISTRIBUIÇÃO NF4267'!$E$3:$FQ$3,0)+1,0)</f>
        <v>2</v>
      </c>
      <c r="F1671" s="28">
        <f t="shared" si="83"/>
        <v>3</v>
      </c>
    </row>
    <row r="1672" spans="1:6" x14ac:dyDescent="0.35">
      <c r="A1672">
        <f t="shared" si="84"/>
        <v>0</v>
      </c>
      <c r="B1672" t="str">
        <f t="shared" si="82"/>
        <v>W3</v>
      </c>
      <c r="C1672" s="15" t="s">
        <v>147</v>
      </c>
      <c r="D1672" s="18">
        <f>VLOOKUP(C1672,'DISTRIBUIÇÃO NF4267'!$E$3:$FQ$75,MATCH(B1672,'DISTRIBUIÇÃO NF4267'!$E$3:$FQ$3,0)+1,0)</f>
        <v>4</v>
      </c>
      <c r="F1672" s="28">
        <f t="shared" si="83"/>
        <v>3</v>
      </c>
    </row>
    <row r="1673" spans="1:6" x14ac:dyDescent="0.35">
      <c r="A1673">
        <f t="shared" si="84"/>
        <v>0</v>
      </c>
      <c r="B1673" t="str">
        <f t="shared" si="82"/>
        <v>W3</v>
      </c>
      <c r="C1673" s="15" t="s">
        <v>148</v>
      </c>
      <c r="D1673" s="18">
        <f>VLOOKUP(C1673,'DISTRIBUIÇÃO NF4267'!$E$3:$FQ$75,MATCH(B1673,'DISTRIBUIÇÃO NF4267'!$E$3:$FQ$3,0)+1,0)</f>
        <v>2</v>
      </c>
      <c r="F1673" s="28">
        <f t="shared" si="83"/>
        <v>3</v>
      </c>
    </row>
    <row r="1674" spans="1:6" x14ac:dyDescent="0.35">
      <c r="A1674">
        <f t="shared" si="84"/>
        <v>0</v>
      </c>
      <c r="B1674" t="str">
        <f t="shared" si="82"/>
        <v>W3</v>
      </c>
      <c r="C1674" s="15" t="s">
        <v>149</v>
      </c>
      <c r="D1674" s="18">
        <f>VLOOKUP(C1674,'DISTRIBUIÇÃO NF4267'!$E$3:$FQ$75,MATCH(B1674,'DISTRIBUIÇÃO NF4267'!$E$3:$FQ$3,0)+1,0)</f>
        <v>2</v>
      </c>
      <c r="F1674" s="28">
        <f t="shared" si="83"/>
        <v>3</v>
      </c>
    </row>
    <row r="1675" spans="1:6" x14ac:dyDescent="0.35">
      <c r="A1675">
        <f t="shared" si="84"/>
        <v>0</v>
      </c>
      <c r="B1675" t="str">
        <f t="shared" si="82"/>
        <v>W3</v>
      </c>
      <c r="C1675" s="15" t="s">
        <v>150</v>
      </c>
      <c r="D1675" s="18">
        <f>VLOOKUP(C1675,'DISTRIBUIÇÃO NF4267'!$E$3:$FQ$75,MATCH(B1675,'DISTRIBUIÇÃO NF4267'!$E$3:$FQ$3,0)+1,0)</f>
        <v>0</v>
      </c>
      <c r="F1675" s="28">
        <f t="shared" si="83"/>
        <v>3</v>
      </c>
    </row>
    <row r="1676" spans="1:6" x14ac:dyDescent="0.35">
      <c r="A1676">
        <f t="shared" si="84"/>
        <v>0</v>
      </c>
      <c r="B1676" t="s">
        <v>49</v>
      </c>
      <c r="C1676" s="7" t="s">
        <v>98</v>
      </c>
      <c r="D1676" s="18">
        <f>VLOOKUP(C1676,'DISTRIBUIÇÃO NF4267'!$E$3:$FQ$75,MATCH(B1676,'DISTRIBUIÇÃO NF4267'!$E$3:$FQ$3,0)+1,0)</f>
        <v>0</v>
      </c>
      <c r="F1676" s="28">
        <f t="shared" si="83"/>
        <v>3</v>
      </c>
    </row>
    <row r="1677" spans="1:6" x14ac:dyDescent="0.35">
      <c r="A1677">
        <f t="shared" si="84"/>
        <v>0</v>
      </c>
      <c r="B1677" t="str">
        <f>B1676</f>
        <v>J8</v>
      </c>
      <c r="C1677" s="7" t="s">
        <v>99</v>
      </c>
      <c r="D1677" s="18">
        <f>VLOOKUP(C1677,'DISTRIBUIÇÃO NF4267'!$E$3:$FQ$75,MATCH(B1677,'DISTRIBUIÇÃO NF4267'!$E$3:$FQ$3,0)+1,0)</f>
        <v>4</v>
      </c>
      <c r="F1677" s="28">
        <f t="shared" si="83"/>
        <v>3</v>
      </c>
    </row>
    <row r="1678" spans="1:6" x14ac:dyDescent="0.35">
      <c r="A1678">
        <f t="shared" si="84"/>
        <v>0</v>
      </c>
      <c r="B1678" t="str">
        <f t="shared" ref="B1678:B1729" si="85">B1677</f>
        <v>J8</v>
      </c>
      <c r="C1678" s="7" t="s">
        <v>100</v>
      </c>
      <c r="D1678" s="18">
        <f>VLOOKUP(C1678,'DISTRIBUIÇÃO NF4267'!$E$3:$FQ$75,MATCH(B1678,'DISTRIBUIÇÃO NF4267'!$E$3:$FQ$3,0)+1,0)</f>
        <v>8</v>
      </c>
      <c r="F1678" s="28">
        <f t="shared" si="83"/>
        <v>3</v>
      </c>
    </row>
    <row r="1679" spans="1:6" x14ac:dyDescent="0.35">
      <c r="A1679">
        <f t="shared" si="84"/>
        <v>0</v>
      </c>
      <c r="B1679" t="str">
        <f t="shared" si="85"/>
        <v>J8</v>
      </c>
      <c r="C1679" s="7" t="s">
        <v>101</v>
      </c>
      <c r="D1679" s="18">
        <f>VLOOKUP(C1679,'DISTRIBUIÇÃO NF4267'!$E$3:$FQ$75,MATCH(B1679,'DISTRIBUIÇÃO NF4267'!$E$3:$FQ$3,0)+1,0)</f>
        <v>4</v>
      </c>
      <c r="F1679" s="28">
        <f t="shared" si="83"/>
        <v>3</v>
      </c>
    </row>
    <row r="1680" spans="1:6" x14ac:dyDescent="0.35">
      <c r="A1680">
        <f t="shared" si="84"/>
        <v>0</v>
      </c>
      <c r="B1680" t="str">
        <f t="shared" si="85"/>
        <v>J8</v>
      </c>
      <c r="C1680" s="7" t="s">
        <v>102</v>
      </c>
      <c r="D1680" s="18">
        <f>VLOOKUP(C1680,'DISTRIBUIÇÃO NF4267'!$E$3:$FQ$75,MATCH(B1680,'DISTRIBUIÇÃO NF4267'!$E$3:$FQ$3,0)+1,0)</f>
        <v>4</v>
      </c>
      <c r="F1680" s="28">
        <f t="shared" si="83"/>
        <v>3</v>
      </c>
    </row>
    <row r="1681" spans="1:6" x14ac:dyDescent="0.35">
      <c r="A1681">
        <f t="shared" si="84"/>
        <v>0</v>
      </c>
      <c r="B1681" t="str">
        <f t="shared" si="85"/>
        <v>J8</v>
      </c>
      <c r="C1681" s="7" t="s">
        <v>103</v>
      </c>
      <c r="D1681" s="18">
        <f>VLOOKUP(C1681,'DISTRIBUIÇÃO NF4267'!$E$3:$FQ$75,MATCH(B1681,'DISTRIBUIÇÃO NF4267'!$E$3:$FQ$3,0)+1,0)</f>
        <v>0</v>
      </c>
      <c r="F1681" s="28">
        <f t="shared" si="83"/>
        <v>3</v>
      </c>
    </row>
    <row r="1682" spans="1:6" x14ac:dyDescent="0.35">
      <c r="A1682">
        <f t="shared" si="84"/>
        <v>0</v>
      </c>
      <c r="B1682" t="str">
        <f t="shared" si="85"/>
        <v>J8</v>
      </c>
      <c r="C1682" s="8" t="s">
        <v>107</v>
      </c>
      <c r="D1682" s="18">
        <f>VLOOKUP(C1682,'DISTRIBUIÇÃO NF4267'!$E$3:$FQ$75,MATCH(B1682,'DISTRIBUIÇÃO NF4267'!$E$3:$FQ$3,0)+1,0)</f>
        <v>0</v>
      </c>
      <c r="F1682" s="28">
        <f t="shared" si="83"/>
        <v>3</v>
      </c>
    </row>
    <row r="1683" spans="1:6" x14ac:dyDescent="0.35">
      <c r="A1683">
        <f t="shared" si="84"/>
        <v>0</v>
      </c>
      <c r="B1683" t="str">
        <f t="shared" si="85"/>
        <v>J8</v>
      </c>
      <c r="C1683" s="8" t="s">
        <v>108</v>
      </c>
      <c r="D1683" s="18">
        <f>VLOOKUP(C1683,'DISTRIBUIÇÃO NF4267'!$E$3:$FQ$75,MATCH(B1683,'DISTRIBUIÇÃO NF4267'!$E$3:$FQ$3,0)+1,0)</f>
        <v>2</v>
      </c>
      <c r="F1683" s="28">
        <f t="shared" si="83"/>
        <v>3</v>
      </c>
    </row>
    <row r="1684" spans="1:6" x14ac:dyDescent="0.35">
      <c r="A1684">
        <f t="shared" si="84"/>
        <v>0</v>
      </c>
      <c r="B1684" t="str">
        <f t="shared" si="85"/>
        <v>J8</v>
      </c>
      <c r="C1684" s="8" t="s">
        <v>109</v>
      </c>
      <c r="D1684" s="18">
        <f>VLOOKUP(C1684,'DISTRIBUIÇÃO NF4267'!$E$3:$FQ$75,MATCH(B1684,'DISTRIBUIÇÃO NF4267'!$E$3:$FQ$3,0)+1,0)</f>
        <v>4</v>
      </c>
      <c r="F1684" s="28">
        <f t="shared" si="83"/>
        <v>3</v>
      </c>
    </row>
    <row r="1685" spans="1:6" x14ac:dyDescent="0.35">
      <c r="A1685">
        <f t="shared" si="84"/>
        <v>0</v>
      </c>
      <c r="B1685" t="str">
        <f t="shared" si="85"/>
        <v>J8</v>
      </c>
      <c r="C1685" s="8" t="s">
        <v>110</v>
      </c>
      <c r="D1685" s="18">
        <f>VLOOKUP(C1685,'DISTRIBUIÇÃO NF4267'!$E$3:$FQ$75,MATCH(B1685,'DISTRIBUIÇÃO NF4267'!$E$3:$FQ$3,0)+1,0)</f>
        <v>2</v>
      </c>
      <c r="F1685" s="28">
        <f t="shared" si="83"/>
        <v>3</v>
      </c>
    </row>
    <row r="1686" spans="1:6" x14ac:dyDescent="0.35">
      <c r="A1686">
        <f t="shared" si="84"/>
        <v>0</v>
      </c>
      <c r="B1686" t="str">
        <f t="shared" si="85"/>
        <v>J8</v>
      </c>
      <c r="C1686" s="8" t="s">
        <v>111</v>
      </c>
      <c r="D1686" s="18">
        <f>VLOOKUP(C1686,'DISTRIBUIÇÃO NF4267'!$E$3:$FQ$75,MATCH(B1686,'DISTRIBUIÇÃO NF4267'!$E$3:$FQ$3,0)+1,0)</f>
        <v>2</v>
      </c>
      <c r="F1686" s="28">
        <f t="shared" si="83"/>
        <v>3</v>
      </c>
    </row>
    <row r="1687" spans="1:6" x14ac:dyDescent="0.35">
      <c r="A1687">
        <f t="shared" si="84"/>
        <v>0</v>
      </c>
      <c r="B1687" t="str">
        <f t="shared" si="85"/>
        <v>J8</v>
      </c>
      <c r="C1687" s="8" t="s">
        <v>112</v>
      </c>
      <c r="D1687" s="18">
        <f>VLOOKUP(C1687,'DISTRIBUIÇÃO NF4267'!$E$3:$FQ$75,MATCH(B1687,'DISTRIBUIÇÃO NF4267'!$E$3:$FQ$3,0)+1,0)</f>
        <v>0</v>
      </c>
      <c r="F1687" s="28">
        <f t="shared" si="83"/>
        <v>3</v>
      </c>
    </row>
    <row r="1688" spans="1:6" x14ac:dyDescent="0.35">
      <c r="A1688">
        <f t="shared" si="84"/>
        <v>0</v>
      </c>
      <c r="B1688" t="str">
        <f t="shared" si="85"/>
        <v>J8</v>
      </c>
      <c r="C1688" s="9" t="s">
        <v>113</v>
      </c>
      <c r="D1688" s="18">
        <f>VLOOKUP(C1688,'DISTRIBUIÇÃO NF4267'!$E$3:$FQ$75,MATCH(B1688,'DISTRIBUIÇÃO NF4267'!$E$3:$FQ$3,0)+1,0)</f>
        <v>0</v>
      </c>
      <c r="F1688" s="28">
        <f t="shared" si="83"/>
        <v>3</v>
      </c>
    </row>
    <row r="1689" spans="1:6" x14ac:dyDescent="0.35">
      <c r="A1689">
        <f t="shared" si="84"/>
        <v>0</v>
      </c>
      <c r="B1689" t="str">
        <f t="shared" si="85"/>
        <v>J8</v>
      </c>
      <c r="C1689" s="9" t="s">
        <v>114</v>
      </c>
      <c r="D1689" s="18">
        <f>VLOOKUP(C1689,'DISTRIBUIÇÃO NF4267'!$E$3:$FQ$75,MATCH(B1689,'DISTRIBUIÇÃO NF4267'!$E$3:$FQ$3,0)+1,0)</f>
        <v>6</v>
      </c>
      <c r="F1689" s="28">
        <f t="shared" si="83"/>
        <v>3</v>
      </c>
    </row>
    <row r="1690" spans="1:6" x14ac:dyDescent="0.35">
      <c r="A1690">
        <f t="shared" si="84"/>
        <v>0</v>
      </c>
      <c r="B1690" t="str">
        <f t="shared" si="85"/>
        <v>J8</v>
      </c>
      <c r="C1690" s="9" t="s">
        <v>115</v>
      </c>
      <c r="D1690" s="18">
        <f>VLOOKUP(C1690,'DISTRIBUIÇÃO NF4267'!$E$3:$FQ$75,MATCH(B1690,'DISTRIBUIÇÃO NF4267'!$E$3:$FQ$3,0)+1,0)</f>
        <v>8</v>
      </c>
      <c r="F1690" s="28">
        <f t="shared" si="83"/>
        <v>3</v>
      </c>
    </row>
    <row r="1691" spans="1:6" x14ac:dyDescent="0.35">
      <c r="A1691">
        <f t="shared" si="84"/>
        <v>0</v>
      </c>
      <c r="B1691" t="str">
        <f t="shared" si="85"/>
        <v>J8</v>
      </c>
      <c r="C1691" s="9" t="s">
        <v>116</v>
      </c>
      <c r="D1691" s="18">
        <f>VLOOKUP(C1691,'DISTRIBUIÇÃO NF4267'!$E$3:$FQ$75,MATCH(B1691,'DISTRIBUIÇÃO NF4267'!$E$3:$FQ$3,0)+1,0)</f>
        <v>4</v>
      </c>
      <c r="F1691" s="28">
        <f t="shared" si="83"/>
        <v>3</v>
      </c>
    </row>
    <row r="1692" spans="1:6" x14ac:dyDescent="0.35">
      <c r="A1692">
        <f t="shared" si="84"/>
        <v>0</v>
      </c>
      <c r="B1692" t="str">
        <f t="shared" si="85"/>
        <v>J8</v>
      </c>
      <c r="C1692" s="9" t="s">
        <v>117</v>
      </c>
      <c r="D1692" s="18">
        <f>VLOOKUP(C1692,'DISTRIBUIÇÃO NF4267'!$E$3:$FQ$75,MATCH(B1692,'DISTRIBUIÇÃO NF4267'!$E$3:$FQ$3,0)+1,0)</f>
        <v>2</v>
      </c>
      <c r="F1692" s="28">
        <f t="shared" si="83"/>
        <v>3</v>
      </c>
    </row>
    <row r="1693" spans="1:6" x14ac:dyDescent="0.35">
      <c r="A1693">
        <f t="shared" si="84"/>
        <v>0</v>
      </c>
      <c r="B1693" t="str">
        <f t="shared" si="85"/>
        <v>J8</v>
      </c>
      <c r="C1693" s="9" t="s">
        <v>118</v>
      </c>
      <c r="D1693" s="18">
        <f>VLOOKUP(C1693,'DISTRIBUIÇÃO NF4267'!$E$3:$FQ$75,MATCH(B1693,'DISTRIBUIÇÃO NF4267'!$E$3:$FQ$3,0)+1,0)</f>
        <v>0</v>
      </c>
      <c r="F1693" s="28">
        <f t="shared" si="83"/>
        <v>3</v>
      </c>
    </row>
    <row r="1694" spans="1:6" x14ac:dyDescent="0.35">
      <c r="A1694">
        <f t="shared" si="84"/>
        <v>0</v>
      </c>
      <c r="B1694" t="str">
        <f t="shared" si="85"/>
        <v>J8</v>
      </c>
      <c r="C1694" s="10" t="s">
        <v>119</v>
      </c>
      <c r="D1694" s="18">
        <f>VLOOKUP(C1694,'DISTRIBUIÇÃO NF4267'!$E$3:$FQ$75,MATCH(B1694,'DISTRIBUIÇÃO NF4267'!$E$3:$FQ$3,0)+1,0)</f>
        <v>0</v>
      </c>
      <c r="F1694" s="28">
        <f t="shared" si="83"/>
        <v>3</v>
      </c>
    </row>
    <row r="1695" spans="1:6" x14ac:dyDescent="0.35">
      <c r="A1695">
        <f t="shared" si="84"/>
        <v>0</v>
      </c>
      <c r="B1695" t="str">
        <f t="shared" si="85"/>
        <v>J8</v>
      </c>
      <c r="C1695" s="10" t="s">
        <v>120</v>
      </c>
      <c r="D1695" s="18">
        <f>VLOOKUP(C1695,'DISTRIBUIÇÃO NF4267'!$E$3:$FQ$75,MATCH(B1695,'DISTRIBUIÇÃO NF4267'!$E$3:$FQ$3,0)+1,0)</f>
        <v>48</v>
      </c>
      <c r="F1695" s="28">
        <f t="shared" si="83"/>
        <v>3</v>
      </c>
    </row>
    <row r="1696" spans="1:6" x14ac:dyDescent="0.35">
      <c r="A1696">
        <f t="shared" si="84"/>
        <v>0</v>
      </c>
      <c r="B1696" t="str">
        <f t="shared" si="85"/>
        <v>J8</v>
      </c>
      <c r="C1696" s="10" t="s">
        <v>121</v>
      </c>
      <c r="D1696" s="18">
        <f>VLOOKUP(C1696,'DISTRIBUIÇÃO NF4267'!$E$3:$FQ$75,MATCH(B1696,'DISTRIBUIÇÃO NF4267'!$E$3:$FQ$3,0)+1,0)</f>
        <v>16</v>
      </c>
      <c r="F1696" s="28">
        <f t="shared" si="83"/>
        <v>3</v>
      </c>
    </row>
    <row r="1697" spans="1:6" x14ac:dyDescent="0.35">
      <c r="A1697">
        <f t="shared" si="84"/>
        <v>0</v>
      </c>
      <c r="B1697" t="str">
        <f t="shared" si="85"/>
        <v>J8</v>
      </c>
      <c r="C1697" s="10" t="s">
        <v>122</v>
      </c>
      <c r="D1697" s="18">
        <f>VLOOKUP(C1697,'DISTRIBUIÇÃO NF4267'!$E$3:$FQ$75,MATCH(B1697,'DISTRIBUIÇÃO NF4267'!$E$3:$FQ$3,0)+1,0)</f>
        <v>16</v>
      </c>
      <c r="F1697" s="28">
        <f t="shared" si="83"/>
        <v>3</v>
      </c>
    </row>
    <row r="1698" spans="1:6" x14ac:dyDescent="0.35">
      <c r="A1698">
        <f t="shared" si="84"/>
        <v>0</v>
      </c>
      <c r="B1698" t="str">
        <f t="shared" si="85"/>
        <v>J8</v>
      </c>
      <c r="C1698" s="10" t="s">
        <v>123</v>
      </c>
      <c r="D1698" s="18">
        <f>VLOOKUP(C1698,'DISTRIBUIÇÃO NF4267'!$E$3:$FQ$75,MATCH(B1698,'DISTRIBUIÇÃO NF4267'!$E$3:$FQ$3,0)+1,0)</f>
        <v>0</v>
      </c>
      <c r="F1698" s="28">
        <f t="shared" si="83"/>
        <v>3</v>
      </c>
    </row>
    <row r="1699" spans="1:6" x14ac:dyDescent="0.35">
      <c r="A1699">
        <f t="shared" si="84"/>
        <v>0</v>
      </c>
      <c r="B1699" t="str">
        <f t="shared" si="85"/>
        <v>J8</v>
      </c>
      <c r="C1699" s="10" t="s">
        <v>124</v>
      </c>
      <c r="D1699" s="18">
        <f>VLOOKUP(C1699,'DISTRIBUIÇÃO NF4267'!$E$3:$FQ$75,MATCH(B1699,'DISTRIBUIÇÃO NF4267'!$E$3:$FQ$3,0)+1,0)</f>
        <v>0</v>
      </c>
      <c r="F1699" s="28">
        <f t="shared" si="83"/>
        <v>3</v>
      </c>
    </row>
    <row r="1700" spans="1:6" x14ac:dyDescent="0.35">
      <c r="A1700">
        <f t="shared" si="84"/>
        <v>0</v>
      </c>
      <c r="B1700" t="str">
        <f t="shared" si="85"/>
        <v>J8</v>
      </c>
      <c r="C1700" s="11" t="s">
        <v>16</v>
      </c>
      <c r="D1700" s="18">
        <f>VLOOKUP(C1700,'DISTRIBUIÇÃO NF4267'!$E$3:$FQ$75,MATCH(B1700,'DISTRIBUIÇÃO NF4267'!$E$3:$FQ$3,0)+1,0)</f>
        <v>0</v>
      </c>
      <c r="F1700" s="28">
        <f t="shared" si="83"/>
        <v>3</v>
      </c>
    </row>
    <row r="1701" spans="1:6" x14ac:dyDescent="0.35">
      <c r="A1701">
        <f t="shared" si="84"/>
        <v>0</v>
      </c>
      <c r="B1701" t="str">
        <f t="shared" si="85"/>
        <v>J8</v>
      </c>
      <c r="C1701" s="11" t="s">
        <v>17</v>
      </c>
      <c r="D1701" s="18">
        <f>VLOOKUP(C1701,'DISTRIBUIÇÃO NF4267'!$E$3:$FQ$75,MATCH(B1701,'DISTRIBUIÇÃO NF4267'!$E$3:$FQ$3,0)+1,0)</f>
        <v>9</v>
      </c>
      <c r="F1701" s="28">
        <f t="shared" si="83"/>
        <v>3</v>
      </c>
    </row>
    <row r="1702" spans="1:6" x14ac:dyDescent="0.35">
      <c r="A1702">
        <f t="shared" si="84"/>
        <v>0</v>
      </c>
      <c r="B1702" t="str">
        <f t="shared" si="85"/>
        <v>J8</v>
      </c>
      <c r="C1702" s="11" t="s">
        <v>18</v>
      </c>
      <c r="D1702" s="18">
        <f>VLOOKUP(C1702,'DISTRIBUIÇÃO NF4267'!$E$3:$FQ$75,MATCH(B1702,'DISTRIBUIÇÃO NF4267'!$E$3:$FQ$3,0)+1,0)</f>
        <v>3</v>
      </c>
      <c r="F1702" s="28">
        <f t="shared" si="83"/>
        <v>3</v>
      </c>
    </row>
    <row r="1703" spans="1:6" x14ac:dyDescent="0.35">
      <c r="A1703">
        <f t="shared" si="84"/>
        <v>0</v>
      </c>
      <c r="B1703" t="str">
        <f t="shared" si="85"/>
        <v>J8</v>
      </c>
      <c r="C1703" s="11" t="s">
        <v>19</v>
      </c>
      <c r="D1703" s="18">
        <f>VLOOKUP(C1703,'DISTRIBUIÇÃO NF4267'!$E$3:$FQ$75,MATCH(B1703,'DISTRIBUIÇÃO NF4267'!$E$3:$FQ$3,0)+1,0)</f>
        <v>3</v>
      </c>
      <c r="F1703" s="28">
        <f t="shared" si="83"/>
        <v>3</v>
      </c>
    </row>
    <row r="1704" spans="1:6" x14ac:dyDescent="0.35">
      <c r="A1704">
        <f t="shared" si="84"/>
        <v>0</v>
      </c>
      <c r="B1704" t="str">
        <f t="shared" si="85"/>
        <v>J8</v>
      </c>
      <c r="C1704" s="11" t="s">
        <v>20</v>
      </c>
      <c r="D1704" s="18">
        <f>VLOOKUP(C1704,'DISTRIBUIÇÃO NF4267'!$E$3:$FQ$75,MATCH(B1704,'DISTRIBUIÇÃO NF4267'!$E$3:$FQ$3,0)+1,0)</f>
        <v>15</v>
      </c>
      <c r="F1704" s="28">
        <f t="shared" si="83"/>
        <v>3</v>
      </c>
    </row>
    <row r="1705" spans="1:6" x14ac:dyDescent="0.35">
      <c r="A1705">
        <f t="shared" si="84"/>
        <v>0</v>
      </c>
      <c r="B1705" t="str">
        <f t="shared" si="85"/>
        <v>J8</v>
      </c>
      <c r="C1705" s="11" t="s">
        <v>21</v>
      </c>
      <c r="D1705" s="18">
        <f>VLOOKUP(C1705,'DISTRIBUIÇÃO NF4267'!$E$3:$FQ$75,MATCH(B1705,'DISTRIBUIÇÃO NF4267'!$E$3:$FQ$3,0)+1,0)</f>
        <v>0</v>
      </c>
      <c r="F1705" s="28">
        <f t="shared" si="83"/>
        <v>3</v>
      </c>
    </row>
    <row r="1706" spans="1:6" x14ac:dyDescent="0.35">
      <c r="A1706">
        <f t="shared" si="84"/>
        <v>0</v>
      </c>
      <c r="B1706" t="str">
        <f t="shared" si="85"/>
        <v>J8</v>
      </c>
      <c r="C1706" s="12" t="s">
        <v>130</v>
      </c>
      <c r="D1706" s="18">
        <f>VLOOKUP(C1706,'DISTRIBUIÇÃO NF4267'!$E$3:$FQ$75,MATCH(B1706,'DISTRIBUIÇÃO NF4267'!$E$3:$FQ$3,0)+1,0)</f>
        <v>0</v>
      </c>
      <c r="F1706" s="28">
        <f t="shared" si="83"/>
        <v>3</v>
      </c>
    </row>
    <row r="1707" spans="1:6" x14ac:dyDescent="0.35">
      <c r="A1707">
        <f t="shared" si="84"/>
        <v>0</v>
      </c>
      <c r="B1707" t="str">
        <f t="shared" si="85"/>
        <v>J8</v>
      </c>
      <c r="C1707" s="12" t="s">
        <v>131</v>
      </c>
      <c r="D1707" s="18">
        <f>VLOOKUP(C1707,'DISTRIBUIÇÃO NF4267'!$E$3:$FQ$75,MATCH(B1707,'DISTRIBUIÇÃO NF4267'!$E$3:$FQ$3,0)+1,0)</f>
        <v>1</v>
      </c>
      <c r="F1707" s="28">
        <f t="shared" si="83"/>
        <v>3</v>
      </c>
    </row>
    <row r="1708" spans="1:6" x14ac:dyDescent="0.35">
      <c r="A1708">
        <f t="shared" si="84"/>
        <v>0</v>
      </c>
      <c r="B1708" t="str">
        <f t="shared" si="85"/>
        <v>J8</v>
      </c>
      <c r="C1708" s="12" t="s">
        <v>132</v>
      </c>
      <c r="D1708" s="18">
        <f>VLOOKUP(C1708,'DISTRIBUIÇÃO NF4267'!$E$3:$FQ$75,MATCH(B1708,'DISTRIBUIÇÃO NF4267'!$E$3:$FQ$3,0)+1,0)</f>
        <v>4</v>
      </c>
      <c r="F1708" s="28">
        <f t="shared" si="83"/>
        <v>3</v>
      </c>
    </row>
    <row r="1709" spans="1:6" x14ac:dyDescent="0.35">
      <c r="A1709">
        <f t="shared" si="84"/>
        <v>0</v>
      </c>
      <c r="B1709" t="str">
        <f t="shared" si="85"/>
        <v>J8</v>
      </c>
      <c r="C1709" s="12" t="s">
        <v>133</v>
      </c>
      <c r="D1709" s="18">
        <f>VLOOKUP(C1709,'DISTRIBUIÇÃO NF4267'!$E$3:$FQ$75,MATCH(B1709,'DISTRIBUIÇÃO NF4267'!$E$3:$FQ$3,0)+1,0)</f>
        <v>3</v>
      </c>
      <c r="F1709" s="28">
        <f t="shared" si="83"/>
        <v>3</v>
      </c>
    </row>
    <row r="1710" spans="1:6" x14ac:dyDescent="0.35">
      <c r="A1710">
        <f t="shared" si="84"/>
        <v>0</v>
      </c>
      <c r="B1710" t="str">
        <f t="shared" si="85"/>
        <v>J8</v>
      </c>
      <c r="C1710" s="12" t="s">
        <v>134</v>
      </c>
      <c r="D1710" s="18">
        <f>VLOOKUP(C1710,'DISTRIBUIÇÃO NF4267'!$E$3:$FQ$75,MATCH(B1710,'DISTRIBUIÇÃO NF4267'!$E$3:$FQ$3,0)+1,0)</f>
        <v>2</v>
      </c>
      <c r="F1710" s="28">
        <f t="shared" si="83"/>
        <v>3</v>
      </c>
    </row>
    <row r="1711" spans="1:6" x14ac:dyDescent="0.35">
      <c r="A1711">
        <f t="shared" si="84"/>
        <v>0</v>
      </c>
      <c r="B1711" t="str">
        <f t="shared" si="85"/>
        <v>J8</v>
      </c>
      <c r="C1711" s="12" t="s">
        <v>135</v>
      </c>
      <c r="D1711" s="18">
        <f>VLOOKUP(C1711,'DISTRIBUIÇÃO NF4267'!$E$3:$FQ$75,MATCH(B1711,'DISTRIBUIÇÃO NF4267'!$E$3:$FQ$3,0)+1,0)</f>
        <v>0</v>
      </c>
      <c r="F1711" s="28">
        <f t="shared" si="83"/>
        <v>3</v>
      </c>
    </row>
    <row r="1712" spans="1:6" x14ac:dyDescent="0.35">
      <c r="A1712">
        <f t="shared" si="84"/>
        <v>0</v>
      </c>
      <c r="B1712" t="str">
        <f t="shared" si="85"/>
        <v>J8</v>
      </c>
      <c r="C1712" s="13" t="s">
        <v>22</v>
      </c>
      <c r="D1712" s="18">
        <f>VLOOKUP(C1712,'DISTRIBUIÇÃO NF4267'!$E$3:$FQ$75,MATCH(B1712,'DISTRIBUIÇÃO NF4267'!$E$3:$FQ$3,0)+1,0)</f>
        <v>0</v>
      </c>
      <c r="F1712" s="28">
        <f t="shared" si="83"/>
        <v>3</v>
      </c>
    </row>
    <row r="1713" spans="1:6" x14ac:dyDescent="0.35">
      <c r="A1713">
        <f t="shared" si="84"/>
        <v>0</v>
      </c>
      <c r="B1713" t="str">
        <f t="shared" si="85"/>
        <v>J8</v>
      </c>
      <c r="C1713" s="13" t="s">
        <v>23</v>
      </c>
      <c r="D1713" s="18">
        <f>VLOOKUP(C1713,'DISTRIBUIÇÃO NF4267'!$E$3:$FQ$75,MATCH(B1713,'DISTRIBUIÇÃO NF4267'!$E$3:$FQ$3,0)+1,0)</f>
        <v>1</v>
      </c>
      <c r="F1713" s="28">
        <f t="shared" si="83"/>
        <v>3</v>
      </c>
    </row>
    <row r="1714" spans="1:6" x14ac:dyDescent="0.35">
      <c r="A1714">
        <f t="shared" si="84"/>
        <v>0</v>
      </c>
      <c r="B1714" t="str">
        <f t="shared" si="85"/>
        <v>J8</v>
      </c>
      <c r="C1714" s="13" t="s">
        <v>24</v>
      </c>
      <c r="D1714" s="18">
        <f>VLOOKUP(C1714,'DISTRIBUIÇÃO NF4267'!$E$3:$FQ$75,MATCH(B1714,'DISTRIBUIÇÃO NF4267'!$E$3:$FQ$3,0)+1,0)</f>
        <v>6</v>
      </c>
      <c r="F1714" s="28">
        <f t="shared" si="83"/>
        <v>3</v>
      </c>
    </row>
    <row r="1715" spans="1:6" x14ac:dyDescent="0.35">
      <c r="A1715">
        <f t="shared" si="84"/>
        <v>0</v>
      </c>
      <c r="B1715" t="str">
        <f t="shared" si="85"/>
        <v>J8</v>
      </c>
      <c r="C1715" s="13" t="s">
        <v>25</v>
      </c>
      <c r="D1715" s="18">
        <f>VLOOKUP(C1715,'DISTRIBUIÇÃO NF4267'!$E$3:$FQ$75,MATCH(B1715,'DISTRIBUIÇÃO NF4267'!$E$3:$FQ$3,0)+1,0)</f>
        <v>2</v>
      </c>
      <c r="F1715" s="28">
        <f t="shared" si="83"/>
        <v>3</v>
      </c>
    </row>
    <row r="1716" spans="1:6" x14ac:dyDescent="0.35">
      <c r="A1716">
        <f t="shared" si="84"/>
        <v>0</v>
      </c>
      <c r="B1716" t="str">
        <f t="shared" si="85"/>
        <v>J8</v>
      </c>
      <c r="C1716" s="13" t="s">
        <v>26</v>
      </c>
      <c r="D1716" s="18">
        <f>VLOOKUP(C1716,'DISTRIBUIÇÃO NF4267'!$E$3:$FQ$75,MATCH(B1716,'DISTRIBUIÇÃO NF4267'!$E$3:$FQ$3,0)+1,0)</f>
        <v>1</v>
      </c>
      <c r="F1716" s="28">
        <f t="shared" si="83"/>
        <v>3</v>
      </c>
    </row>
    <row r="1717" spans="1:6" x14ac:dyDescent="0.35">
      <c r="A1717">
        <f t="shared" si="84"/>
        <v>0</v>
      </c>
      <c r="B1717" t="str">
        <f t="shared" si="85"/>
        <v>J8</v>
      </c>
      <c r="C1717" s="13" t="s">
        <v>27</v>
      </c>
      <c r="D1717" s="18">
        <f>VLOOKUP(C1717,'DISTRIBUIÇÃO NF4267'!$E$3:$FQ$75,MATCH(B1717,'DISTRIBUIÇÃO NF4267'!$E$3:$FQ$3,0)+1,0)</f>
        <v>0</v>
      </c>
      <c r="F1717" s="28">
        <f t="shared" si="83"/>
        <v>3</v>
      </c>
    </row>
    <row r="1718" spans="1:6" x14ac:dyDescent="0.35">
      <c r="A1718">
        <f t="shared" si="84"/>
        <v>0</v>
      </c>
      <c r="B1718" t="str">
        <f t="shared" si="85"/>
        <v>J8</v>
      </c>
      <c r="C1718" s="14" t="s">
        <v>138</v>
      </c>
      <c r="D1718" s="18">
        <f>VLOOKUP(C1718,'DISTRIBUIÇÃO NF4267'!$E$3:$FQ$75,MATCH(B1718,'DISTRIBUIÇÃO NF4267'!$E$3:$FQ$3,0)+1,0)</f>
        <v>0</v>
      </c>
      <c r="F1718" s="28">
        <f t="shared" si="83"/>
        <v>3</v>
      </c>
    </row>
    <row r="1719" spans="1:6" x14ac:dyDescent="0.35">
      <c r="A1719">
        <f t="shared" si="84"/>
        <v>0</v>
      </c>
      <c r="B1719" t="str">
        <f t="shared" si="85"/>
        <v>J8</v>
      </c>
      <c r="C1719" s="14" t="s">
        <v>139</v>
      </c>
      <c r="D1719" s="18">
        <f>VLOOKUP(C1719,'DISTRIBUIÇÃO NF4267'!$E$3:$FQ$75,MATCH(B1719,'DISTRIBUIÇÃO NF4267'!$E$3:$FQ$3,0)+1,0)</f>
        <v>4</v>
      </c>
      <c r="F1719" s="28">
        <f t="shared" si="83"/>
        <v>3</v>
      </c>
    </row>
    <row r="1720" spans="1:6" x14ac:dyDescent="0.35">
      <c r="A1720">
        <f t="shared" si="84"/>
        <v>0</v>
      </c>
      <c r="B1720" t="str">
        <f t="shared" si="85"/>
        <v>J8</v>
      </c>
      <c r="C1720" s="14" t="s">
        <v>140</v>
      </c>
      <c r="D1720" s="18">
        <f>VLOOKUP(C1720,'DISTRIBUIÇÃO NF4267'!$E$3:$FQ$75,MATCH(B1720,'DISTRIBUIÇÃO NF4267'!$E$3:$FQ$3,0)+1,0)</f>
        <v>8</v>
      </c>
      <c r="F1720" s="28">
        <f t="shared" ref="F1720:F1783" si="86">ROUNDUP(SUMIFS(D:D,B:B,B1720)/80,0)</f>
        <v>3</v>
      </c>
    </row>
    <row r="1721" spans="1:6" x14ac:dyDescent="0.35">
      <c r="A1721">
        <f t="shared" si="84"/>
        <v>0</v>
      </c>
      <c r="B1721" t="str">
        <f t="shared" si="85"/>
        <v>J8</v>
      </c>
      <c r="C1721" s="14" t="s">
        <v>141</v>
      </c>
      <c r="D1721" s="18">
        <f>VLOOKUP(C1721,'DISTRIBUIÇÃO NF4267'!$E$3:$FQ$75,MATCH(B1721,'DISTRIBUIÇÃO NF4267'!$E$3:$FQ$3,0)+1,0)</f>
        <v>4</v>
      </c>
      <c r="F1721" s="28">
        <f t="shared" si="86"/>
        <v>3</v>
      </c>
    </row>
    <row r="1722" spans="1:6" x14ac:dyDescent="0.35">
      <c r="A1722">
        <f t="shared" si="84"/>
        <v>0</v>
      </c>
      <c r="B1722" t="str">
        <f t="shared" si="85"/>
        <v>J8</v>
      </c>
      <c r="C1722" s="14" t="s">
        <v>142</v>
      </c>
      <c r="D1722" s="18">
        <f>VLOOKUP(C1722,'DISTRIBUIÇÃO NF4267'!$E$3:$FQ$75,MATCH(B1722,'DISTRIBUIÇÃO NF4267'!$E$3:$FQ$3,0)+1,0)</f>
        <v>4</v>
      </c>
      <c r="F1722" s="28">
        <f t="shared" si="86"/>
        <v>3</v>
      </c>
    </row>
    <row r="1723" spans="1:6" x14ac:dyDescent="0.35">
      <c r="A1723">
        <f t="shared" si="84"/>
        <v>0</v>
      </c>
      <c r="B1723" t="str">
        <f t="shared" si="85"/>
        <v>J8</v>
      </c>
      <c r="C1723" s="14" t="s">
        <v>143</v>
      </c>
      <c r="D1723" s="18">
        <f>VLOOKUP(C1723,'DISTRIBUIÇÃO NF4267'!$E$3:$FQ$75,MATCH(B1723,'DISTRIBUIÇÃO NF4267'!$E$3:$FQ$3,0)+1,0)</f>
        <v>0</v>
      </c>
      <c r="F1723" s="28">
        <f t="shared" si="86"/>
        <v>3</v>
      </c>
    </row>
    <row r="1724" spans="1:6" x14ac:dyDescent="0.35">
      <c r="A1724">
        <f t="shared" si="84"/>
        <v>0</v>
      </c>
      <c r="B1724" t="str">
        <f t="shared" si="85"/>
        <v>J8</v>
      </c>
      <c r="C1724" s="15" t="s">
        <v>145</v>
      </c>
      <c r="D1724" s="18">
        <f>VLOOKUP(C1724,'DISTRIBUIÇÃO NF4267'!$E$3:$FQ$75,MATCH(B1724,'DISTRIBUIÇÃO NF4267'!$E$3:$FQ$3,0)+1,0)</f>
        <v>0</v>
      </c>
      <c r="F1724" s="28">
        <f t="shared" si="86"/>
        <v>3</v>
      </c>
    </row>
    <row r="1725" spans="1:6" x14ac:dyDescent="0.35">
      <c r="A1725">
        <f t="shared" si="84"/>
        <v>0</v>
      </c>
      <c r="B1725" t="str">
        <f t="shared" si="85"/>
        <v>J8</v>
      </c>
      <c r="C1725" s="15" t="s">
        <v>146</v>
      </c>
      <c r="D1725" s="18">
        <f>VLOOKUP(C1725,'DISTRIBUIÇÃO NF4267'!$E$3:$FQ$75,MATCH(B1725,'DISTRIBUIÇÃO NF4267'!$E$3:$FQ$3,0)+1,0)</f>
        <v>2</v>
      </c>
      <c r="F1725" s="28">
        <f t="shared" si="86"/>
        <v>3</v>
      </c>
    </row>
    <row r="1726" spans="1:6" x14ac:dyDescent="0.35">
      <c r="A1726">
        <f t="shared" si="84"/>
        <v>0</v>
      </c>
      <c r="B1726" t="str">
        <f t="shared" si="85"/>
        <v>J8</v>
      </c>
      <c r="C1726" s="15" t="s">
        <v>147</v>
      </c>
      <c r="D1726" s="18">
        <f>VLOOKUP(C1726,'DISTRIBUIÇÃO NF4267'!$E$3:$FQ$75,MATCH(B1726,'DISTRIBUIÇÃO NF4267'!$E$3:$FQ$3,0)+1,0)</f>
        <v>4</v>
      </c>
      <c r="F1726" s="28">
        <f t="shared" si="86"/>
        <v>3</v>
      </c>
    </row>
    <row r="1727" spans="1:6" x14ac:dyDescent="0.35">
      <c r="A1727">
        <f t="shared" si="84"/>
        <v>0</v>
      </c>
      <c r="B1727" t="str">
        <f t="shared" si="85"/>
        <v>J8</v>
      </c>
      <c r="C1727" s="15" t="s">
        <v>148</v>
      </c>
      <c r="D1727" s="18">
        <f>VLOOKUP(C1727,'DISTRIBUIÇÃO NF4267'!$E$3:$FQ$75,MATCH(B1727,'DISTRIBUIÇÃO NF4267'!$E$3:$FQ$3,0)+1,0)</f>
        <v>2</v>
      </c>
      <c r="F1727" s="28">
        <f t="shared" si="86"/>
        <v>3</v>
      </c>
    </row>
    <row r="1728" spans="1:6" x14ac:dyDescent="0.35">
      <c r="A1728">
        <f t="shared" si="84"/>
        <v>0</v>
      </c>
      <c r="B1728" t="str">
        <f t="shared" si="85"/>
        <v>J8</v>
      </c>
      <c r="C1728" s="15" t="s">
        <v>149</v>
      </c>
      <c r="D1728" s="18">
        <f>VLOOKUP(C1728,'DISTRIBUIÇÃO NF4267'!$E$3:$FQ$75,MATCH(B1728,'DISTRIBUIÇÃO NF4267'!$E$3:$FQ$3,0)+1,0)</f>
        <v>2</v>
      </c>
      <c r="F1728" s="28">
        <f t="shared" si="86"/>
        <v>3</v>
      </c>
    </row>
    <row r="1729" spans="1:6" x14ac:dyDescent="0.35">
      <c r="A1729">
        <f t="shared" si="84"/>
        <v>0</v>
      </c>
      <c r="B1729" t="str">
        <f t="shared" si="85"/>
        <v>J8</v>
      </c>
      <c r="C1729" s="15" t="s">
        <v>150</v>
      </c>
      <c r="D1729" s="18">
        <f>VLOOKUP(C1729,'DISTRIBUIÇÃO NF4267'!$E$3:$FQ$75,MATCH(B1729,'DISTRIBUIÇÃO NF4267'!$E$3:$FQ$3,0)+1,0)</f>
        <v>0</v>
      </c>
      <c r="F1729" s="28">
        <f t="shared" si="86"/>
        <v>3</v>
      </c>
    </row>
    <row r="1730" spans="1:6" x14ac:dyDescent="0.35">
      <c r="A1730">
        <f t="shared" ref="A1730:A1793" si="87">IF(ISERROR(VLOOKUP(C1730,I:I,1,0)),0,1)</f>
        <v>0</v>
      </c>
      <c r="B1730" t="s">
        <v>50</v>
      </c>
      <c r="C1730" s="7" t="s">
        <v>98</v>
      </c>
      <c r="D1730" s="18">
        <f>VLOOKUP(C1730,'DISTRIBUIÇÃO NF4267'!$E$3:$FQ$75,MATCH(B1730,'DISTRIBUIÇÃO NF4267'!$E$3:$FQ$3,0)+1,0)</f>
        <v>0</v>
      </c>
      <c r="F1730" s="28">
        <f t="shared" si="86"/>
        <v>3</v>
      </c>
    </row>
    <row r="1731" spans="1:6" x14ac:dyDescent="0.35">
      <c r="A1731">
        <f t="shared" si="87"/>
        <v>0</v>
      </c>
      <c r="B1731" t="str">
        <f>B1730</f>
        <v>J9</v>
      </c>
      <c r="C1731" s="7" t="s">
        <v>99</v>
      </c>
      <c r="D1731" s="18">
        <f>VLOOKUP(C1731,'DISTRIBUIÇÃO NF4267'!$E$3:$FQ$75,MATCH(B1731,'DISTRIBUIÇÃO NF4267'!$E$3:$FQ$3,0)+1,0)</f>
        <v>4</v>
      </c>
      <c r="F1731" s="28">
        <f t="shared" si="86"/>
        <v>3</v>
      </c>
    </row>
    <row r="1732" spans="1:6" x14ac:dyDescent="0.35">
      <c r="A1732">
        <f t="shared" si="87"/>
        <v>0</v>
      </c>
      <c r="B1732" t="str">
        <f t="shared" ref="B1732:B1783" si="88">B1731</f>
        <v>J9</v>
      </c>
      <c r="C1732" s="7" t="s">
        <v>100</v>
      </c>
      <c r="D1732" s="18">
        <f>VLOOKUP(C1732,'DISTRIBUIÇÃO NF4267'!$E$3:$FQ$75,MATCH(B1732,'DISTRIBUIÇÃO NF4267'!$E$3:$FQ$3,0)+1,0)</f>
        <v>8</v>
      </c>
      <c r="F1732" s="28">
        <f t="shared" si="86"/>
        <v>3</v>
      </c>
    </row>
    <row r="1733" spans="1:6" x14ac:dyDescent="0.35">
      <c r="A1733">
        <f t="shared" si="87"/>
        <v>0</v>
      </c>
      <c r="B1733" t="str">
        <f t="shared" si="88"/>
        <v>J9</v>
      </c>
      <c r="C1733" s="7" t="s">
        <v>101</v>
      </c>
      <c r="D1733" s="18">
        <f>VLOOKUP(C1733,'DISTRIBUIÇÃO NF4267'!$E$3:$FQ$75,MATCH(B1733,'DISTRIBUIÇÃO NF4267'!$E$3:$FQ$3,0)+1,0)</f>
        <v>4</v>
      </c>
      <c r="F1733" s="28">
        <f t="shared" si="86"/>
        <v>3</v>
      </c>
    </row>
    <row r="1734" spans="1:6" x14ac:dyDescent="0.35">
      <c r="A1734">
        <f t="shared" si="87"/>
        <v>0</v>
      </c>
      <c r="B1734" t="str">
        <f t="shared" si="88"/>
        <v>J9</v>
      </c>
      <c r="C1734" s="7" t="s">
        <v>102</v>
      </c>
      <c r="D1734" s="18">
        <f>VLOOKUP(C1734,'DISTRIBUIÇÃO NF4267'!$E$3:$FQ$75,MATCH(B1734,'DISTRIBUIÇÃO NF4267'!$E$3:$FQ$3,0)+1,0)</f>
        <v>4</v>
      </c>
      <c r="F1734" s="28">
        <f t="shared" si="86"/>
        <v>3</v>
      </c>
    </row>
    <row r="1735" spans="1:6" x14ac:dyDescent="0.35">
      <c r="A1735">
        <f t="shared" si="87"/>
        <v>0</v>
      </c>
      <c r="B1735" t="str">
        <f t="shared" si="88"/>
        <v>J9</v>
      </c>
      <c r="C1735" s="7" t="s">
        <v>103</v>
      </c>
      <c r="D1735" s="18">
        <f>VLOOKUP(C1735,'DISTRIBUIÇÃO NF4267'!$E$3:$FQ$75,MATCH(B1735,'DISTRIBUIÇÃO NF4267'!$E$3:$FQ$3,0)+1,0)</f>
        <v>0</v>
      </c>
      <c r="F1735" s="28">
        <f t="shared" si="86"/>
        <v>3</v>
      </c>
    </row>
    <row r="1736" spans="1:6" x14ac:dyDescent="0.35">
      <c r="A1736">
        <f t="shared" si="87"/>
        <v>0</v>
      </c>
      <c r="B1736" t="str">
        <f t="shared" si="88"/>
        <v>J9</v>
      </c>
      <c r="C1736" s="8" t="s">
        <v>107</v>
      </c>
      <c r="D1736" s="18">
        <f>VLOOKUP(C1736,'DISTRIBUIÇÃO NF4267'!$E$3:$FQ$75,MATCH(B1736,'DISTRIBUIÇÃO NF4267'!$E$3:$FQ$3,0)+1,0)</f>
        <v>0</v>
      </c>
      <c r="F1736" s="28">
        <f t="shared" si="86"/>
        <v>3</v>
      </c>
    </row>
    <row r="1737" spans="1:6" x14ac:dyDescent="0.35">
      <c r="A1737">
        <f t="shared" si="87"/>
        <v>0</v>
      </c>
      <c r="B1737" t="str">
        <f t="shared" si="88"/>
        <v>J9</v>
      </c>
      <c r="C1737" s="8" t="s">
        <v>108</v>
      </c>
      <c r="D1737" s="18">
        <f>VLOOKUP(C1737,'DISTRIBUIÇÃO NF4267'!$E$3:$FQ$75,MATCH(B1737,'DISTRIBUIÇÃO NF4267'!$E$3:$FQ$3,0)+1,0)</f>
        <v>2</v>
      </c>
      <c r="F1737" s="28">
        <f t="shared" si="86"/>
        <v>3</v>
      </c>
    </row>
    <row r="1738" spans="1:6" x14ac:dyDescent="0.35">
      <c r="A1738">
        <f t="shared" si="87"/>
        <v>0</v>
      </c>
      <c r="B1738" t="str">
        <f t="shared" si="88"/>
        <v>J9</v>
      </c>
      <c r="C1738" s="8" t="s">
        <v>109</v>
      </c>
      <c r="D1738" s="18">
        <f>VLOOKUP(C1738,'DISTRIBUIÇÃO NF4267'!$E$3:$FQ$75,MATCH(B1738,'DISTRIBUIÇÃO NF4267'!$E$3:$FQ$3,0)+1,0)</f>
        <v>4</v>
      </c>
      <c r="F1738" s="28">
        <f t="shared" si="86"/>
        <v>3</v>
      </c>
    </row>
    <row r="1739" spans="1:6" x14ac:dyDescent="0.35">
      <c r="A1739">
        <f t="shared" si="87"/>
        <v>0</v>
      </c>
      <c r="B1739" t="str">
        <f t="shared" si="88"/>
        <v>J9</v>
      </c>
      <c r="C1739" s="8" t="s">
        <v>110</v>
      </c>
      <c r="D1739" s="18">
        <f>VLOOKUP(C1739,'DISTRIBUIÇÃO NF4267'!$E$3:$FQ$75,MATCH(B1739,'DISTRIBUIÇÃO NF4267'!$E$3:$FQ$3,0)+1,0)</f>
        <v>2</v>
      </c>
      <c r="F1739" s="28">
        <f t="shared" si="86"/>
        <v>3</v>
      </c>
    </row>
    <row r="1740" spans="1:6" x14ac:dyDescent="0.35">
      <c r="A1740">
        <f t="shared" si="87"/>
        <v>0</v>
      </c>
      <c r="B1740" t="str">
        <f t="shared" si="88"/>
        <v>J9</v>
      </c>
      <c r="C1740" s="8" t="s">
        <v>111</v>
      </c>
      <c r="D1740" s="18">
        <f>VLOOKUP(C1740,'DISTRIBUIÇÃO NF4267'!$E$3:$FQ$75,MATCH(B1740,'DISTRIBUIÇÃO NF4267'!$E$3:$FQ$3,0)+1,0)</f>
        <v>2</v>
      </c>
      <c r="F1740" s="28">
        <f t="shared" si="86"/>
        <v>3</v>
      </c>
    </row>
    <row r="1741" spans="1:6" x14ac:dyDescent="0.35">
      <c r="A1741">
        <f t="shared" si="87"/>
        <v>0</v>
      </c>
      <c r="B1741" t="str">
        <f t="shared" si="88"/>
        <v>J9</v>
      </c>
      <c r="C1741" s="8" t="s">
        <v>112</v>
      </c>
      <c r="D1741" s="18">
        <f>VLOOKUP(C1741,'DISTRIBUIÇÃO NF4267'!$E$3:$FQ$75,MATCH(B1741,'DISTRIBUIÇÃO NF4267'!$E$3:$FQ$3,0)+1,0)</f>
        <v>0</v>
      </c>
      <c r="F1741" s="28">
        <f t="shared" si="86"/>
        <v>3</v>
      </c>
    </row>
    <row r="1742" spans="1:6" x14ac:dyDescent="0.35">
      <c r="A1742">
        <f t="shared" si="87"/>
        <v>0</v>
      </c>
      <c r="B1742" t="str">
        <f t="shared" si="88"/>
        <v>J9</v>
      </c>
      <c r="C1742" s="9" t="s">
        <v>113</v>
      </c>
      <c r="D1742" s="18">
        <f>VLOOKUP(C1742,'DISTRIBUIÇÃO NF4267'!$E$3:$FQ$75,MATCH(B1742,'DISTRIBUIÇÃO NF4267'!$E$3:$FQ$3,0)+1,0)</f>
        <v>0</v>
      </c>
      <c r="F1742" s="28">
        <f t="shared" si="86"/>
        <v>3</v>
      </c>
    </row>
    <row r="1743" spans="1:6" x14ac:dyDescent="0.35">
      <c r="A1743">
        <f t="shared" si="87"/>
        <v>0</v>
      </c>
      <c r="B1743" t="str">
        <f t="shared" si="88"/>
        <v>J9</v>
      </c>
      <c r="C1743" s="9" t="s">
        <v>114</v>
      </c>
      <c r="D1743" s="18">
        <f>VLOOKUP(C1743,'DISTRIBUIÇÃO NF4267'!$E$3:$FQ$75,MATCH(B1743,'DISTRIBUIÇÃO NF4267'!$E$3:$FQ$3,0)+1,0)</f>
        <v>6</v>
      </c>
      <c r="F1743" s="28">
        <f t="shared" si="86"/>
        <v>3</v>
      </c>
    </row>
    <row r="1744" spans="1:6" x14ac:dyDescent="0.35">
      <c r="A1744">
        <f t="shared" si="87"/>
        <v>0</v>
      </c>
      <c r="B1744" t="str">
        <f t="shared" si="88"/>
        <v>J9</v>
      </c>
      <c r="C1744" s="9" t="s">
        <v>115</v>
      </c>
      <c r="D1744" s="18">
        <f>VLOOKUP(C1744,'DISTRIBUIÇÃO NF4267'!$E$3:$FQ$75,MATCH(B1744,'DISTRIBUIÇÃO NF4267'!$E$3:$FQ$3,0)+1,0)</f>
        <v>8</v>
      </c>
      <c r="F1744" s="28">
        <f t="shared" si="86"/>
        <v>3</v>
      </c>
    </row>
    <row r="1745" spans="1:6" x14ac:dyDescent="0.35">
      <c r="A1745">
        <f t="shared" si="87"/>
        <v>0</v>
      </c>
      <c r="B1745" t="str">
        <f t="shared" si="88"/>
        <v>J9</v>
      </c>
      <c r="C1745" s="9" t="s">
        <v>116</v>
      </c>
      <c r="D1745" s="18">
        <f>VLOOKUP(C1745,'DISTRIBUIÇÃO NF4267'!$E$3:$FQ$75,MATCH(B1745,'DISTRIBUIÇÃO NF4267'!$E$3:$FQ$3,0)+1,0)</f>
        <v>4</v>
      </c>
      <c r="F1745" s="28">
        <f t="shared" si="86"/>
        <v>3</v>
      </c>
    </row>
    <row r="1746" spans="1:6" x14ac:dyDescent="0.35">
      <c r="A1746">
        <f t="shared" si="87"/>
        <v>0</v>
      </c>
      <c r="B1746" t="str">
        <f t="shared" si="88"/>
        <v>J9</v>
      </c>
      <c r="C1746" s="9" t="s">
        <v>117</v>
      </c>
      <c r="D1746" s="18">
        <f>VLOOKUP(C1746,'DISTRIBUIÇÃO NF4267'!$E$3:$FQ$75,MATCH(B1746,'DISTRIBUIÇÃO NF4267'!$E$3:$FQ$3,0)+1,0)</f>
        <v>2</v>
      </c>
      <c r="F1746" s="28">
        <f t="shared" si="86"/>
        <v>3</v>
      </c>
    </row>
    <row r="1747" spans="1:6" x14ac:dyDescent="0.35">
      <c r="A1747">
        <f t="shared" si="87"/>
        <v>0</v>
      </c>
      <c r="B1747" t="str">
        <f t="shared" si="88"/>
        <v>J9</v>
      </c>
      <c r="C1747" s="9" t="s">
        <v>118</v>
      </c>
      <c r="D1747" s="18">
        <f>VLOOKUP(C1747,'DISTRIBUIÇÃO NF4267'!$E$3:$FQ$75,MATCH(B1747,'DISTRIBUIÇÃO NF4267'!$E$3:$FQ$3,0)+1,0)</f>
        <v>0</v>
      </c>
      <c r="F1747" s="28">
        <f t="shared" si="86"/>
        <v>3</v>
      </c>
    </row>
    <row r="1748" spans="1:6" x14ac:dyDescent="0.35">
      <c r="A1748">
        <f t="shared" si="87"/>
        <v>0</v>
      </c>
      <c r="B1748" t="str">
        <f t="shared" si="88"/>
        <v>J9</v>
      </c>
      <c r="C1748" s="10" t="s">
        <v>119</v>
      </c>
      <c r="D1748" s="18">
        <f>VLOOKUP(C1748,'DISTRIBUIÇÃO NF4267'!$E$3:$FQ$75,MATCH(B1748,'DISTRIBUIÇÃO NF4267'!$E$3:$FQ$3,0)+1,0)</f>
        <v>0</v>
      </c>
      <c r="F1748" s="28">
        <f t="shared" si="86"/>
        <v>3</v>
      </c>
    </row>
    <row r="1749" spans="1:6" x14ac:dyDescent="0.35">
      <c r="A1749">
        <f t="shared" si="87"/>
        <v>0</v>
      </c>
      <c r="B1749" t="str">
        <f t="shared" si="88"/>
        <v>J9</v>
      </c>
      <c r="C1749" s="10" t="s">
        <v>120</v>
      </c>
      <c r="D1749" s="18">
        <f>VLOOKUP(C1749,'DISTRIBUIÇÃO NF4267'!$E$3:$FQ$75,MATCH(B1749,'DISTRIBUIÇÃO NF4267'!$E$3:$FQ$3,0)+1,0)</f>
        <v>48</v>
      </c>
      <c r="F1749" s="28">
        <f t="shared" si="86"/>
        <v>3</v>
      </c>
    </row>
    <row r="1750" spans="1:6" x14ac:dyDescent="0.35">
      <c r="A1750">
        <f t="shared" si="87"/>
        <v>0</v>
      </c>
      <c r="B1750" t="str">
        <f t="shared" si="88"/>
        <v>J9</v>
      </c>
      <c r="C1750" s="10" t="s">
        <v>121</v>
      </c>
      <c r="D1750" s="18">
        <f>VLOOKUP(C1750,'DISTRIBUIÇÃO NF4267'!$E$3:$FQ$75,MATCH(B1750,'DISTRIBUIÇÃO NF4267'!$E$3:$FQ$3,0)+1,0)</f>
        <v>16</v>
      </c>
      <c r="F1750" s="28">
        <f t="shared" si="86"/>
        <v>3</v>
      </c>
    </row>
    <row r="1751" spans="1:6" x14ac:dyDescent="0.35">
      <c r="A1751">
        <f t="shared" si="87"/>
        <v>0</v>
      </c>
      <c r="B1751" t="str">
        <f t="shared" si="88"/>
        <v>J9</v>
      </c>
      <c r="C1751" s="10" t="s">
        <v>122</v>
      </c>
      <c r="D1751" s="18">
        <f>VLOOKUP(C1751,'DISTRIBUIÇÃO NF4267'!$E$3:$FQ$75,MATCH(B1751,'DISTRIBUIÇÃO NF4267'!$E$3:$FQ$3,0)+1,0)</f>
        <v>16</v>
      </c>
      <c r="F1751" s="28">
        <f t="shared" si="86"/>
        <v>3</v>
      </c>
    </row>
    <row r="1752" spans="1:6" x14ac:dyDescent="0.35">
      <c r="A1752">
        <f t="shared" si="87"/>
        <v>0</v>
      </c>
      <c r="B1752" t="str">
        <f t="shared" si="88"/>
        <v>J9</v>
      </c>
      <c r="C1752" s="10" t="s">
        <v>123</v>
      </c>
      <c r="D1752" s="18">
        <f>VLOOKUP(C1752,'DISTRIBUIÇÃO NF4267'!$E$3:$FQ$75,MATCH(B1752,'DISTRIBUIÇÃO NF4267'!$E$3:$FQ$3,0)+1,0)</f>
        <v>0</v>
      </c>
      <c r="F1752" s="28">
        <f t="shared" si="86"/>
        <v>3</v>
      </c>
    </row>
    <row r="1753" spans="1:6" x14ac:dyDescent="0.35">
      <c r="A1753">
        <f t="shared" si="87"/>
        <v>0</v>
      </c>
      <c r="B1753" t="str">
        <f t="shared" si="88"/>
        <v>J9</v>
      </c>
      <c r="C1753" s="10" t="s">
        <v>124</v>
      </c>
      <c r="D1753" s="18">
        <f>VLOOKUP(C1753,'DISTRIBUIÇÃO NF4267'!$E$3:$FQ$75,MATCH(B1753,'DISTRIBUIÇÃO NF4267'!$E$3:$FQ$3,0)+1,0)</f>
        <v>0</v>
      </c>
      <c r="F1753" s="28">
        <f t="shared" si="86"/>
        <v>3</v>
      </c>
    </row>
    <row r="1754" spans="1:6" x14ac:dyDescent="0.35">
      <c r="A1754">
        <f t="shared" si="87"/>
        <v>0</v>
      </c>
      <c r="B1754" t="str">
        <f t="shared" si="88"/>
        <v>J9</v>
      </c>
      <c r="C1754" s="11" t="s">
        <v>16</v>
      </c>
      <c r="D1754" s="18">
        <f>VLOOKUP(C1754,'DISTRIBUIÇÃO NF4267'!$E$3:$FQ$75,MATCH(B1754,'DISTRIBUIÇÃO NF4267'!$E$3:$FQ$3,0)+1,0)</f>
        <v>0</v>
      </c>
      <c r="F1754" s="28">
        <f t="shared" si="86"/>
        <v>3</v>
      </c>
    </row>
    <row r="1755" spans="1:6" x14ac:dyDescent="0.35">
      <c r="A1755">
        <f t="shared" si="87"/>
        <v>0</v>
      </c>
      <c r="B1755" t="str">
        <f t="shared" si="88"/>
        <v>J9</v>
      </c>
      <c r="C1755" s="11" t="s">
        <v>17</v>
      </c>
      <c r="D1755" s="18">
        <f>VLOOKUP(C1755,'DISTRIBUIÇÃO NF4267'!$E$3:$FQ$75,MATCH(B1755,'DISTRIBUIÇÃO NF4267'!$E$3:$FQ$3,0)+1,0)</f>
        <v>9</v>
      </c>
      <c r="F1755" s="28">
        <f t="shared" si="86"/>
        <v>3</v>
      </c>
    </row>
    <row r="1756" spans="1:6" x14ac:dyDescent="0.35">
      <c r="A1756">
        <f t="shared" si="87"/>
        <v>0</v>
      </c>
      <c r="B1756" t="str">
        <f t="shared" si="88"/>
        <v>J9</v>
      </c>
      <c r="C1756" s="11" t="s">
        <v>18</v>
      </c>
      <c r="D1756" s="18">
        <f>VLOOKUP(C1756,'DISTRIBUIÇÃO NF4267'!$E$3:$FQ$75,MATCH(B1756,'DISTRIBUIÇÃO NF4267'!$E$3:$FQ$3,0)+1,0)</f>
        <v>3</v>
      </c>
      <c r="F1756" s="28">
        <f t="shared" si="86"/>
        <v>3</v>
      </c>
    </row>
    <row r="1757" spans="1:6" x14ac:dyDescent="0.35">
      <c r="A1757">
        <f t="shared" si="87"/>
        <v>0</v>
      </c>
      <c r="B1757" t="str">
        <f t="shared" si="88"/>
        <v>J9</v>
      </c>
      <c r="C1757" s="11" t="s">
        <v>19</v>
      </c>
      <c r="D1757" s="18">
        <f>VLOOKUP(C1757,'DISTRIBUIÇÃO NF4267'!$E$3:$FQ$75,MATCH(B1757,'DISTRIBUIÇÃO NF4267'!$E$3:$FQ$3,0)+1,0)</f>
        <v>3</v>
      </c>
      <c r="F1757" s="28">
        <f t="shared" si="86"/>
        <v>3</v>
      </c>
    </row>
    <row r="1758" spans="1:6" x14ac:dyDescent="0.35">
      <c r="A1758">
        <f t="shared" si="87"/>
        <v>0</v>
      </c>
      <c r="B1758" t="str">
        <f t="shared" si="88"/>
        <v>J9</v>
      </c>
      <c r="C1758" s="11" t="s">
        <v>20</v>
      </c>
      <c r="D1758" s="18">
        <f>VLOOKUP(C1758,'DISTRIBUIÇÃO NF4267'!$E$3:$FQ$75,MATCH(B1758,'DISTRIBUIÇÃO NF4267'!$E$3:$FQ$3,0)+1,0)</f>
        <v>15</v>
      </c>
      <c r="F1758" s="28">
        <f t="shared" si="86"/>
        <v>3</v>
      </c>
    </row>
    <row r="1759" spans="1:6" x14ac:dyDescent="0.35">
      <c r="A1759">
        <f t="shared" si="87"/>
        <v>0</v>
      </c>
      <c r="B1759" t="str">
        <f t="shared" si="88"/>
        <v>J9</v>
      </c>
      <c r="C1759" s="11" t="s">
        <v>21</v>
      </c>
      <c r="D1759" s="18">
        <f>VLOOKUP(C1759,'DISTRIBUIÇÃO NF4267'!$E$3:$FQ$75,MATCH(B1759,'DISTRIBUIÇÃO NF4267'!$E$3:$FQ$3,0)+1,0)</f>
        <v>0</v>
      </c>
      <c r="F1759" s="28">
        <f t="shared" si="86"/>
        <v>3</v>
      </c>
    </row>
    <row r="1760" spans="1:6" x14ac:dyDescent="0.35">
      <c r="A1760">
        <f t="shared" si="87"/>
        <v>0</v>
      </c>
      <c r="B1760" t="str">
        <f t="shared" si="88"/>
        <v>J9</v>
      </c>
      <c r="C1760" s="12" t="s">
        <v>130</v>
      </c>
      <c r="D1760" s="18">
        <f>VLOOKUP(C1760,'DISTRIBUIÇÃO NF4267'!$E$3:$FQ$75,MATCH(B1760,'DISTRIBUIÇÃO NF4267'!$E$3:$FQ$3,0)+1,0)</f>
        <v>0</v>
      </c>
      <c r="F1760" s="28">
        <f t="shared" si="86"/>
        <v>3</v>
      </c>
    </row>
    <row r="1761" spans="1:6" x14ac:dyDescent="0.35">
      <c r="A1761">
        <f t="shared" si="87"/>
        <v>0</v>
      </c>
      <c r="B1761" t="str">
        <f t="shared" si="88"/>
        <v>J9</v>
      </c>
      <c r="C1761" s="12" t="s">
        <v>131</v>
      </c>
      <c r="D1761" s="18">
        <f>VLOOKUP(C1761,'DISTRIBUIÇÃO NF4267'!$E$3:$FQ$75,MATCH(B1761,'DISTRIBUIÇÃO NF4267'!$E$3:$FQ$3,0)+1,0)</f>
        <v>1</v>
      </c>
      <c r="F1761" s="28">
        <f t="shared" si="86"/>
        <v>3</v>
      </c>
    </row>
    <row r="1762" spans="1:6" x14ac:dyDescent="0.35">
      <c r="A1762">
        <f t="shared" si="87"/>
        <v>0</v>
      </c>
      <c r="B1762" t="str">
        <f t="shared" si="88"/>
        <v>J9</v>
      </c>
      <c r="C1762" s="12" t="s">
        <v>132</v>
      </c>
      <c r="D1762" s="18">
        <f>VLOOKUP(C1762,'DISTRIBUIÇÃO NF4267'!$E$3:$FQ$75,MATCH(B1762,'DISTRIBUIÇÃO NF4267'!$E$3:$FQ$3,0)+1,0)</f>
        <v>4</v>
      </c>
      <c r="F1762" s="28">
        <f t="shared" si="86"/>
        <v>3</v>
      </c>
    </row>
    <row r="1763" spans="1:6" x14ac:dyDescent="0.35">
      <c r="A1763">
        <f t="shared" si="87"/>
        <v>0</v>
      </c>
      <c r="B1763" t="str">
        <f t="shared" si="88"/>
        <v>J9</v>
      </c>
      <c r="C1763" s="12" t="s">
        <v>133</v>
      </c>
      <c r="D1763" s="18">
        <f>VLOOKUP(C1763,'DISTRIBUIÇÃO NF4267'!$E$3:$FQ$75,MATCH(B1763,'DISTRIBUIÇÃO NF4267'!$E$3:$FQ$3,0)+1,0)</f>
        <v>3</v>
      </c>
      <c r="F1763" s="28">
        <f t="shared" si="86"/>
        <v>3</v>
      </c>
    </row>
    <row r="1764" spans="1:6" x14ac:dyDescent="0.35">
      <c r="A1764">
        <f t="shared" si="87"/>
        <v>0</v>
      </c>
      <c r="B1764" t="str">
        <f t="shared" si="88"/>
        <v>J9</v>
      </c>
      <c r="C1764" s="12" t="s">
        <v>134</v>
      </c>
      <c r="D1764" s="18">
        <f>VLOOKUP(C1764,'DISTRIBUIÇÃO NF4267'!$E$3:$FQ$75,MATCH(B1764,'DISTRIBUIÇÃO NF4267'!$E$3:$FQ$3,0)+1,0)</f>
        <v>2</v>
      </c>
      <c r="F1764" s="28">
        <f t="shared" si="86"/>
        <v>3</v>
      </c>
    </row>
    <row r="1765" spans="1:6" x14ac:dyDescent="0.35">
      <c r="A1765">
        <f t="shared" si="87"/>
        <v>0</v>
      </c>
      <c r="B1765" t="str">
        <f t="shared" si="88"/>
        <v>J9</v>
      </c>
      <c r="C1765" s="12" t="s">
        <v>135</v>
      </c>
      <c r="D1765" s="18">
        <f>VLOOKUP(C1765,'DISTRIBUIÇÃO NF4267'!$E$3:$FQ$75,MATCH(B1765,'DISTRIBUIÇÃO NF4267'!$E$3:$FQ$3,0)+1,0)</f>
        <v>0</v>
      </c>
      <c r="F1765" s="28">
        <f t="shared" si="86"/>
        <v>3</v>
      </c>
    </row>
    <row r="1766" spans="1:6" x14ac:dyDescent="0.35">
      <c r="A1766">
        <f t="shared" si="87"/>
        <v>0</v>
      </c>
      <c r="B1766" t="str">
        <f t="shared" si="88"/>
        <v>J9</v>
      </c>
      <c r="C1766" s="13" t="s">
        <v>22</v>
      </c>
      <c r="D1766" s="18">
        <f>VLOOKUP(C1766,'DISTRIBUIÇÃO NF4267'!$E$3:$FQ$75,MATCH(B1766,'DISTRIBUIÇÃO NF4267'!$E$3:$FQ$3,0)+1,0)</f>
        <v>0</v>
      </c>
      <c r="F1766" s="28">
        <f t="shared" si="86"/>
        <v>3</v>
      </c>
    </row>
    <row r="1767" spans="1:6" x14ac:dyDescent="0.35">
      <c r="A1767">
        <f t="shared" si="87"/>
        <v>0</v>
      </c>
      <c r="B1767" t="str">
        <f t="shared" si="88"/>
        <v>J9</v>
      </c>
      <c r="C1767" s="13" t="s">
        <v>23</v>
      </c>
      <c r="D1767" s="18">
        <f>VLOOKUP(C1767,'DISTRIBUIÇÃO NF4267'!$E$3:$FQ$75,MATCH(B1767,'DISTRIBUIÇÃO NF4267'!$E$3:$FQ$3,0)+1,0)</f>
        <v>1</v>
      </c>
      <c r="F1767" s="28">
        <f t="shared" si="86"/>
        <v>3</v>
      </c>
    </row>
    <row r="1768" spans="1:6" x14ac:dyDescent="0.35">
      <c r="A1768">
        <f t="shared" si="87"/>
        <v>0</v>
      </c>
      <c r="B1768" t="str">
        <f t="shared" si="88"/>
        <v>J9</v>
      </c>
      <c r="C1768" s="13" t="s">
        <v>24</v>
      </c>
      <c r="D1768" s="18">
        <f>VLOOKUP(C1768,'DISTRIBUIÇÃO NF4267'!$E$3:$FQ$75,MATCH(B1768,'DISTRIBUIÇÃO NF4267'!$E$3:$FQ$3,0)+1,0)</f>
        <v>6</v>
      </c>
      <c r="F1768" s="28">
        <f t="shared" si="86"/>
        <v>3</v>
      </c>
    </row>
    <row r="1769" spans="1:6" x14ac:dyDescent="0.35">
      <c r="A1769">
        <f t="shared" si="87"/>
        <v>0</v>
      </c>
      <c r="B1769" t="str">
        <f t="shared" si="88"/>
        <v>J9</v>
      </c>
      <c r="C1769" s="13" t="s">
        <v>25</v>
      </c>
      <c r="D1769" s="18">
        <f>VLOOKUP(C1769,'DISTRIBUIÇÃO NF4267'!$E$3:$FQ$75,MATCH(B1769,'DISTRIBUIÇÃO NF4267'!$E$3:$FQ$3,0)+1,0)</f>
        <v>2</v>
      </c>
      <c r="F1769" s="28">
        <f t="shared" si="86"/>
        <v>3</v>
      </c>
    </row>
    <row r="1770" spans="1:6" x14ac:dyDescent="0.35">
      <c r="A1770">
        <f t="shared" si="87"/>
        <v>0</v>
      </c>
      <c r="B1770" t="str">
        <f t="shared" si="88"/>
        <v>J9</v>
      </c>
      <c r="C1770" s="13" t="s">
        <v>26</v>
      </c>
      <c r="D1770" s="18">
        <f>VLOOKUP(C1770,'DISTRIBUIÇÃO NF4267'!$E$3:$FQ$75,MATCH(B1770,'DISTRIBUIÇÃO NF4267'!$E$3:$FQ$3,0)+1,0)</f>
        <v>1</v>
      </c>
      <c r="F1770" s="28">
        <f t="shared" si="86"/>
        <v>3</v>
      </c>
    </row>
    <row r="1771" spans="1:6" x14ac:dyDescent="0.35">
      <c r="A1771">
        <f t="shared" si="87"/>
        <v>0</v>
      </c>
      <c r="B1771" t="str">
        <f t="shared" si="88"/>
        <v>J9</v>
      </c>
      <c r="C1771" s="13" t="s">
        <v>27</v>
      </c>
      <c r="D1771" s="18">
        <f>VLOOKUP(C1771,'DISTRIBUIÇÃO NF4267'!$E$3:$FQ$75,MATCH(B1771,'DISTRIBUIÇÃO NF4267'!$E$3:$FQ$3,0)+1,0)</f>
        <v>0</v>
      </c>
      <c r="F1771" s="28">
        <f t="shared" si="86"/>
        <v>3</v>
      </c>
    </row>
    <row r="1772" spans="1:6" x14ac:dyDescent="0.35">
      <c r="A1772">
        <f t="shared" si="87"/>
        <v>0</v>
      </c>
      <c r="B1772" t="str">
        <f t="shared" si="88"/>
        <v>J9</v>
      </c>
      <c r="C1772" s="14" t="s">
        <v>138</v>
      </c>
      <c r="D1772" s="18">
        <f>VLOOKUP(C1772,'DISTRIBUIÇÃO NF4267'!$E$3:$FQ$75,MATCH(B1772,'DISTRIBUIÇÃO NF4267'!$E$3:$FQ$3,0)+1,0)</f>
        <v>0</v>
      </c>
      <c r="F1772" s="28">
        <f t="shared" si="86"/>
        <v>3</v>
      </c>
    </row>
    <row r="1773" spans="1:6" x14ac:dyDescent="0.35">
      <c r="A1773">
        <f t="shared" si="87"/>
        <v>0</v>
      </c>
      <c r="B1773" t="str">
        <f t="shared" si="88"/>
        <v>J9</v>
      </c>
      <c r="C1773" s="14" t="s">
        <v>139</v>
      </c>
      <c r="D1773" s="18">
        <f>VLOOKUP(C1773,'DISTRIBUIÇÃO NF4267'!$E$3:$FQ$75,MATCH(B1773,'DISTRIBUIÇÃO NF4267'!$E$3:$FQ$3,0)+1,0)</f>
        <v>4</v>
      </c>
      <c r="F1773" s="28">
        <f t="shared" si="86"/>
        <v>3</v>
      </c>
    </row>
    <row r="1774" spans="1:6" x14ac:dyDescent="0.35">
      <c r="A1774">
        <f t="shared" si="87"/>
        <v>0</v>
      </c>
      <c r="B1774" t="str">
        <f t="shared" si="88"/>
        <v>J9</v>
      </c>
      <c r="C1774" s="14" t="s">
        <v>140</v>
      </c>
      <c r="D1774" s="18">
        <f>VLOOKUP(C1774,'DISTRIBUIÇÃO NF4267'!$E$3:$FQ$75,MATCH(B1774,'DISTRIBUIÇÃO NF4267'!$E$3:$FQ$3,0)+1,0)</f>
        <v>8</v>
      </c>
      <c r="F1774" s="28">
        <f t="shared" si="86"/>
        <v>3</v>
      </c>
    </row>
    <row r="1775" spans="1:6" x14ac:dyDescent="0.35">
      <c r="A1775">
        <f t="shared" si="87"/>
        <v>0</v>
      </c>
      <c r="B1775" t="str">
        <f t="shared" si="88"/>
        <v>J9</v>
      </c>
      <c r="C1775" s="14" t="s">
        <v>141</v>
      </c>
      <c r="D1775" s="18">
        <f>VLOOKUP(C1775,'DISTRIBUIÇÃO NF4267'!$E$3:$FQ$75,MATCH(B1775,'DISTRIBUIÇÃO NF4267'!$E$3:$FQ$3,0)+1,0)</f>
        <v>4</v>
      </c>
      <c r="F1775" s="28">
        <f t="shared" si="86"/>
        <v>3</v>
      </c>
    </row>
    <row r="1776" spans="1:6" x14ac:dyDescent="0.35">
      <c r="A1776">
        <f t="shared" si="87"/>
        <v>0</v>
      </c>
      <c r="B1776" t="str">
        <f t="shared" si="88"/>
        <v>J9</v>
      </c>
      <c r="C1776" s="14" t="s">
        <v>142</v>
      </c>
      <c r="D1776" s="18">
        <f>VLOOKUP(C1776,'DISTRIBUIÇÃO NF4267'!$E$3:$FQ$75,MATCH(B1776,'DISTRIBUIÇÃO NF4267'!$E$3:$FQ$3,0)+1,0)</f>
        <v>4</v>
      </c>
      <c r="F1776" s="28">
        <f t="shared" si="86"/>
        <v>3</v>
      </c>
    </row>
    <row r="1777" spans="1:6" x14ac:dyDescent="0.35">
      <c r="A1777">
        <f t="shared" si="87"/>
        <v>0</v>
      </c>
      <c r="B1777" t="str">
        <f t="shared" si="88"/>
        <v>J9</v>
      </c>
      <c r="C1777" s="14" t="s">
        <v>143</v>
      </c>
      <c r="D1777" s="18">
        <f>VLOOKUP(C1777,'DISTRIBUIÇÃO NF4267'!$E$3:$FQ$75,MATCH(B1777,'DISTRIBUIÇÃO NF4267'!$E$3:$FQ$3,0)+1,0)</f>
        <v>0</v>
      </c>
      <c r="F1777" s="28">
        <f t="shared" si="86"/>
        <v>3</v>
      </c>
    </row>
    <row r="1778" spans="1:6" x14ac:dyDescent="0.35">
      <c r="A1778">
        <f t="shared" si="87"/>
        <v>0</v>
      </c>
      <c r="B1778" t="str">
        <f t="shared" si="88"/>
        <v>J9</v>
      </c>
      <c r="C1778" s="15" t="s">
        <v>145</v>
      </c>
      <c r="D1778" s="18">
        <f>VLOOKUP(C1778,'DISTRIBUIÇÃO NF4267'!$E$3:$FQ$75,MATCH(B1778,'DISTRIBUIÇÃO NF4267'!$E$3:$FQ$3,0)+1,0)</f>
        <v>0</v>
      </c>
      <c r="F1778" s="28">
        <f t="shared" si="86"/>
        <v>3</v>
      </c>
    </row>
    <row r="1779" spans="1:6" x14ac:dyDescent="0.35">
      <c r="A1779">
        <f t="shared" si="87"/>
        <v>0</v>
      </c>
      <c r="B1779" t="str">
        <f t="shared" si="88"/>
        <v>J9</v>
      </c>
      <c r="C1779" s="15" t="s">
        <v>146</v>
      </c>
      <c r="D1779" s="18">
        <f>VLOOKUP(C1779,'DISTRIBUIÇÃO NF4267'!$E$3:$FQ$75,MATCH(B1779,'DISTRIBUIÇÃO NF4267'!$E$3:$FQ$3,0)+1,0)</f>
        <v>2</v>
      </c>
      <c r="F1779" s="28">
        <f t="shared" si="86"/>
        <v>3</v>
      </c>
    </row>
    <row r="1780" spans="1:6" x14ac:dyDescent="0.35">
      <c r="A1780">
        <f t="shared" si="87"/>
        <v>0</v>
      </c>
      <c r="B1780" t="str">
        <f t="shared" si="88"/>
        <v>J9</v>
      </c>
      <c r="C1780" s="15" t="s">
        <v>147</v>
      </c>
      <c r="D1780" s="18">
        <f>VLOOKUP(C1780,'DISTRIBUIÇÃO NF4267'!$E$3:$FQ$75,MATCH(B1780,'DISTRIBUIÇÃO NF4267'!$E$3:$FQ$3,0)+1,0)</f>
        <v>4</v>
      </c>
      <c r="F1780" s="28">
        <f t="shared" si="86"/>
        <v>3</v>
      </c>
    </row>
    <row r="1781" spans="1:6" x14ac:dyDescent="0.35">
      <c r="A1781">
        <f t="shared" si="87"/>
        <v>0</v>
      </c>
      <c r="B1781" t="str">
        <f t="shared" si="88"/>
        <v>J9</v>
      </c>
      <c r="C1781" s="15" t="s">
        <v>148</v>
      </c>
      <c r="D1781" s="18">
        <f>VLOOKUP(C1781,'DISTRIBUIÇÃO NF4267'!$E$3:$FQ$75,MATCH(B1781,'DISTRIBUIÇÃO NF4267'!$E$3:$FQ$3,0)+1,0)</f>
        <v>2</v>
      </c>
      <c r="F1781" s="28">
        <f t="shared" si="86"/>
        <v>3</v>
      </c>
    </row>
    <row r="1782" spans="1:6" x14ac:dyDescent="0.35">
      <c r="A1782">
        <f t="shared" si="87"/>
        <v>0</v>
      </c>
      <c r="B1782" t="str">
        <f t="shared" si="88"/>
        <v>J9</v>
      </c>
      <c r="C1782" s="15" t="s">
        <v>149</v>
      </c>
      <c r="D1782" s="18">
        <f>VLOOKUP(C1782,'DISTRIBUIÇÃO NF4267'!$E$3:$FQ$75,MATCH(B1782,'DISTRIBUIÇÃO NF4267'!$E$3:$FQ$3,0)+1,0)</f>
        <v>2</v>
      </c>
      <c r="F1782" s="28">
        <f t="shared" si="86"/>
        <v>3</v>
      </c>
    </row>
    <row r="1783" spans="1:6" x14ac:dyDescent="0.35">
      <c r="A1783">
        <f t="shared" si="87"/>
        <v>0</v>
      </c>
      <c r="B1783" t="str">
        <f t="shared" si="88"/>
        <v>J9</v>
      </c>
      <c r="C1783" s="15" t="s">
        <v>150</v>
      </c>
      <c r="D1783" s="18">
        <f>VLOOKUP(C1783,'DISTRIBUIÇÃO NF4267'!$E$3:$FQ$75,MATCH(B1783,'DISTRIBUIÇÃO NF4267'!$E$3:$FQ$3,0)+1,0)</f>
        <v>0</v>
      </c>
      <c r="F1783" s="28">
        <f t="shared" si="86"/>
        <v>3</v>
      </c>
    </row>
    <row r="1784" spans="1:6" x14ac:dyDescent="0.35">
      <c r="A1784">
        <f t="shared" si="87"/>
        <v>0</v>
      </c>
      <c r="B1784" t="s">
        <v>51</v>
      </c>
      <c r="C1784" s="7" t="s">
        <v>98</v>
      </c>
      <c r="D1784" s="18">
        <f>VLOOKUP(C1784,'DISTRIBUIÇÃO NF4267'!$E$3:$FQ$75,MATCH(B1784,'DISTRIBUIÇÃO NF4267'!$E$3:$FQ$3,0)+1,0)</f>
        <v>0</v>
      </c>
      <c r="F1784" s="28">
        <f t="shared" ref="F1784:F1847" si="89">ROUNDUP(SUMIFS(D:D,B:B,B1784)/80,0)</f>
        <v>3</v>
      </c>
    </row>
    <row r="1785" spans="1:6" x14ac:dyDescent="0.35">
      <c r="A1785">
        <f t="shared" si="87"/>
        <v>0</v>
      </c>
      <c r="B1785" t="str">
        <f>B1784</f>
        <v>B3</v>
      </c>
      <c r="C1785" s="7" t="s">
        <v>99</v>
      </c>
      <c r="D1785" s="18">
        <f>VLOOKUP(C1785,'DISTRIBUIÇÃO NF4267'!$E$3:$FQ$75,MATCH(B1785,'DISTRIBUIÇÃO NF4267'!$E$3:$FQ$3,0)+1,0)</f>
        <v>4</v>
      </c>
      <c r="F1785" s="28">
        <f t="shared" si="89"/>
        <v>3</v>
      </c>
    </row>
    <row r="1786" spans="1:6" x14ac:dyDescent="0.35">
      <c r="A1786">
        <f t="shared" si="87"/>
        <v>0</v>
      </c>
      <c r="B1786" t="str">
        <f t="shared" ref="B1786:B1837" si="90">B1785</f>
        <v>B3</v>
      </c>
      <c r="C1786" s="7" t="s">
        <v>100</v>
      </c>
      <c r="D1786" s="18">
        <f>VLOOKUP(C1786,'DISTRIBUIÇÃO NF4267'!$E$3:$FQ$75,MATCH(B1786,'DISTRIBUIÇÃO NF4267'!$E$3:$FQ$3,0)+1,0)</f>
        <v>8</v>
      </c>
      <c r="F1786" s="28">
        <f t="shared" si="89"/>
        <v>3</v>
      </c>
    </row>
    <row r="1787" spans="1:6" x14ac:dyDescent="0.35">
      <c r="A1787">
        <f t="shared" si="87"/>
        <v>0</v>
      </c>
      <c r="B1787" t="str">
        <f t="shared" si="90"/>
        <v>B3</v>
      </c>
      <c r="C1787" s="7" t="s">
        <v>101</v>
      </c>
      <c r="D1787" s="18">
        <f>VLOOKUP(C1787,'DISTRIBUIÇÃO NF4267'!$E$3:$FQ$75,MATCH(B1787,'DISTRIBUIÇÃO NF4267'!$E$3:$FQ$3,0)+1,0)</f>
        <v>4</v>
      </c>
      <c r="F1787" s="28">
        <f t="shared" si="89"/>
        <v>3</v>
      </c>
    </row>
    <row r="1788" spans="1:6" x14ac:dyDescent="0.35">
      <c r="A1788">
        <f t="shared" si="87"/>
        <v>0</v>
      </c>
      <c r="B1788" t="str">
        <f t="shared" si="90"/>
        <v>B3</v>
      </c>
      <c r="C1788" s="7" t="s">
        <v>102</v>
      </c>
      <c r="D1788" s="18">
        <f>VLOOKUP(C1788,'DISTRIBUIÇÃO NF4267'!$E$3:$FQ$75,MATCH(B1788,'DISTRIBUIÇÃO NF4267'!$E$3:$FQ$3,0)+1,0)</f>
        <v>4</v>
      </c>
      <c r="F1788" s="28">
        <f t="shared" si="89"/>
        <v>3</v>
      </c>
    </row>
    <row r="1789" spans="1:6" x14ac:dyDescent="0.35">
      <c r="A1789">
        <f t="shared" si="87"/>
        <v>0</v>
      </c>
      <c r="B1789" t="str">
        <f t="shared" si="90"/>
        <v>B3</v>
      </c>
      <c r="C1789" s="7" t="s">
        <v>103</v>
      </c>
      <c r="D1789" s="18">
        <f>VLOOKUP(C1789,'DISTRIBUIÇÃO NF4267'!$E$3:$FQ$75,MATCH(B1789,'DISTRIBUIÇÃO NF4267'!$E$3:$FQ$3,0)+1,0)</f>
        <v>0</v>
      </c>
      <c r="F1789" s="28">
        <f t="shared" si="89"/>
        <v>3</v>
      </c>
    </row>
    <row r="1790" spans="1:6" x14ac:dyDescent="0.35">
      <c r="A1790">
        <f t="shared" si="87"/>
        <v>0</v>
      </c>
      <c r="B1790" t="str">
        <f t="shared" si="90"/>
        <v>B3</v>
      </c>
      <c r="C1790" s="8" t="s">
        <v>107</v>
      </c>
      <c r="D1790" s="18">
        <f>VLOOKUP(C1790,'DISTRIBUIÇÃO NF4267'!$E$3:$FQ$75,MATCH(B1790,'DISTRIBUIÇÃO NF4267'!$E$3:$FQ$3,0)+1,0)</f>
        <v>0</v>
      </c>
      <c r="F1790" s="28">
        <f t="shared" si="89"/>
        <v>3</v>
      </c>
    </row>
    <row r="1791" spans="1:6" x14ac:dyDescent="0.35">
      <c r="A1791">
        <f t="shared" si="87"/>
        <v>0</v>
      </c>
      <c r="B1791" t="str">
        <f t="shared" si="90"/>
        <v>B3</v>
      </c>
      <c r="C1791" s="8" t="s">
        <v>108</v>
      </c>
      <c r="D1791" s="18">
        <f>VLOOKUP(C1791,'DISTRIBUIÇÃO NF4267'!$E$3:$FQ$75,MATCH(B1791,'DISTRIBUIÇÃO NF4267'!$E$3:$FQ$3,0)+1,0)</f>
        <v>2</v>
      </c>
      <c r="F1791" s="28">
        <f t="shared" si="89"/>
        <v>3</v>
      </c>
    </row>
    <row r="1792" spans="1:6" x14ac:dyDescent="0.35">
      <c r="A1792">
        <f t="shared" si="87"/>
        <v>0</v>
      </c>
      <c r="B1792" t="str">
        <f t="shared" si="90"/>
        <v>B3</v>
      </c>
      <c r="C1792" s="8" t="s">
        <v>109</v>
      </c>
      <c r="D1792" s="18">
        <f>VLOOKUP(C1792,'DISTRIBUIÇÃO NF4267'!$E$3:$FQ$75,MATCH(B1792,'DISTRIBUIÇÃO NF4267'!$E$3:$FQ$3,0)+1,0)</f>
        <v>4</v>
      </c>
      <c r="F1792" s="28">
        <f t="shared" si="89"/>
        <v>3</v>
      </c>
    </row>
    <row r="1793" spans="1:6" x14ac:dyDescent="0.35">
      <c r="A1793">
        <f t="shared" si="87"/>
        <v>0</v>
      </c>
      <c r="B1793" t="str">
        <f t="shared" si="90"/>
        <v>B3</v>
      </c>
      <c r="C1793" s="8" t="s">
        <v>110</v>
      </c>
      <c r="D1793" s="18">
        <f>VLOOKUP(C1793,'DISTRIBUIÇÃO NF4267'!$E$3:$FQ$75,MATCH(B1793,'DISTRIBUIÇÃO NF4267'!$E$3:$FQ$3,0)+1,0)</f>
        <v>2</v>
      </c>
      <c r="F1793" s="28">
        <f t="shared" si="89"/>
        <v>3</v>
      </c>
    </row>
    <row r="1794" spans="1:6" x14ac:dyDescent="0.35">
      <c r="A1794">
        <f t="shared" ref="A1794:A1857" si="91">IF(ISERROR(VLOOKUP(C1794,I:I,1,0)),0,1)</f>
        <v>0</v>
      </c>
      <c r="B1794" t="str">
        <f t="shared" si="90"/>
        <v>B3</v>
      </c>
      <c r="C1794" s="8" t="s">
        <v>111</v>
      </c>
      <c r="D1794" s="18">
        <f>VLOOKUP(C1794,'DISTRIBUIÇÃO NF4267'!$E$3:$FQ$75,MATCH(B1794,'DISTRIBUIÇÃO NF4267'!$E$3:$FQ$3,0)+1,0)</f>
        <v>2</v>
      </c>
      <c r="F1794" s="28">
        <f t="shared" si="89"/>
        <v>3</v>
      </c>
    </row>
    <row r="1795" spans="1:6" x14ac:dyDescent="0.35">
      <c r="A1795">
        <f t="shared" si="91"/>
        <v>0</v>
      </c>
      <c r="B1795" t="str">
        <f t="shared" si="90"/>
        <v>B3</v>
      </c>
      <c r="C1795" s="8" t="s">
        <v>112</v>
      </c>
      <c r="D1795" s="18">
        <f>VLOOKUP(C1795,'DISTRIBUIÇÃO NF4267'!$E$3:$FQ$75,MATCH(B1795,'DISTRIBUIÇÃO NF4267'!$E$3:$FQ$3,0)+1,0)</f>
        <v>0</v>
      </c>
      <c r="F1795" s="28">
        <f t="shared" si="89"/>
        <v>3</v>
      </c>
    </row>
    <row r="1796" spans="1:6" x14ac:dyDescent="0.35">
      <c r="A1796">
        <f t="shared" si="91"/>
        <v>0</v>
      </c>
      <c r="B1796" t="str">
        <f t="shared" si="90"/>
        <v>B3</v>
      </c>
      <c r="C1796" s="9" t="s">
        <v>113</v>
      </c>
      <c r="D1796" s="18">
        <f>VLOOKUP(C1796,'DISTRIBUIÇÃO NF4267'!$E$3:$FQ$75,MATCH(B1796,'DISTRIBUIÇÃO NF4267'!$E$3:$FQ$3,0)+1,0)</f>
        <v>0</v>
      </c>
      <c r="F1796" s="28">
        <f t="shared" si="89"/>
        <v>3</v>
      </c>
    </row>
    <row r="1797" spans="1:6" x14ac:dyDescent="0.35">
      <c r="A1797">
        <f t="shared" si="91"/>
        <v>0</v>
      </c>
      <c r="B1797" t="str">
        <f t="shared" si="90"/>
        <v>B3</v>
      </c>
      <c r="C1797" s="9" t="s">
        <v>114</v>
      </c>
      <c r="D1797" s="18">
        <f>VLOOKUP(C1797,'DISTRIBUIÇÃO NF4267'!$E$3:$FQ$75,MATCH(B1797,'DISTRIBUIÇÃO NF4267'!$E$3:$FQ$3,0)+1,0)</f>
        <v>6</v>
      </c>
      <c r="F1797" s="28">
        <f t="shared" si="89"/>
        <v>3</v>
      </c>
    </row>
    <row r="1798" spans="1:6" x14ac:dyDescent="0.35">
      <c r="A1798">
        <f t="shared" si="91"/>
        <v>0</v>
      </c>
      <c r="B1798" t="str">
        <f t="shared" si="90"/>
        <v>B3</v>
      </c>
      <c r="C1798" s="9" t="s">
        <v>115</v>
      </c>
      <c r="D1798" s="18">
        <f>VLOOKUP(C1798,'DISTRIBUIÇÃO NF4267'!$E$3:$FQ$75,MATCH(B1798,'DISTRIBUIÇÃO NF4267'!$E$3:$FQ$3,0)+1,0)</f>
        <v>8</v>
      </c>
      <c r="F1798" s="28">
        <f t="shared" si="89"/>
        <v>3</v>
      </c>
    </row>
    <row r="1799" spans="1:6" x14ac:dyDescent="0.35">
      <c r="A1799">
        <f t="shared" si="91"/>
        <v>0</v>
      </c>
      <c r="B1799" t="str">
        <f t="shared" si="90"/>
        <v>B3</v>
      </c>
      <c r="C1799" s="9" t="s">
        <v>116</v>
      </c>
      <c r="D1799" s="18">
        <f>VLOOKUP(C1799,'DISTRIBUIÇÃO NF4267'!$E$3:$FQ$75,MATCH(B1799,'DISTRIBUIÇÃO NF4267'!$E$3:$FQ$3,0)+1,0)</f>
        <v>4</v>
      </c>
      <c r="F1799" s="28">
        <f t="shared" si="89"/>
        <v>3</v>
      </c>
    </row>
    <row r="1800" spans="1:6" x14ac:dyDescent="0.35">
      <c r="A1800">
        <f t="shared" si="91"/>
        <v>0</v>
      </c>
      <c r="B1800" t="str">
        <f t="shared" si="90"/>
        <v>B3</v>
      </c>
      <c r="C1800" s="9" t="s">
        <v>117</v>
      </c>
      <c r="D1800" s="18">
        <f>VLOOKUP(C1800,'DISTRIBUIÇÃO NF4267'!$E$3:$FQ$75,MATCH(B1800,'DISTRIBUIÇÃO NF4267'!$E$3:$FQ$3,0)+1,0)</f>
        <v>2</v>
      </c>
      <c r="F1800" s="28">
        <f t="shared" si="89"/>
        <v>3</v>
      </c>
    </row>
    <row r="1801" spans="1:6" x14ac:dyDescent="0.35">
      <c r="A1801">
        <f t="shared" si="91"/>
        <v>0</v>
      </c>
      <c r="B1801" t="str">
        <f t="shared" si="90"/>
        <v>B3</v>
      </c>
      <c r="C1801" s="9" t="s">
        <v>118</v>
      </c>
      <c r="D1801" s="18">
        <f>VLOOKUP(C1801,'DISTRIBUIÇÃO NF4267'!$E$3:$FQ$75,MATCH(B1801,'DISTRIBUIÇÃO NF4267'!$E$3:$FQ$3,0)+1,0)</f>
        <v>0</v>
      </c>
      <c r="F1801" s="28">
        <f t="shared" si="89"/>
        <v>3</v>
      </c>
    </row>
    <row r="1802" spans="1:6" x14ac:dyDescent="0.35">
      <c r="A1802">
        <f t="shared" si="91"/>
        <v>0</v>
      </c>
      <c r="B1802" t="str">
        <f t="shared" si="90"/>
        <v>B3</v>
      </c>
      <c r="C1802" s="10" t="s">
        <v>119</v>
      </c>
      <c r="D1802" s="18">
        <f>VLOOKUP(C1802,'DISTRIBUIÇÃO NF4267'!$E$3:$FQ$75,MATCH(B1802,'DISTRIBUIÇÃO NF4267'!$E$3:$FQ$3,0)+1,0)</f>
        <v>0</v>
      </c>
      <c r="F1802" s="28">
        <f t="shared" si="89"/>
        <v>3</v>
      </c>
    </row>
    <row r="1803" spans="1:6" x14ac:dyDescent="0.35">
      <c r="A1803">
        <f t="shared" si="91"/>
        <v>0</v>
      </c>
      <c r="B1803" t="str">
        <f t="shared" si="90"/>
        <v>B3</v>
      </c>
      <c r="C1803" s="10" t="s">
        <v>120</v>
      </c>
      <c r="D1803" s="18">
        <f>VLOOKUP(C1803,'DISTRIBUIÇÃO NF4267'!$E$3:$FQ$75,MATCH(B1803,'DISTRIBUIÇÃO NF4267'!$E$3:$FQ$3,0)+1,0)</f>
        <v>48</v>
      </c>
      <c r="F1803" s="28">
        <f t="shared" si="89"/>
        <v>3</v>
      </c>
    </row>
    <row r="1804" spans="1:6" x14ac:dyDescent="0.35">
      <c r="A1804">
        <f t="shared" si="91"/>
        <v>0</v>
      </c>
      <c r="B1804" t="str">
        <f t="shared" si="90"/>
        <v>B3</v>
      </c>
      <c r="C1804" s="10" t="s">
        <v>121</v>
      </c>
      <c r="D1804" s="18">
        <f>VLOOKUP(C1804,'DISTRIBUIÇÃO NF4267'!$E$3:$FQ$75,MATCH(B1804,'DISTRIBUIÇÃO NF4267'!$E$3:$FQ$3,0)+1,0)</f>
        <v>16</v>
      </c>
      <c r="F1804" s="28">
        <f t="shared" si="89"/>
        <v>3</v>
      </c>
    </row>
    <row r="1805" spans="1:6" x14ac:dyDescent="0.35">
      <c r="A1805">
        <f t="shared" si="91"/>
        <v>0</v>
      </c>
      <c r="B1805" t="str">
        <f t="shared" si="90"/>
        <v>B3</v>
      </c>
      <c r="C1805" s="10" t="s">
        <v>122</v>
      </c>
      <c r="D1805" s="18">
        <f>VLOOKUP(C1805,'DISTRIBUIÇÃO NF4267'!$E$3:$FQ$75,MATCH(B1805,'DISTRIBUIÇÃO NF4267'!$E$3:$FQ$3,0)+1,0)</f>
        <v>16</v>
      </c>
      <c r="F1805" s="28">
        <f t="shared" si="89"/>
        <v>3</v>
      </c>
    </row>
    <row r="1806" spans="1:6" x14ac:dyDescent="0.35">
      <c r="A1806">
        <f t="shared" si="91"/>
        <v>0</v>
      </c>
      <c r="B1806" t="str">
        <f t="shared" si="90"/>
        <v>B3</v>
      </c>
      <c r="C1806" s="10" t="s">
        <v>123</v>
      </c>
      <c r="D1806" s="18">
        <f>VLOOKUP(C1806,'DISTRIBUIÇÃO NF4267'!$E$3:$FQ$75,MATCH(B1806,'DISTRIBUIÇÃO NF4267'!$E$3:$FQ$3,0)+1,0)</f>
        <v>0</v>
      </c>
      <c r="F1806" s="28">
        <f t="shared" si="89"/>
        <v>3</v>
      </c>
    </row>
    <row r="1807" spans="1:6" x14ac:dyDescent="0.35">
      <c r="A1807">
        <f t="shared" si="91"/>
        <v>0</v>
      </c>
      <c r="B1807" t="str">
        <f t="shared" si="90"/>
        <v>B3</v>
      </c>
      <c r="C1807" s="10" t="s">
        <v>124</v>
      </c>
      <c r="D1807" s="18">
        <f>VLOOKUP(C1807,'DISTRIBUIÇÃO NF4267'!$E$3:$FQ$75,MATCH(B1807,'DISTRIBUIÇÃO NF4267'!$E$3:$FQ$3,0)+1,0)</f>
        <v>0</v>
      </c>
      <c r="F1807" s="28">
        <f t="shared" si="89"/>
        <v>3</v>
      </c>
    </row>
    <row r="1808" spans="1:6" x14ac:dyDescent="0.35">
      <c r="A1808">
        <f t="shared" si="91"/>
        <v>0</v>
      </c>
      <c r="B1808" t="str">
        <f t="shared" si="90"/>
        <v>B3</v>
      </c>
      <c r="C1808" s="11" t="s">
        <v>16</v>
      </c>
      <c r="D1808" s="18">
        <f>VLOOKUP(C1808,'DISTRIBUIÇÃO NF4267'!$E$3:$FQ$75,MATCH(B1808,'DISTRIBUIÇÃO NF4267'!$E$3:$FQ$3,0)+1,0)</f>
        <v>0</v>
      </c>
      <c r="F1808" s="28">
        <f t="shared" si="89"/>
        <v>3</v>
      </c>
    </row>
    <row r="1809" spans="1:6" x14ac:dyDescent="0.35">
      <c r="A1809">
        <f t="shared" si="91"/>
        <v>0</v>
      </c>
      <c r="B1809" t="str">
        <f t="shared" si="90"/>
        <v>B3</v>
      </c>
      <c r="C1809" s="11" t="s">
        <v>17</v>
      </c>
      <c r="D1809" s="18">
        <f>VLOOKUP(C1809,'DISTRIBUIÇÃO NF4267'!$E$3:$FQ$75,MATCH(B1809,'DISTRIBUIÇÃO NF4267'!$E$3:$FQ$3,0)+1,0)</f>
        <v>9</v>
      </c>
      <c r="F1809" s="28">
        <f t="shared" si="89"/>
        <v>3</v>
      </c>
    </row>
    <row r="1810" spans="1:6" x14ac:dyDescent="0.35">
      <c r="A1810">
        <f t="shared" si="91"/>
        <v>0</v>
      </c>
      <c r="B1810" t="str">
        <f t="shared" si="90"/>
        <v>B3</v>
      </c>
      <c r="C1810" s="11" t="s">
        <v>18</v>
      </c>
      <c r="D1810" s="18">
        <f>VLOOKUP(C1810,'DISTRIBUIÇÃO NF4267'!$E$3:$FQ$75,MATCH(B1810,'DISTRIBUIÇÃO NF4267'!$E$3:$FQ$3,0)+1,0)</f>
        <v>3</v>
      </c>
      <c r="F1810" s="28">
        <f t="shared" si="89"/>
        <v>3</v>
      </c>
    </row>
    <row r="1811" spans="1:6" x14ac:dyDescent="0.35">
      <c r="A1811">
        <f t="shared" si="91"/>
        <v>0</v>
      </c>
      <c r="B1811" t="str">
        <f t="shared" si="90"/>
        <v>B3</v>
      </c>
      <c r="C1811" s="11" t="s">
        <v>19</v>
      </c>
      <c r="D1811" s="18">
        <f>VLOOKUP(C1811,'DISTRIBUIÇÃO NF4267'!$E$3:$FQ$75,MATCH(B1811,'DISTRIBUIÇÃO NF4267'!$E$3:$FQ$3,0)+1,0)</f>
        <v>3</v>
      </c>
      <c r="F1811" s="28">
        <f t="shared" si="89"/>
        <v>3</v>
      </c>
    </row>
    <row r="1812" spans="1:6" x14ac:dyDescent="0.35">
      <c r="A1812">
        <f t="shared" si="91"/>
        <v>0</v>
      </c>
      <c r="B1812" t="str">
        <f t="shared" si="90"/>
        <v>B3</v>
      </c>
      <c r="C1812" s="11" t="s">
        <v>20</v>
      </c>
      <c r="D1812" s="18">
        <f>VLOOKUP(C1812,'DISTRIBUIÇÃO NF4267'!$E$3:$FQ$75,MATCH(B1812,'DISTRIBUIÇÃO NF4267'!$E$3:$FQ$3,0)+1,0)</f>
        <v>15</v>
      </c>
      <c r="F1812" s="28">
        <f t="shared" si="89"/>
        <v>3</v>
      </c>
    </row>
    <row r="1813" spans="1:6" x14ac:dyDescent="0.35">
      <c r="A1813">
        <f t="shared" si="91"/>
        <v>0</v>
      </c>
      <c r="B1813" t="str">
        <f t="shared" si="90"/>
        <v>B3</v>
      </c>
      <c r="C1813" s="11" t="s">
        <v>21</v>
      </c>
      <c r="D1813" s="18">
        <f>VLOOKUP(C1813,'DISTRIBUIÇÃO NF4267'!$E$3:$FQ$75,MATCH(B1813,'DISTRIBUIÇÃO NF4267'!$E$3:$FQ$3,0)+1,0)</f>
        <v>0</v>
      </c>
      <c r="F1813" s="28">
        <f t="shared" si="89"/>
        <v>3</v>
      </c>
    </row>
    <row r="1814" spans="1:6" x14ac:dyDescent="0.35">
      <c r="A1814">
        <f t="shared" si="91"/>
        <v>0</v>
      </c>
      <c r="B1814" t="str">
        <f t="shared" si="90"/>
        <v>B3</v>
      </c>
      <c r="C1814" s="12" t="s">
        <v>130</v>
      </c>
      <c r="D1814" s="18">
        <f>VLOOKUP(C1814,'DISTRIBUIÇÃO NF4267'!$E$3:$FQ$75,MATCH(B1814,'DISTRIBUIÇÃO NF4267'!$E$3:$FQ$3,0)+1,0)</f>
        <v>0</v>
      </c>
      <c r="F1814" s="28">
        <f t="shared" si="89"/>
        <v>3</v>
      </c>
    </row>
    <row r="1815" spans="1:6" x14ac:dyDescent="0.35">
      <c r="A1815">
        <f t="shared" si="91"/>
        <v>0</v>
      </c>
      <c r="B1815" t="str">
        <f t="shared" si="90"/>
        <v>B3</v>
      </c>
      <c r="C1815" s="12" t="s">
        <v>131</v>
      </c>
      <c r="D1815" s="18">
        <f>VLOOKUP(C1815,'DISTRIBUIÇÃO NF4267'!$E$3:$FQ$75,MATCH(B1815,'DISTRIBUIÇÃO NF4267'!$E$3:$FQ$3,0)+1,0)</f>
        <v>1</v>
      </c>
      <c r="F1815" s="28">
        <f t="shared" si="89"/>
        <v>3</v>
      </c>
    </row>
    <row r="1816" spans="1:6" x14ac:dyDescent="0.35">
      <c r="A1816">
        <f t="shared" si="91"/>
        <v>0</v>
      </c>
      <c r="B1816" t="str">
        <f t="shared" si="90"/>
        <v>B3</v>
      </c>
      <c r="C1816" s="12" t="s">
        <v>132</v>
      </c>
      <c r="D1816" s="18">
        <f>VLOOKUP(C1816,'DISTRIBUIÇÃO NF4267'!$E$3:$FQ$75,MATCH(B1816,'DISTRIBUIÇÃO NF4267'!$E$3:$FQ$3,0)+1,0)</f>
        <v>4</v>
      </c>
      <c r="F1816" s="28">
        <f t="shared" si="89"/>
        <v>3</v>
      </c>
    </row>
    <row r="1817" spans="1:6" x14ac:dyDescent="0.35">
      <c r="A1817">
        <f t="shared" si="91"/>
        <v>0</v>
      </c>
      <c r="B1817" t="str">
        <f t="shared" si="90"/>
        <v>B3</v>
      </c>
      <c r="C1817" s="12" t="s">
        <v>133</v>
      </c>
      <c r="D1817" s="18">
        <f>VLOOKUP(C1817,'DISTRIBUIÇÃO NF4267'!$E$3:$FQ$75,MATCH(B1817,'DISTRIBUIÇÃO NF4267'!$E$3:$FQ$3,0)+1,0)</f>
        <v>3</v>
      </c>
      <c r="F1817" s="28">
        <f t="shared" si="89"/>
        <v>3</v>
      </c>
    </row>
    <row r="1818" spans="1:6" x14ac:dyDescent="0.35">
      <c r="A1818">
        <f t="shared" si="91"/>
        <v>0</v>
      </c>
      <c r="B1818" t="str">
        <f t="shared" si="90"/>
        <v>B3</v>
      </c>
      <c r="C1818" s="12" t="s">
        <v>134</v>
      </c>
      <c r="D1818" s="18">
        <f>VLOOKUP(C1818,'DISTRIBUIÇÃO NF4267'!$E$3:$FQ$75,MATCH(B1818,'DISTRIBUIÇÃO NF4267'!$E$3:$FQ$3,0)+1,0)</f>
        <v>2</v>
      </c>
      <c r="F1818" s="28">
        <f t="shared" si="89"/>
        <v>3</v>
      </c>
    </row>
    <row r="1819" spans="1:6" x14ac:dyDescent="0.35">
      <c r="A1819">
        <f t="shared" si="91"/>
        <v>0</v>
      </c>
      <c r="B1819" t="str">
        <f t="shared" si="90"/>
        <v>B3</v>
      </c>
      <c r="C1819" s="12" t="s">
        <v>135</v>
      </c>
      <c r="D1819" s="18">
        <f>VLOOKUP(C1819,'DISTRIBUIÇÃO NF4267'!$E$3:$FQ$75,MATCH(B1819,'DISTRIBUIÇÃO NF4267'!$E$3:$FQ$3,0)+1,0)</f>
        <v>0</v>
      </c>
      <c r="F1819" s="28">
        <f t="shared" si="89"/>
        <v>3</v>
      </c>
    </row>
    <row r="1820" spans="1:6" x14ac:dyDescent="0.35">
      <c r="A1820">
        <f t="shared" si="91"/>
        <v>0</v>
      </c>
      <c r="B1820" t="str">
        <f t="shared" si="90"/>
        <v>B3</v>
      </c>
      <c r="C1820" s="13" t="s">
        <v>22</v>
      </c>
      <c r="D1820" s="18">
        <f>VLOOKUP(C1820,'DISTRIBUIÇÃO NF4267'!$E$3:$FQ$75,MATCH(B1820,'DISTRIBUIÇÃO NF4267'!$E$3:$FQ$3,0)+1,0)</f>
        <v>0</v>
      </c>
      <c r="F1820" s="28">
        <f t="shared" si="89"/>
        <v>3</v>
      </c>
    </row>
    <row r="1821" spans="1:6" x14ac:dyDescent="0.35">
      <c r="A1821">
        <f t="shared" si="91"/>
        <v>0</v>
      </c>
      <c r="B1821" t="str">
        <f t="shared" si="90"/>
        <v>B3</v>
      </c>
      <c r="C1821" s="13" t="s">
        <v>23</v>
      </c>
      <c r="D1821" s="18">
        <f>VLOOKUP(C1821,'DISTRIBUIÇÃO NF4267'!$E$3:$FQ$75,MATCH(B1821,'DISTRIBUIÇÃO NF4267'!$E$3:$FQ$3,0)+1,0)</f>
        <v>1</v>
      </c>
      <c r="F1821" s="28">
        <f t="shared" si="89"/>
        <v>3</v>
      </c>
    </row>
    <row r="1822" spans="1:6" x14ac:dyDescent="0.35">
      <c r="A1822">
        <f t="shared" si="91"/>
        <v>0</v>
      </c>
      <c r="B1822" t="str">
        <f t="shared" si="90"/>
        <v>B3</v>
      </c>
      <c r="C1822" s="13" t="s">
        <v>24</v>
      </c>
      <c r="D1822" s="18">
        <f>VLOOKUP(C1822,'DISTRIBUIÇÃO NF4267'!$E$3:$FQ$75,MATCH(B1822,'DISTRIBUIÇÃO NF4267'!$E$3:$FQ$3,0)+1,0)</f>
        <v>6</v>
      </c>
      <c r="F1822" s="28">
        <f t="shared" si="89"/>
        <v>3</v>
      </c>
    </row>
    <row r="1823" spans="1:6" x14ac:dyDescent="0.35">
      <c r="A1823">
        <f t="shared" si="91"/>
        <v>0</v>
      </c>
      <c r="B1823" t="str">
        <f t="shared" si="90"/>
        <v>B3</v>
      </c>
      <c r="C1823" s="13" t="s">
        <v>25</v>
      </c>
      <c r="D1823" s="18">
        <f>VLOOKUP(C1823,'DISTRIBUIÇÃO NF4267'!$E$3:$FQ$75,MATCH(B1823,'DISTRIBUIÇÃO NF4267'!$E$3:$FQ$3,0)+1,0)</f>
        <v>2</v>
      </c>
      <c r="F1823" s="28">
        <f t="shared" si="89"/>
        <v>3</v>
      </c>
    </row>
    <row r="1824" spans="1:6" x14ac:dyDescent="0.35">
      <c r="A1824">
        <f t="shared" si="91"/>
        <v>0</v>
      </c>
      <c r="B1824" t="str">
        <f t="shared" si="90"/>
        <v>B3</v>
      </c>
      <c r="C1824" s="13" t="s">
        <v>26</v>
      </c>
      <c r="D1824" s="18">
        <f>VLOOKUP(C1824,'DISTRIBUIÇÃO NF4267'!$E$3:$FQ$75,MATCH(B1824,'DISTRIBUIÇÃO NF4267'!$E$3:$FQ$3,0)+1,0)</f>
        <v>1</v>
      </c>
      <c r="F1824" s="28">
        <f t="shared" si="89"/>
        <v>3</v>
      </c>
    </row>
    <row r="1825" spans="1:6" x14ac:dyDescent="0.35">
      <c r="A1825">
        <f t="shared" si="91"/>
        <v>0</v>
      </c>
      <c r="B1825" t="str">
        <f t="shared" si="90"/>
        <v>B3</v>
      </c>
      <c r="C1825" s="13" t="s">
        <v>27</v>
      </c>
      <c r="D1825" s="18">
        <f>VLOOKUP(C1825,'DISTRIBUIÇÃO NF4267'!$E$3:$FQ$75,MATCH(B1825,'DISTRIBUIÇÃO NF4267'!$E$3:$FQ$3,0)+1,0)</f>
        <v>0</v>
      </c>
      <c r="F1825" s="28">
        <f t="shared" si="89"/>
        <v>3</v>
      </c>
    </row>
    <row r="1826" spans="1:6" x14ac:dyDescent="0.35">
      <c r="A1826">
        <f t="shared" si="91"/>
        <v>0</v>
      </c>
      <c r="B1826" t="str">
        <f t="shared" si="90"/>
        <v>B3</v>
      </c>
      <c r="C1826" s="14" t="s">
        <v>138</v>
      </c>
      <c r="D1826" s="18">
        <f>VLOOKUP(C1826,'DISTRIBUIÇÃO NF4267'!$E$3:$FQ$75,MATCH(B1826,'DISTRIBUIÇÃO NF4267'!$E$3:$FQ$3,0)+1,0)</f>
        <v>0</v>
      </c>
      <c r="F1826" s="28">
        <f t="shared" si="89"/>
        <v>3</v>
      </c>
    </row>
    <row r="1827" spans="1:6" x14ac:dyDescent="0.35">
      <c r="A1827">
        <f t="shared" si="91"/>
        <v>0</v>
      </c>
      <c r="B1827" t="str">
        <f t="shared" si="90"/>
        <v>B3</v>
      </c>
      <c r="C1827" s="14" t="s">
        <v>139</v>
      </c>
      <c r="D1827" s="18">
        <f>VLOOKUP(C1827,'DISTRIBUIÇÃO NF4267'!$E$3:$FQ$75,MATCH(B1827,'DISTRIBUIÇÃO NF4267'!$E$3:$FQ$3,0)+1,0)</f>
        <v>4</v>
      </c>
      <c r="F1827" s="28">
        <f t="shared" si="89"/>
        <v>3</v>
      </c>
    </row>
    <row r="1828" spans="1:6" x14ac:dyDescent="0.35">
      <c r="A1828">
        <f t="shared" si="91"/>
        <v>0</v>
      </c>
      <c r="B1828" t="str">
        <f t="shared" si="90"/>
        <v>B3</v>
      </c>
      <c r="C1828" s="14" t="s">
        <v>140</v>
      </c>
      <c r="D1828" s="18">
        <f>VLOOKUP(C1828,'DISTRIBUIÇÃO NF4267'!$E$3:$FQ$75,MATCH(B1828,'DISTRIBUIÇÃO NF4267'!$E$3:$FQ$3,0)+1,0)</f>
        <v>8</v>
      </c>
      <c r="F1828" s="28">
        <f t="shared" si="89"/>
        <v>3</v>
      </c>
    </row>
    <row r="1829" spans="1:6" x14ac:dyDescent="0.35">
      <c r="A1829">
        <f t="shared" si="91"/>
        <v>0</v>
      </c>
      <c r="B1829" t="str">
        <f t="shared" si="90"/>
        <v>B3</v>
      </c>
      <c r="C1829" s="14" t="s">
        <v>141</v>
      </c>
      <c r="D1829" s="18">
        <f>VLOOKUP(C1829,'DISTRIBUIÇÃO NF4267'!$E$3:$FQ$75,MATCH(B1829,'DISTRIBUIÇÃO NF4267'!$E$3:$FQ$3,0)+1,0)</f>
        <v>4</v>
      </c>
      <c r="F1829" s="28">
        <f t="shared" si="89"/>
        <v>3</v>
      </c>
    </row>
    <row r="1830" spans="1:6" x14ac:dyDescent="0.35">
      <c r="A1830">
        <f t="shared" si="91"/>
        <v>0</v>
      </c>
      <c r="B1830" t="str">
        <f t="shared" si="90"/>
        <v>B3</v>
      </c>
      <c r="C1830" s="14" t="s">
        <v>142</v>
      </c>
      <c r="D1830" s="18">
        <f>VLOOKUP(C1830,'DISTRIBUIÇÃO NF4267'!$E$3:$FQ$75,MATCH(B1830,'DISTRIBUIÇÃO NF4267'!$E$3:$FQ$3,0)+1,0)</f>
        <v>4</v>
      </c>
      <c r="F1830" s="28">
        <f t="shared" si="89"/>
        <v>3</v>
      </c>
    </row>
    <row r="1831" spans="1:6" x14ac:dyDescent="0.35">
      <c r="A1831">
        <f t="shared" si="91"/>
        <v>0</v>
      </c>
      <c r="B1831" t="str">
        <f t="shared" si="90"/>
        <v>B3</v>
      </c>
      <c r="C1831" s="14" t="s">
        <v>143</v>
      </c>
      <c r="D1831" s="18">
        <f>VLOOKUP(C1831,'DISTRIBUIÇÃO NF4267'!$E$3:$FQ$75,MATCH(B1831,'DISTRIBUIÇÃO NF4267'!$E$3:$FQ$3,0)+1,0)</f>
        <v>0</v>
      </c>
      <c r="F1831" s="28">
        <f t="shared" si="89"/>
        <v>3</v>
      </c>
    </row>
    <row r="1832" spans="1:6" x14ac:dyDescent="0.35">
      <c r="A1832">
        <f t="shared" si="91"/>
        <v>0</v>
      </c>
      <c r="B1832" t="str">
        <f t="shared" si="90"/>
        <v>B3</v>
      </c>
      <c r="C1832" s="15" t="s">
        <v>145</v>
      </c>
      <c r="D1832" s="18">
        <f>VLOOKUP(C1832,'DISTRIBUIÇÃO NF4267'!$E$3:$FQ$75,MATCH(B1832,'DISTRIBUIÇÃO NF4267'!$E$3:$FQ$3,0)+1,0)</f>
        <v>0</v>
      </c>
      <c r="F1832" s="28">
        <f t="shared" si="89"/>
        <v>3</v>
      </c>
    </row>
    <row r="1833" spans="1:6" x14ac:dyDescent="0.35">
      <c r="A1833">
        <f t="shared" si="91"/>
        <v>0</v>
      </c>
      <c r="B1833" t="str">
        <f t="shared" si="90"/>
        <v>B3</v>
      </c>
      <c r="C1833" s="15" t="s">
        <v>146</v>
      </c>
      <c r="D1833" s="18">
        <f>VLOOKUP(C1833,'DISTRIBUIÇÃO NF4267'!$E$3:$FQ$75,MATCH(B1833,'DISTRIBUIÇÃO NF4267'!$E$3:$FQ$3,0)+1,0)</f>
        <v>2</v>
      </c>
      <c r="F1833" s="28">
        <f t="shared" si="89"/>
        <v>3</v>
      </c>
    </row>
    <row r="1834" spans="1:6" x14ac:dyDescent="0.35">
      <c r="A1834">
        <f t="shared" si="91"/>
        <v>0</v>
      </c>
      <c r="B1834" t="str">
        <f t="shared" si="90"/>
        <v>B3</v>
      </c>
      <c r="C1834" s="15" t="s">
        <v>147</v>
      </c>
      <c r="D1834" s="18">
        <f>VLOOKUP(C1834,'DISTRIBUIÇÃO NF4267'!$E$3:$FQ$75,MATCH(B1834,'DISTRIBUIÇÃO NF4267'!$E$3:$FQ$3,0)+1,0)</f>
        <v>4</v>
      </c>
      <c r="F1834" s="28">
        <f t="shared" si="89"/>
        <v>3</v>
      </c>
    </row>
    <row r="1835" spans="1:6" x14ac:dyDescent="0.35">
      <c r="A1835">
        <f t="shared" si="91"/>
        <v>0</v>
      </c>
      <c r="B1835" t="str">
        <f t="shared" si="90"/>
        <v>B3</v>
      </c>
      <c r="C1835" s="15" t="s">
        <v>148</v>
      </c>
      <c r="D1835" s="18">
        <f>VLOOKUP(C1835,'DISTRIBUIÇÃO NF4267'!$E$3:$FQ$75,MATCH(B1835,'DISTRIBUIÇÃO NF4267'!$E$3:$FQ$3,0)+1,0)</f>
        <v>2</v>
      </c>
      <c r="F1835" s="28">
        <f t="shared" si="89"/>
        <v>3</v>
      </c>
    </row>
    <row r="1836" spans="1:6" x14ac:dyDescent="0.35">
      <c r="A1836">
        <f t="shared" si="91"/>
        <v>0</v>
      </c>
      <c r="B1836" t="str">
        <f t="shared" si="90"/>
        <v>B3</v>
      </c>
      <c r="C1836" s="15" t="s">
        <v>149</v>
      </c>
      <c r="D1836" s="18">
        <f>VLOOKUP(C1836,'DISTRIBUIÇÃO NF4267'!$E$3:$FQ$75,MATCH(B1836,'DISTRIBUIÇÃO NF4267'!$E$3:$FQ$3,0)+1,0)</f>
        <v>2</v>
      </c>
      <c r="F1836" s="28">
        <f t="shared" si="89"/>
        <v>3</v>
      </c>
    </row>
    <row r="1837" spans="1:6" x14ac:dyDescent="0.35">
      <c r="A1837">
        <f t="shared" si="91"/>
        <v>0</v>
      </c>
      <c r="B1837" t="str">
        <f t="shared" si="90"/>
        <v>B3</v>
      </c>
      <c r="C1837" s="15" t="s">
        <v>150</v>
      </c>
      <c r="D1837" s="18">
        <f>VLOOKUP(C1837,'DISTRIBUIÇÃO NF4267'!$E$3:$FQ$75,MATCH(B1837,'DISTRIBUIÇÃO NF4267'!$E$3:$FQ$3,0)+1,0)</f>
        <v>0</v>
      </c>
      <c r="F1837" s="28">
        <f t="shared" si="89"/>
        <v>3</v>
      </c>
    </row>
    <row r="1838" spans="1:6" x14ac:dyDescent="0.35">
      <c r="A1838">
        <f t="shared" si="91"/>
        <v>0</v>
      </c>
      <c r="B1838" t="s">
        <v>52</v>
      </c>
      <c r="C1838" s="7" t="s">
        <v>98</v>
      </c>
      <c r="D1838" s="18">
        <f>VLOOKUP(C1838,'DISTRIBUIÇÃO NF4267'!$E$3:$FQ$75,MATCH(B1838,'DISTRIBUIÇÃO NF4267'!$E$3:$FQ$3,0)+1,0)</f>
        <v>0</v>
      </c>
      <c r="F1838" s="28">
        <f t="shared" si="89"/>
        <v>3</v>
      </c>
    </row>
    <row r="1839" spans="1:6" x14ac:dyDescent="0.35">
      <c r="A1839">
        <f t="shared" si="91"/>
        <v>0</v>
      </c>
      <c r="B1839" t="str">
        <f>B1838</f>
        <v>O2</v>
      </c>
      <c r="C1839" s="7" t="s">
        <v>99</v>
      </c>
      <c r="D1839" s="18">
        <f>VLOOKUP(C1839,'DISTRIBUIÇÃO NF4267'!$E$3:$FQ$75,MATCH(B1839,'DISTRIBUIÇÃO NF4267'!$E$3:$FQ$3,0)+1,0)</f>
        <v>4</v>
      </c>
      <c r="F1839" s="28">
        <f t="shared" si="89"/>
        <v>3</v>
      </c>
    </row>
    <row r="1840" spans="1:6" x14ac:dyDescent="0.35">
      <c r="A1840">
        <f t="shared" si="91"/>
        <v>0</v>
      </c>
      <c r="B1840" t="str">
        <f t="shared" ref="B1840:B1891" si="92">B1839</f>
        <v>O2</v>
      </c>
      <c r="C1840" s="7" t="s">
        <v>100</v>
      </c>
      <c r="D1840" s="18">
        <f>VLOOKUP(C1840,'DISTRIBUIÇÃO NF4267'!$E$3:$FQ$75,MATCH(B1840,'DISTRIBUIÇÃO NF4267'!$E$3:$FQ$3,0)+1,0)</f>
        <v>8</v>
      </c>
      <c r="F1840" s="28">
        <f t="shared" si="89"/>
        <v>3</v>
      </c>
    </row>
    <row r="1841" spans="1:6" x14ac:dyDescent="0.35">
      <c r="A1841">
        <f t="shared" si="91"/>
        <v>0</v>
      </c>
      <c r="B1841" t="str">
        <f t="shared" si="92"/>
        <v>O2</v>
      </c>
      <c r="C1841" s="7" t="s">
        <v>101</v>
      </c>
      <c r="D1841" s="18">
        <f>VLOOKUP(C1841,'DISTRIBUIÇÃO NF4267'!$E$3:$FQ$75,MATCH(B1841,'DISTRIBUIÇÃO NF4267'!$E$3:$FQ$3,0)+1,0)</f>
        <v>4</v>
      </c>
      <c r="F1841" s="28">
        <f t="shared" si="89"/>
        <v>3</v>
      </c>
    </row>
    <row r="1842" spans="1:6" x14ac:dyDescent="0.35">
      <c r="A1842">
        <f t="shared" si="91"/>
        <v>0</v>
      </c>
      <c r="B1842" t="str">
        <f t="shared" si="92"/>
        <v>O2</v>
      </c>
      <c r="C1842" s="7" t="s">
        <v>102</v>
      </c>
      <c r="D1842" s="18">
        <f>VLOOKUP(C1842,'DISTRIBUIÇÃO NF4267'!$E$3:$FQ$75,MATCH(B1842,'DISTRIBUIÇÃO NF4267'!$E$3:$FQ$3,0)+1,0)</f>
        <v>4</v>
      </c>
      <c r="F1842" s="28">
        <f t="shared" si="89"/>
        <v>3</v>
      </c>
    </row>
    <row r="1843" spans="1:6" x14ac:dyDescent="0.35">
      <c r="A1843">
        <f t="shared" si="91"/>
        <v>0</v>
      </c>
      <c r="B1843" t="str">
        <f t="shared" si="92"/>
        <v>O2</v>
      </c>
      <c r="C1843" s="7" t="s">
        <v>103</v>
      </c>
      <c r="D1843" s="18">
        <f>VLOOKUP(C1843,'DISTRIBUIÇÃO NF4267'!$E$3:$FQ$75,MATCH(B1843,'DISTRIBUIÇÃO NF4267'!$E$3:$FQ$3,0)+1,0)</f>
        <v>0</v>
      </c>
      <c r="F1843" s="28">
        <f t="shared" si="89"/>
        <v>3</v>
      </c>
    </row>
    <row r="1844" spans="1:6" x14ac:dyDescent="0.35">
      <c r="A1844">
        <f t="shared" si="91"/>
        <v>0</v>
      </c>
      <c r="B1844" t="str">
        <f t="shared" si="92"/>
        <v>O2</v>
      </c>
      <c r="C1844" s="8" t="s">
        <v>107</v>
      </c>
      <c r="D1844" s="18">
        <f>VLOOKUP(C1844,'DISTRIBUIÇÃO NF4267'!$E$3:$FQ$75,MATCH(B1844,'DISTRIBUIÇÃO NF4267'!$E$3:$FQ$3,0)+1,0)</f>
        <v>0</v>
      </c>
      <c r="F1844" s="28">
        <f t="shared" si="89"/>
        <v>3</v>
      </c>
    </row>
    <row r="1845" spans="1:6" x14ac:dyDescent="0.35">
      <c r="A1845">
        <f t="shared" si="91"/>
        <v>0</v>
      </c>
      <c r="B1845" t="str">
        <f t="shared" si="92"/>
        <v>O2</v>
      </c>
      <c r="C1845" s="8" t="s">
        <v>108</v>
      </c>
      <c r="D1845" s="18">
        <f>VLOOKUP(C1845,'DISTRIBUIÇÃO NF4267'!$E$3:$FQ$75,MATCH(B1845,'DISTRIBUIÇÃO NF4267'!$E$3:$FQ$3,0)+1,0)</f>
        <v>2</v>
      </c>
      <c r="F1845" s="28">
        <f t="shared" si="89"/>
        <v>3</v>
      </c>
    </row>
    <row r="1846" spans="1:6" x14ac:dyDescent="0.35">
      <c r="A1846">
        <f t="shared" si="91"/>
        <v>0</v>
      </c>
      <c r="B1846" t="str">
        <f t="shared" si="92"/>
        <v>O2</v>
      </c>
      <c r="C1846" s="8" t="s">
        <v>109</v>
      </c>
      <c r="D1846" s="18">
        <f>VLOOKUP(C1846,'DISTRIBUIÇÃO NF4267'!$E$3:$FQ$75,MATCH(B1846,'DISTRIBUIÇÃO NF4267'!$E$3:$FQ$3,0)+1,0)</f>
        <v>4</v>
      </c>
      <c r="F1846" s="28">
        <f t="shared" si="89"/>
        <v>3</v>
      </c>
    </row>
    <row r="1847" spans="1:6" x14ac:dyDescent="0.35">
      <c r="A1847">
        <f t="shared" si="91"/>
        <v>0</v>
      </c>
      <c r="B1847" t="str">
        <f t="shared" si="92"/>
        <v>O2</v>
      </c>
      <c r="C1847" s="8" t="s">
        <v>110</v>
      </c>
      <c r="D1847" s="18">
        <f>VLOOKUP(C1847,'DISTRIBUIÇÃO NF4267'!$E$3:$FQ$75,MATCH(B1847,'DISTRIBUIÇÃO NF4267'!$E$3:$FQ$3,0)+1,0)</f>
        <v>2</v>
      </c>
      <c r="F1847" s="28">
        <f t="shared" si="89"/>
        <v>3</v>
      </c>
    </row>
    <row r="1848" spans="1:6" x14ac:dyDescent="0.35">
      <c r="A1848">
        <f t="shared" si="91"/>
        <v>0</v>
      </c>
      <c r="B1848" t="str">
        <f t="shared" si="92"/>
        <v>O2</v>
      </c>
      <c r="C1848" s="8" t="s">
        <v>111</v>
      </c>
      <c r="D1848" s="18">
        <f>VLOOKUP(C1848,'DISTRIBUIÇÃO NF4267'!$E$3:$FQ$75,MATCH(B1848,'DISTRIBUIÇÃO NF4267'!$E$3:$FQ$3,0)+1,0)</f>
        <v>2</v>
      </c>
      <c r="F1848" s="28">
        <f t="shared" ref="F1848:F1911" si="93">ROUNDUP(SUMIFS(D:D,B:B,B1848)/80,0)</f>
        <v>3</v>
      </c>
    </row>
    <row r="1849" spans="1:6" x14ac:dyDescent="0.35">
      <c r="A1849">
        <f t="shared" si="91"/>
        <v>0</v>
      </c>
      <c r="B1849" t="str">
        <f t="shared" si="92"/>
        <v>O2</v>
      </c>
      <c r="C1849" s="8" t="s">
        <v>112</v>
      </c>
      <c r="D1849" s="18">
        <f>VLOOKUP(C1849,'DISTRIBUIÇÃO NF4267'!$E$3:$FQ$75,MATCH(B1849,'DISTRIBUIÇÃO NF4267'!$E$3:$FQ$3,0)+1,0)</f>
        <v>0</v>
      </c>
      <c r="F1849" s="28">
        <f t="shared" si="93"/>
        <v>3</v>
      </c>
    </row>
    <row r="1850" spans="1:6" x14ac:dyDescent="0.35">
      <c r="A1850">
        <f t="shared" si="91"/>
        <v>0</v>
      </c>
      <c r="B1850" t="str">
        <f t="shared" si="92"/>
        <v>O2</v>
      </c>
      <c r="C1850" s="9" t="s">
        <v>113</v>
      </c>
      <c r="D1850" s="18">
        <f>VLOOKUP(C1850,'DISTRIBUIÇÃO NF4267'!$E$3:$FQ$75,MATCH(B1850,'DISTRIBUIÇÃO NF4267'!$E$3:$FQ$3,0)+1,0)</f>
        <v>0</v>
      </c>
      <c r="F1850" s="28">
        <f t="shared" si="93"/>
        <v>3</v>
      </c>
    </row>
    <row r="1851" spans="1:6" x14ac:dyDescent="0.35">
      <c r="A1851">
        <f t="shared" si="91"/>
        <v>0</v>
      </c>
      <c r="B1851" t="str">
        <f t="shared" si="92"/>
        <v>O2</v>
      </c>
      <c r="C1851" s="9" t="s">
        <v>114</v>
      </c>
      <c r="D1851" s="18">
        <f>VLOOKUP(C1851,'DISTRIBUIÇÃO NF4267'!$E$3:$FQ$75,MATCH(B1851,'DISTRIBUIÇÃO NF4267'!$E$3:$FQ$3,0)+1,0)</f>
        <v>6</v>
      </c>
      <c r="F1851" s="28">
        <f t="shared" si="93"/>
        <v>3</v>
      </c>
    </row>
    <row r="1852" spans="1:6" x14ac:dyDescent="0.35">
      <c r="A1852">
        <f t="shared" si="91"/>
        <v>0</v>
      </c>
      <c r="B1852" t="str">
        <f t="shared" si="92"/>
        <v>O2</v>
      </c>
      <c r="C1852" s="9" t="s">
        <v>115</v>
      </c>
      <c r="D1852" s="18">
        <f>VLOOKUP(C1852,'DISTRIBUIÇÃO NF4267'!$E$3:$FQ$75,MATCH(B1852,'DISTRIBUIÇÃO NF4267'!$E$3:$FQ$3,0)+1,0)</f>
        <v>8</v>
      </c>
      <c r="F1852" s="28">
        <f t="shared" si="93"/>
        <v>3</v>
      </c>
    </row>
    <row r="1853" spans="1:6" x14ac:dyDescent="0.35">
      <c r="A1853">
        <f t="shared" si="91"/>
        <v>0</v>
      </c>
      <c r="B1853" t="str">
        <f t="shared" si="92"/>
        <v>O2</v>
      </c>
      <c r="C1853" s="9" t="s">
        <v>116</v>
      </c>
      <c r="D1853" s="18">
        <f>VLOOKUP(C1853,'DISTRIBUIÇÃO NF4267'!$E$3:$FQ$75,MATCH(B1853,'DISTRIBUIÇÃO NF4267'!$E$3:$FQ$3,0)+1,0)</f>
        <v>4</v>
      </c>
      <c r="F1853" s="28">
        <f t="shared" si="93"/>
        <v>3</v>
      </c>
    </row>
    <row r="1854" spans="1:6" x14ac:dyDescent="0.35">
      <c r="A1854">
        <f t="shared" si="91"/>
        <v>0</v>
      </c>
      <c r="B1854" t="str">
        <f t="shared" si="92"/>
        <v>O2</v>
      </c>
      <c r="C1854" s="9" t="s">
        <v>117</v>
      </c>
      <c r="D1854" s="18">
        <f>VLOOKUP(C1854,'DISTRIBUIÇÃO NF4267'!$E$3:$FQ$75,MATCH(B1854,'DISTRIBUIÇÃO NF4267'!$E$3:$FQ$3,0)+1,0)</f>
        <v>2</v>
      </c>
      <c r="F1854" s="28">
        <f t="shared" si="93"/>
        <v>3</v>
      </c>
    </row>
    <row r="1855" spans="1:6" x14ac:dyDescent="0.35">
      <c r="A1855">
        <f t="shared" si="91"/>
        <v>0</v>
      </c>
      <c r="B1855" t="str">
        <f t="shared" si="92"/>
        <v>O2</v>
      </c>
      <c r="C1855" s="9" t="s">
        <v>118</v>
      </c>
      <c r="D1855" s="18">
        <f>VLOOKUP(C1855,'DISTRIBUIÇÃO NF4267'!$E$3:$FQ$75,MATCH(B1855,'DISTRIBUIÇÃO NF4267'!$E$3:$FQ$3,0)+1,0)</f>
        <v>0</v>
      </c>
      <c r="F1855" s="28">
        <f t="shared" si="93"/>
        <v>3</v>
      </c>
    </row>
    <row r="1856" spans="1:6" x14ac:dyDescent="0.35">
      <c r="A1856">
        <f t="shared" si="91"/>
        <v>0</v>
      </c>
      <c r="B1856" t="str">
        <f t="shared" si="92"/>
        <v>O2</v>
      </c>
      <c r="C1856" s="10" t="s">
        <v>119</v>
      </c>
      <c r="D1856" s="18">
        <f>VLOOKUP(C1856,'DISTRIBUIÇÃO NF4267'!$E$3:$FQ$75,MATCH(B1856,'DISTRIBUIÇÃO NF4267'!$E$3:$FQ$3,0)+1,0)</f>
        <v>0</v>
      </c>
      <c r="F1856" s="28">
        <f t="shared" si="93"/>
        <v>3</v>
      </c>
    </row>
    <row r="1857" spans="1:6" x14ac:dyDescent="0.35">
      <c r="A1857">
        <f t="shared" si="91"/>
        <v>0</v>
      </c>
      <c r="B1857" t="str">
        <f t="shared" si="92"/>
        <v>O2</v>
      </c>
      <c r="C1857" s="10" t="s">
        <v>120</v>
      </c>
      <c r="D1857" s="18">
        <f>VLOOKUP(C1857,'DISTRIBUIÇÃO NF4267'!$E$3:$FQ$75,MATCH(B1857,'DISTRIBUIÇÃO NF4267'!$E$3:$FQ$3,0)+1,0)</f>
        <v>48</v>
      </c>
      <c r="F1857" s="28">
        <f t="shared" si="93"/>
        <v>3</v>
      </c>
    </row>
    <row r="1858" spans="1:6" x14ac:dyDescent="0.35">
      <c r="A1858">
        <f t="shared" ref="A1858:A1921" si="94">IF(ISERROR(VLOOKUP(C1858,I:I,1,0)),0,1)</f>
        <v>0</v>
      </c>
      <c r="B1858" t="str">
        <f t="shared" si="92"/>
        <v>O2</v>
      </c>
      <c r="C1858" s="10" t="s">
        <v>121</v>
      </c>
      <c r="D1858" s="18">
        <f>VLOOKUP(C1858,'DISTRIBUIÇÃO NF4267'!$E$3:$FQ$75,MATCH(B1858,'DISTRIBUIÇÃO NF4267'!$E$3:$FQ$3,0)+1,0)</f>
        <v>16</v>
      </c>
      <c r="F1858" s="28">
        <f t="shared" si="93"/>
        <v>3</v>
      </c>
    </row>
    <row r="1859" spans="1:6" x14ac:dyDescent="0.35">
      <c r="A1859">
        <f t="shared" si="94"/>
        <v>0</v>
      </c>
      <c r="B1859" t="str">
        <f t="shared" si="92"/>
        <v>O2</v>
      </c>
      <c r="C1859" s="10" t="s">
        <v>122</v>
      </c>
      <c r="D1859" s="18">
        <f>VLOOKUP(C1859,'DISTRIBUIÇÃO NF4267'!$E$3:$FQ$75,MATCH(B1859,'DISTRIBUIÇÃO NF4267'!$E$3:$FQ$3,0)+1,0)</f>
        <v>16</v>
      </c>
      <c r="F1859" s="28">
        <f t="shared" si="93"/>
        <v>3</v>
      </c>
    </row>
    <row r="1860" spans="1:6" x14ac:dyDescent="0.35">
      <c r="A1860">
        <f t="shared" si="94"/>
        <v>0</v>
      </c>
      <c r="B1860" t="str">
        <f t="shared" si="92"/>
        <v>O2</v>
      </c>
      <c r="C1860" s="10" t="s">
        <v>123</v>
      </c>
      <c r="D1860" s="18">
        <f>VLOOKUP(C1860,'DISTRIBUIÇÃO NF4267'!$E$3:$FQ$75,MATCH(B1860,'DISTRIBUIÇÃO NF4267'!$E$3:$FQ$3,0)+1,0)</f>
        <v>0</v>
      </c>
      <c r="F1860" s="28">
        <f t="shared" si="93"/>
        <v>3</v>
      </c>
    </row>
    <row r="1861" spans="1:6" x14ac:dyDescent="0.35">
      <c r="A1861">
        <f t="shared" si="94"/>
        <v>0</v>
      </c>
      <c r="B1861" t="str">
        <f t="shared" si="92"/>
        <v>O2</v>
      </c>
      <c r="C1861" s="10" t="s">
        <v>124</v>
      </c>
      <c r="D1861" s="18">
        <f>VLOOKUP(C1861,'DISTRIBUIÇÃO NF4267'!$E$3:$FQ$75,MATCH(B1861,'DISTRIBUIÇÃO NF4267'!$E$3:$FQ$3,0)+1,0)</f>
        <v>0</v>
      </c>
      <c r="F1861" s="28">
        <f t="shared" si="93"/>
        <v>3</v>
      </c>
    </row>
    <row r="1862" spans="1:6" x14ac:dyDescent="0.35">
      <c r="A1862">
        <f t="shared" si="94"/>
        <v>0</v>
      </c>
      <c r="B1862" t="str">
        <f t="shared" si="92"/>
        <v>O2</v>
      </c>
      <c r="C1862" s="11" t="s">
        <v>16</v>
      </c>
      <c r="D1862" s="18">
        <f>VLOOKUP(C1862,'DISTRIBUIÇÃO NF4267'!$E$3:$FQ$75,MATCH(B1862,'DISTRIBUIÇÃO NF4267'!$E$3:$FQ$3,0)+1,0)</f>
        <v>0</v>
      </c>
      <c r="F1862" s="28">
        <f t="shared" si="93"/>
        <v>3</v>
      </c>
    </row>
    <row r="1863" spans="1:6" x14ac:dyDescent="0.35">
      <c r="A1863">
        <f t="shared" si="94"/>
        <v>0</v>
      </c>
      <c r="B1863" t="str">
        <f t="shared" si="92"/>
        <v>O2</v>
      </c>
      <c r="C1863" s="11" t="s">
        <v>17</v>
      </c>
      <c r="D1863" s="18">
        <f>VLOOKUP(C1863,'DISTRIBUIÇÃO NF4267'!$E$3:$FQ$75,MATCH(B1863,'DISTRIBUIÇÃO NF4267'!$E$3:$FQ$3,0)+1,0)</f>
        <v>9</v>
      </c>
      <c r="F1863" s="28">
        <f t="shared" si="93"/>
        <v>3</v>
      </c>
    </row>
    <row r="1864" spans="1:6" x14ac:dyDescent="0.35">
      <c r="A1864">
        <f t="shared" si="94"/>
        <v>0</v>
      </c>
      <c r="B1864" t="str">
        <f t="shared" si="92"/>
        <v>O2</v>
      </c>
      <c r="C1864" s="11" t="s">
        <v>18</v>
      </c>
      <c r="D1864" s="18">
        <f>VLOOKUP(C1864,'DISTRIBUIÇÃO NF4267'!$E$3:$FQ$75,MATCH(B1864,'DISTRIBUIÇÃO NF4267'!$E$3:$FQ$3,0)+1,0)</f>
        <v>3</v>
      </c>
      <c r="F1864" s="28">
        <f t="shared" si="93"/>
        <v>3</v>
      </c>
    </row>
    <row r="1865" spans="1:6" x14ac:dyDescent="0.35">
      <c r="A1865">
        <f t="shared" si="94"/>
        <v>0</v>
      </c>
      <c r="B1865" t="str">
        <f t="shared" si="92"/>
        <v>O2</v>
      </c>
      <c r="C1865" s="11" t="s">
        <v>19</v>
      </c>
      <c r="D1865" s="18">
        <f>VLOOKUP(C1865,'DISTRIBUIÇÃO NF4267'!$E$3:$FQ$75,MATCH(B1865,'DISTRIBUIÇÃO NF4267'!$E$3:$FQ$3,0)+1,0)</f>
        <v>3</v>
      </c>
      <c r="F1865" s="28">
        <f t="shared" si="93"/>
        <v>3</v>
      </c>
    </row>
    <row r="1866" spans="1:6" x14ac:dyDescent="0.35">
      <c r="A1866">
        <f t="shared" si="94"/>
        <v>0</v>
      </c>
      <c r="B1866" t="str">
        <f t="shared" si="92"/>
        <v>O2</v>
      </c>
      <c r="C1866" s="11" t="s">
        <v>20</v>
      </c>
      <c r="D1866" s="18">
        <f>VLOOKUP(C1866,'DISTRIBUIÇÃO NF4267'!$E$3:$FQ$75,MATCH(B1866,'DISTRIBUIÇÃO NF4267'!$E$3:$FQ$3,0)+1,0)</f>
        <v>15</v>
      </c>
      <c r="F1866" s="28">
        <f t="shared" si="93"/>
        <v>3</v>
      </c>
    </row>
    <row r="1867" spans="1:6" x14ac:dyDescent="0.35">
      <c r="A1867">
        <f t="shared" si="94"/>
        <v>0</v>
      </c>
      <c r="B1867" t="str">
        <f t="shared" si="92"/>
        <v>O2</v>
      </c>
      <c r="C1867" s="11" t="s">
        <v>21</v>
      </c>
      <c r="D1867" s="18">
        <f>VLOOKUP(C1867,'DISTRIBUIÇÃO NF4267'!$E$3:$FQ$75,MATCH(B1867,'DISTRIBUIÇÃO NF4267'!$E$3:$FQ$3,0)+1,0)</f>
        <v>0</v>
      </c>
      <c r="F1867" s="28">
        <f t="shared" si="93"/>
        <v>3</v>
      </c>
    </row>
    <row r="1868" spans="1:6" x14ac:dyDescent="0.35">
      <c r="A1868">
        <f t="shared" si="94"/>
        <v>0</v>
      </c>
      <c r="B1868" t="str">
        <f t="shared" si="92"/>
        <v>O2</v>
      </c>
      <c r="C1868" s="12" t="s">
        <v>130</v>
      </c>
      <c r="D1868" s="18">
        <f>VLOOKUP(C1868,'DISTRIBUIÇÃO NF4267'!$E$3:$FQ$75,MATCH(B1868,'DISTRIBUIÇÃO NF4267'!$E$3:$FQ$3,0)+1,0)</f>
        <v>0</v>
      </c>
      <c r="F1868" s="28">
        <f t="shared" si="93"/>
        <v>3</v>
      </c>
    </row>
    <row r="1869" spans="1:6" x14ac:dyDescent="0.35">
      <c r="A1869">
        <f t="shared" si="94"/>
        <v>0</v>
      </c>
      <c r="B1869" t="str">
        <f t="shared" si="92"/>
        <v>O2</v>
      </c>
      <c r="C1869" s="12" t="s">
        <v>131</v>
      </c>
      <c r="D1869" s="18">
        <f>VLOOKUP(C1869,'DISTRIBUIÇÃO NF4267'!$E$3:$FQ$75,MATCH(B1869,'DISTRIBUIÇÃO NF4267'!$E$3:$FQ$3,0)+1,0)</f>
        <v>1</v>
      </c>
      <c r="F1869" s="28">
        <f t="shared" si="93"/>
        <v>3</v>
      </c>
    </row>
    <row r="1870" spans="1:6" x14ac:dyDescent="0.35">
      <c r="A1870">
        <f t="shared" si="94"/>
        <v>0</v>
      </c>
      <c r="B1870" t="str">
        <f t="shared" si="92"/>
        <v>O2</v>
      </c>
      <c r="C1870" s="12" t="s">
        <v>132</v>
      </c>
      <c r="D1870" s="18">
        <f>VLOOKUP(C1870,'DISTRIBUIÇÃO NF4267'!$E$3:$FQ$75,MATCH(B1870,'DISTRIBUIÇÃO NF4267'!$E$3:$FQ$3,0)+1,0)</f>
        <v>4</v>
      </c>
      <c r="F1870" s="28">
        <f t="shared" si="93"/>
        <v>3</v>
      </c>
    </row>
    <row r="1871" spans="1:6" x14ac:dyDescent="0.35">
      <c r="A1871">
        <f t="shared" si="94"/>
        <v>0</v>
      </c>
      <c r="B1871" t="str">
        <f t="shared" si="92"/>
        <v>O2</v>
      </c>
      <c r="C1871" s="12" t="s">
        <v>133</v>
      </c>
      <c r="D1871" s="18">
        <f>VLOOKUP(C1871,'DISTRIBUIÇÃO NF4267'!$E$3:$FQ$75,MATCH(B1871,'DISTRIBUIÇÃO NF4267'!$E$3:$FQ$3,0)+1,0)</f>
        <v>3</v>
      </c>
      <c r="F1871" s="28">
        <f t="shared" si="93"/>
        <v>3</v>
      </c>
    </row>
    <row r="1872" spans="1:6" x14ac:dyDescent="0.35">
      <c r="A1872">
        <f t="shared" si="94"/>
        <v>0</v>
      </c>
      <c r="B1872" t="str">
        <f t="shared" si="92"/>
        <v>O2</v>
      </c>
      <c r="C1872" s="12" t="s">
        <v>134</v>
      </c>
      <c r="D1872" s="18">
        <f>VLOOKUP(C1872,'DISTRIBUIÇÃO NF4267'!$E$3:$FQ$75,MATCH(B1872,'DISTRIBUIÇÃO NF4267'!$E$3:$FQ$3,0)+1,0)</f>
        <v>2</v>
      </c>
      <c r="F1872" s="28">
        <f t="shared" si="93"/>
        <v>3</v>
      </c>
    </row>
    <row r="1873" spans="1:6" x14ac:dyDescent="0.35">
      <c r="A1873">
        <f t="shared" si="94"/>
        <v>0</v>
      </c>
      <c r="B1873" t="str">
        <f t="shared" si="92"/>
        <v>O2</v>
      </c>
      <c r="C1873" s="12" t="s">
        <v>135</v>
      </c>
      <c r="D1873" s="18">
        <f>VLOOKUP(C1873,'DISTRIBUIÇÃO NF4267'!$E$3:$FQ$75,MATCH(B1873,'DISTRIBUIÇÃO NF4267'!$E$3:$FQ$3,0)+1,0)</f>
        <v>0</v>
      </c>
      <c r="F1873" s="28">
        <f t="shared" si="93"/>
        <v>3</v>
      </c>
    </row>
    <row r="1874" spans="1:6" x14ac:dyDescent="0.35">
      <c r="A1874">
        <f t="shared" si="94"/>
        <v>0</v>
      </c>
      <c r="B1874" t="str">
        <f t="shared" si="92"/>
        <v>O2</v>
      </c>
      <c r="C1874" s="13" t="s">
        <v>22</v>
      </c>
      <c r="D1874" s="18">
        <f>VLOOKUP(C1874,'DISTRIBUIÇÃO NF4267'!$E$3:$FQ$75,MATCH(B1874,'DISTRIBUIÇÃO NF4267'!$E$3:$FQ$3,0)+1,0)</f>
        <v>0</v>
      </c>
      <c r="F1874" s="28">
        <f t="shared" si="93"/>
        <v>3</v>
      </c>
    </row>
    <row r="1875" spans="1:6" x14ac:dyDescent="0.35">
      <c r="A1875">
        <f t="shared" si="94"/>
        <v>0</v>
      </c>
      <c r="B1875" t="str">
        <f t="shared" si="92"/>
        <v>O2</v>
      </c>
      <c r="C1875" s="13" t="s">
        <v>23</v>
      </c>
      <c r="D1875" s="18">
        <f>VLOOKUP(C1875,'DISTRIBUIÇÃO NF4267'!$E$3:$FQ$75,MATCH(B1875,'DISTRIBUIÇÃO NF4267'!$E$3:$FQ$3,0)+1,0)</f>
        <v>1</v>
      </c>
      <c r="F1875" s="28">
        <f t="shared" si="93"/>
        <v>3</v>
      </c>
    </row>
    <row r="1876" spans="1:6" x14ac:dyDescent="0.35">
      <c r="A1876">
        <f t="shared" si="94"/>
        <v>0</v>
      </c>
      <c r="B1876" t="str">
        <f t="shared" si="92"/>
        <v>O2</v>
      </c>
      <c r="C1876" s="13" t="s">
        <v>24</v>
      </c>
      <c r="D1876" s="18">
        <f>VLOOKUP(C1876,'DISTRIBUIÇÃO NF4267'!$E$3:$FQ$75,MATCH(B1876,'DISTRIBUIÇÃO NF4267'!$E$3:$FQ$3,0)+1,0)</f>
        <v>6</v>
      </c>
      <c r="F1876" s="28">
        <f t="shared" si="93"/>
        <v>3</v>
      </c>
    </row>
    <row r="1877" spans="1:6" x14ac:dyDescent="0.35">
      <c r="A1877">
        <f t="shared" si="94"/>
        <v>0</v>
      </c>
      <c r="B1877" t="str">
        <f t="shared" si="92"/>
        <v>O2</v>
      </c>
      <c r="C1877" s="13" t="s">
        <v>25</v>
      </c>
      <c r="D1877" s="18">
        <f>VLOOKUP(C1877,'DISTRIBUIÇÃO NF4267'!$E$3:$FQ$75,MATCH(B1877,'DISTRIBUIÇÃO NF4267'!$E$3:$FQ$3,0)+1,0)</f>
        <v>2</v>
      </c>
      <c r="F1877" s="28">
        <f t="shared" si="93"/>
        <v>3</v>
      </c>
    </row>
    <row r="1878" spans="1:6" x14ac:dyDescent="0.35">
      <c r="A1878">
        <f t="shared" si="94"/>
        <v>0</v>
      </c>
      <c r="B1878" t="str">
        <f t="shared" si="92"/>
        <v>O2</v>
      </c>
      <c r="C1878" s="13" t="s">
        <v>26</v>
      </c>
      <c r="D1878" s="18">
        <f>VLOOKUP(C1878,'DISTRIBUIÇÃO NF4267'!$E$3:$FQ$75,MATCH(B1878,'DISTRIBUIÇÃO NF4267'!$E$3:$FQ$3,0)+1,0)</f>
        <v>1</v>
      </c>
      <c r="F1878" s="28">
        <f t="shared" si="93"/>
        <v>3</v>
      </c>
    </row>
    <row r="1879" spans="1:6" x14ac:dyDescent="0.35">
      <c r="A1879">
        <f t="shared" si="94"/>
        <v>0</v>
      </c>
      <c r="B1879" t="str">
        <f t="shared" si="92"/>
        <v>O2</v>
      </c>
      <c r="C1879" s="13" t="s">
        <v>27</v>
      </c>
      <c r="D1879" s="18">
        <f>VLOOKUP(C1879,'DISTRIBUIÇÃO NF4267'!$E$3:$FQ$75,MATCH(B1879,'DISTRIBUIÇÃO NF4267'!$E$3:$FQ$3,0)+1,0)</f>
        <v>0</v>
      </c>
      <c r="F1879" s="28">
        <f t="shared" si="93"/>
        <v>3</v>
      </c>
    </row>
    <row r="1880" spans="1:6" x14ac:dyDescent="0.35">
      <c r="A1880">
        <f t="shared" si="94"/>
        <v>0</v>
      </c>
      <c r="B1880" t="str">
        <f t="shared" si="92"/>
        <v>O2</v>
      </c>
      <c r="C1880" s="14" t="s">
        <v>138</v>
      </c>
      <c r="D1880" s="18">
        <f>VLOOKUP(C1880,'DISTRIBUIÇÃO NF4267'!$E$3:$FQ$75,MATCH(B1880,'DISTRIBUIÇÃO NF4267'!$E$3:$FQ$3,0)+1,0)</f>
        <v>0</v>
      </c>
      <c r="F1880" s="28">
        <f t="shared" si="93"/>
        <v>3</v>
      </c>
    </row>
    <row r="1881" spans="1:6" x14ac:dyDescent="0.35">
      <c r="A1881">
        <f t="shared" si="94"/>
        <v>0</v>
      </c>
      <c r="B1881" t="str">
        <f t="shared" si="92"/>
        <v>O2</v>
      </c>
      <c r="C1881" s="14" t="s">
        <v>139</v>
      </c>
      <c r="D1881" s="18">
        <f>VLOOKUP(C1881,'DISTRIBUIÇÃO NF4267'!$E$3:$FQ$75,MATCH(B1881,'DISTRIBUIÇÃO NF4267'!$E$3:$FQ$3,0)+1,0)</f>
        <v>4</v>
      </c>
      <c r="F1881" s="28">
        <f t="shared" si="93"/>
        <v>3</v>
      </c>
    </row>
    <row r="1882" spans="1:6" x14ac:dyDescent="0.35">
      <c r="A1882">
        <f t="shared" si="94"/>
        <v>0</v>
      </c>
      <c r="B1882" t="str">
        <f t="shared" si="92"/>
        <v>O2</v>
      </c>
      <c r="C1882" s="14" t="s">
        <v>140</v>
      </c>
      <c r="D1882" s="18">
        <f>VLOOKUP(C1882,'DISTRIBUIÇÃO NF4267'!$E$3:$FQ$75,MATCH(B1882,'DISTRIBUIÇÃO NF4267'!$E$3:$FQ$3,0)+1,0)</f>
        <v>8</v>
      </c>
      <c r="F1882" s="28">
        <f t="shared" si="93"/>
        <v>3</v>
      </c>
    </row>
    <row r="1883" spans="1:6" x14ac:dyDescent="0.35">
      <c r="A1883">
        <f t="shared" si="94"/>
        <v>0</v>
      </c>
      <c r="B1883" t="str">
        <f t="shared" si="92"/>
        <v>O2</v>
      </c>
      <c r="C1883" s="14" t="s">
        <v>141</v>
      </c>
      <c r="D1883" s="18">
        <f>VLOOKUP(C1883,'DISTRIBUIÇÃO NF4267'!$E$3:$FQ$75,MATCH(B1883,'DISTRIBUIÇÃO NF4267'!$E$3:$FQ$3,0)+1,0)</f>
        <v>4</v>
      </c>
      <c r="F1883" s="28">
        <f t="shared" si="93"/>
        <v>3</v>
      </c>
    </row>
    <row r="1884" spans="1:6" x14ac:dyDescent="0.35">
      <c r="A1884">
        <f t="shared" si="94"/>
        <v>0</v>
      </c>
      <c r="B1884" t="str">
        <f t="shared" si="92"/>
        <v>O2</v>
      </c>
      <c r="C1884" s="14" t="s">
        <v>142</v>
      </c>
      <c r="D1884" s="18">
        <f>VLOOKUP(C1884,'DISTRIBUIÇÃO NF4267'!$E$3:$FQ$75,MATCH(B1884,'DISTRIBUIÇÃO NF4267'!$E$3:$FQ$3,0)+1,0)</f>
        <v>4</v>
      </c>
      <c r="F1884" s="28">
        <f t="shared" si="93"/>
        <v>3</v>
      </c>
    </row>
    <row r="1885" spans="1:6" x14ac:dyDescent="0.35">
      <c r="A1885">
        <f t="shared" si="94"/>
        <v>0</v>
      </c>
      <c r="B1885" t="str">
        <f t="shared" si="92"/>
        <v>O2</v>
      </c>
      <c r="C1885" s="14" t="s">
        <v>143</v>
      </c>
      <c r="D1885" s="18">
        <f>VLOOKUP(C1885,'DISTRIBUIÇÃO NF4267'!$E$3:$FQ$75,MATCH(B1885,'DISTRIBUIÇÃO NF4267'!$E$3:$FQ$3,0)+1,0)</f>
        <v>0</v>
      </c>
      <c r="F1885" s="28">
        <f t="shared" si="93"/>
        <v>3</v>
      </c>
    </row>
    <row r="1886" spans="1:6" x14ac:dyDescent="0.35">
      <c r="A1886">
        <f t="shared" si="94"/>
        <v>0</v>
      </c>
      <c r="B1886" t="str">
        <f t="shared" si="92"/>
        <v>O2</v>
      </c>
      <c r="C1886" s="15" t="s">
        <v>145</v>
      </c>
      <c r="D1886" s="18">
        <f>VLOOKUP(C1886,'DISTRIBUIÇÃO NF4267'!$E$3:$FQ$75,MATCH(B1886,'DISTRIBUIÇÃO NF4267'!$E$3:$FQ$3,0)+1,0)</f>
        <v>0</v>
      </c>
      <c r="F1886" s="28">
        <f t="shared" si="93"/>
        <v>3</v>
      </c>
    </row>
    <row r="1887" spans="1:6" x14ac:dyDescent="0.35">
      <c r="A1887">
        <f t="shared" si="94"/>
        <v>0</v>
      </c>
      <c r="B1887" t="str">
        <f t="shared" si="92"/>
        <v>O2</v>
      </c>
      <c r="C1887" s="15" t="s">
        <v>146</v>
      </c>
      <c r="D1887" s="18">
        <f>VLOOKUP(C1887,'DISTRIBUIÇÃO NF4267'!$E$3:$FQ$75,MATCH(B1887,'DISTRIBUIÇÃO NF4267'!$E$3:$FQ$3,0)+1,0)</f>
        <v>2</v>
      </c>
      <c r="F1887" s="28">
        <f t="shared" si="93"/>
        <v>3</v>
      </c>
    </row>
    <row r="1888" spans="1:6" x14ac:dyDescent="0.35">
      <c r="A1888">
        <f t="shared" si="94"/>
        <v>0</v>
      </c>
      <c r="B1888" t="str">
        <f t="shared" si="92"/>
        <v>O2</v>
      </c>
      <c r="C1888" s="15" t="s">
        <v>147</v>
      </c>
      <c r="D1888" s="18">
        <f>VLOOKUP(C1888,'DISTRIBUIÇÃO NF4267'!$E$3:$FQ$75,MATCH(B1888,'DISTRIBUIÇÃO NF4267'!$E$3:$FQ$3,0)+1,0)</f>
        <v>4</v>
      </c>
      <c r="F1888" s="28">
        <f t="shared" si="93"/>
        <v>3</v>
      </c>
    </row>
    <row r="1889" spans="1:6" x14ac:dyDescent="0.35">
      <c r="A1889">
        <f t="shared" si="94"/>
        <v>0</v>
      </c>
      <c r="B1889" t="str">
        <f t="shared" si="92"/>
        <v>O2</v>
      </c>
      <c r="C1889" s="15" t="s">
        <v>148</v>
      </c>
      <c r="D1889" s="18">
        <f>VLOOKUP(C1889,'DISTRIBUIÇÃO NF4267'!$E$3:$FQ$75,MATCH(B1889,'DISTRIBUIÇÃO NF4267'!$E$3:$FQ$3,0)+1,0)</f>
        <v>2</v>
      </c>
      <c r="F1889" s="28">
        <f t="shared" si="93"/>
        <v>3</v>
      </c>
    </row>
    <row r="1890" spans="1:6" x14ac:dyDescent="0.35">
      <c r="A1890">
        <f t="shared" si="94"/>
        <v>0</v>
      </c>
      <c r="B1890" t="str">
        <f t="shared" si="92"/>
        <v>O2</v>
      </c>
      <c r="C1890" s="15" t="s">
        <v>149</v>
      </c>
      <c r="D1890" s="18">
        <f>VLOOKUP(C1890,'DISTRIBUIÇÃO NF4267'!$E$3:$FQ$75,MATCH(B1890,'DISTRIBUIÇÃO NF4267'!$E$3:$FQ$3,0)+1,0)</f>
        <v>2</v>
      </c>
      <c r="F1890" s="28">
        <f t="shared" si="93"/>
        <v>3</v>
      </c>
    </row>
    <row r="1891" spans="1:6" x14ac:dyDescent="0.35">
      <c r="A1891">
        <f t="shared" si="94"/>
        <v>0</v>
      </c>
      <c r="B1891" t="str">
        <f t="shared" si="92"/>
        <v>O2</v>
      </c>
      <c r="C1891" s="15" t="s">
        <v>150</v>
      </c>
      <c r="D1891" s="18">
        <f>VLOOKUP(C1891,'DISTRIBUIÇÃO NF4267'!$E$3:$FQ$75,MATCH(B1891,'DISTRIBUIÇÃO NF4267'!$E$3:$FQ$3,0)+1,0)</f>
        <v>0</v>
      </c>
      <c r="F1891" s="28">
        <f t="shared" si="93"/>
        <v>3</v>
      </c>
    </row>
    <row r="1892" spans="1:6" x14ac:dyDescent="0.35">
      <c r="A1892">
        <f t="shared" si="94"/>
        <v>0</v>
      </c>
      <c r="B1892">
        <v>37</v>
      </c>
      <c r="C1892" s="7" t="s">
        <v>98</v>
      </c>
      <c r="D1892" s="18">
        <f>VLOOKUP(C1892,'DISTRIBUIÇÃO NF4267'!$E$3:$FQ$75,MATCH(B1892,'DISTRIBUIÇÃO NF4267'!$E$3:$FQ$3,0)+1,0)</f>
        <v>0</v>
      </c>
      <c r="F1892" s="28">
        <f t="shared" si="93"/>
        <v>3</v>
      </c>
    </row>
    <row r="1893" spans="1:6" x14ac:dyDescent="0.35">
      <c r="A1893">
        <f t="shared" si="94"/>
        <v>0</v>
      </c>
      <c r="B1893">
        <f>B1892</f>
        <v>37</v>
      </c>
      <c r="C1893" s="7" t="s">
        <v>99</v>
      </c>
      <c r="D1893" s="18">
        <f>VLOOKUP(C1893,'DISTRIBUIÇÃO NF4267'!$E$3:$FQ$75,MATCH(B1893,'DISTRIBUIÇÃO NF4267'!$E$3:$FQ$3,0)+1,0)</f>
        <v>4</v>
      </c>
      <c r="F1893" s="28">
        <f t="shared" si="93"/>
        <v>3</v>
      </c>
    </row>
    <row r="1894" spans="1:6" x14ac:dyDescent="0.35">
      <c r="A1894">
        <f t="shared" si="94"/>
        <v>0</v>
      </c>
      <c r="B1894">
        <f t="shared" ref="B1894:B1945" si="95">B1893</f>
        <v>37</v>
      </c>
      <c r="C1894" s="7" t="s">
        <v>100</v>
      </c>
      <c r="D1894" s="18">
        <f>VLOOKUP(C1894,'DISTRIBUIÇÃO NF4267'!$E$3:$FQ$75,MATCH(B1894,'DISTRIBUIÇÃO NF4267'!$E$3:$FQ$3,0)+1,0)</f>
        <v>8</v>
      </c>
      <c r="F1894" s="28">
        <f t="shared" si="93"/>
        <v>3</v>
      </c>
    </row>
    <row r="1895" spans="1:6" x14ac:dyDescent="0.35">
      <c r="A1895">
        <f t="shared" si="94"/>
        <v>0</v>
      </c>
      <c r="B1895">
        <f t="shared" si="95"/>
        <v>37</v>
      </c>
      <c r="C1895" s="7" t="s">
        <v>101</v>
      </c>
      <c r="D1895" s="18">
        <f>VLOOKUP(C1895,'DISTRIBUIÇÃO NF4267'!$E$3:$FQ$75,MATCH(B1895,'DISTRIBUIÇÃO NF4267'!$E$3:$FQ$3,0)+1,0)</f>
        <v>4</v>
      </c>
      <c r="F1895" s="28">
        <f t="shared" si="93"/>
        <v>3</v>
      </c>
    </row>
    <row r="1896" spans="1:6" x14ac:dyDescent="0.35">
      <c r="A1896">
        <f t="shared" si="94"/>
        <v>0</v>
      </c>
      <c r="B1896">
        <f t="shared" si="95"/>
        <v>37</v>
      </c>
      <c r="C1896" s="7" t="s">
        <v>102</v>
      </c>
      <c r="D1896" s="18">
        <f>VLOOKUP(C1896,'DISTRIBUIÇÃO NF4267'!$E$3:$FQ$75,MATCH(B1896,'DISTRIBUIÇÃO NF4267'!$E$3:$FQ$3,0)+1,0)</f>
        <v>4</v>
      </c>
      <c r="F1896" s="28">
        <f t="shared" si="93"/>
        <v>3</v>
      </c>
    </row>
    <row r="1897" spans="1:6" x14ac:dyDescent="0.35">
      <c r="A1897">
        <f t="shared" si="94"/>
        <v>0</v>
      </c>
      <c r="B1897">
        <f t="shared" si="95"/>
        <v>37</v>
      </c>
      <c r="C1897" s="7" t="s">
        <v>103</v>
      </c>
      <c r="D1897" s="18">
        <f>VLOOKUP(C1897,'DISTRIBUIÇÃO NF4267'!$E$3:$FQ$75,MATCH(B1897,'DISTRIBUIÇÃO NF4267'!$E$3:$FQ$3,0)+1,0)</f>
        <v>0</v>
      </c>
      <c r="F1897" s="28">
        <f t="shared" si="93"/>
        <v>3</v>
      </c>
    </row>
    <row r="1898" spans="1:6" x14ac:dyDescent="0.35">
      <c r="A1898">
        <f t="shared" si="94"/>
        <v>0</v>
      </c>
      <c r="B1898">
        <f t="shared" si="95"/>
        <v>37</v>
      </c>
      <c r="C1898" s="8" t="s">
        <v>107</v>
      </c>
      <c r="D1898" s="18">
        <f>VLOOKUP(C1898,'DISTRIBUIÇÃO NF4267'!$E$3:$FQ$75,MATCH(B1898,'DISTRIBUIÇÃO NF4267'!$E$3:$FQ$3,0)+1,0)</f>
        <v>0</v>
      </c>
      <c r="F1898" s="28">
        <f t="shared" si="93"/>
        <v>3</v>
      </c>
    </row>
    <row r="1899" spans="1:6" x14ac:dyDescent="0.35">
      <c r="A1899">
        <f t="shared" si="94"/>
        <v>0</v>
      </c>
      <c r="B1899">
        <f t="shared" si="95"/>
        <v>37</v>
      </c>
      <c r="C1899" s="8" t="s">
        <v>108</v>
      </c>
      <c r="D1899" s="18">
        <f>VLOOKUP(C1899,'DISTRIBUIÇÃO NF4267'!$E$3:$FQ$75,MATCH(B1899,'DISTRIBUIÇÃO NF4267'!$E$3:$FQ$3,0)+1,0)</f>
        <v>2</v>
      </c>
      <c r="F1899" s="28">
        <f t="shared" si="93"/>
        <v>3</v>
      </c>
    </row>
    <row r="1900" spans="1:6" x14ac:dyDescent="0.35">
      <c r="A1900">
        <f t="shared" si="94"/>
        <v>0</v>
      </c>
      <c r="B1900">
        <f t="shared" si="95"/>
        <v>37</v>
      </c>
      <c r="C1900" s="8" t="s">
        <v>109</v>
      </c>
      <c r="D1900" s="18">
        <f>VLOOKUP(C1900,'DISTRIBUIÇÃO NF4267'!$E$3:$FQ$75,MATCH(B1900,'DISTRIBUIÇÃO NF4267'!$E$3:$FQ$3,0)+1,0)</f>
        <v>4</v>
      </c>
      <c r="F1900" s="28">
        <f t="shared" si="93"/>
        <v>3</v>
      </c>
    </row>
    <row r="1901" spans="1:6" x14ac:dyDescent="0.35">
      <c r="A1901">
        <f t="shared" si="94"/>
        <v>0</v>
      </c>
      <c r="B1901">
        <f t="shared" si="95"/>
        <v>37</v>
      </c>
      <c r="C1901" s="8" t="s">
        <v>110</v>
      </c>
      <c r="D1901" s="18">
        <f>VLOOKUP(C1901,'DISTRIBUIÇÃO NF4267'!$E$3:$FQ$75,MATCH(B1901,'DISTRIBUIÇÃO NF4267'!$E$3:$FQ$3,0)+1,0)</f>
        <v>2</v>
      </c>
      <c r="F1901" s="28">
        <f t="shared" si="93"/>
        <v>3</v>
      </c>
    </row>
    <row r="1902" spans="1:6" x14ac:dyDescent="0.35">
      <c r="A1902">
        <f t="shared" si="94"/>
        <v>0</v>
      </c>
      <c r="B1902">
        <f t="shared" si="95"/>
        <v>37</v>
      </c>
      <c r="C1902" s="8" t="s">
        <v>111</v>
      </c>
      <c r="D1902" s="18">
        <f>VLOOKUP(C1902,'DISTRIBUIÇÃO NF4267'!$E$3:$FQ$75,MATCH(B1902,'DISTRIBUIÇÃO NF4267'!$E$3:$FQ$3,0)+1,0)</f>
        <v>2</v>
      </c>
      <c r="F1902" s="28">
        <f t="shared" si="93"/>
        <v>3</v>
      </c>
    </row>
    <row r="1903" spans="1:6" x14ac:dyDescent="0.35">
      <c r="A1903">
        <f t="shared" si="94"/>
        <v>0</v>
      </c>
      <c r="B1903">
        <f t="shared" si="95"/>
        <v>37</v>
      </c>
      <c r="C1903" s="8" t="s">
        <v>112</v>
      </c>
      <c r="D1903" s="18">
        <f>VLOOKUP(C1903,'DISTRIBUIÇÃO NF4267'!$E$3:$FQ$75,MATCH(B1903,'DISTRIBUIÇÃO NF4267'!$E$3:$FQ$3,0)+1,0)</f>
        <v>0</v>
      </c>
      <c r="F1903" s="28">
        <f t="shared" si="93"/>
        <v>3</v>
      </c>
    </row>
    <row r="1904" spans="1:6" x14ac:dyDescent="0.35">
      <c r="A1904">
        <f t="shared" si="94"/>
        <v>0</v>
      </c>
      <c r="B1904">
        <f t="shared" si="95"/>
        <v>37</v>
      </c>
      <c r="C1904" s="9" t="s">
        <v>113</v>
      </c>
      <c r="D1904" s="18">
        <f>VLOOKUP(C1904,'DISTRIBUIÇÃO NF4267'!$E$3:$FQ$75,MATCH(B1904,'DISTRIBUIÇÃO NF4267'!$E$3:$FQ$3,0)+1,0)</f>
        <v>0</v>
      </c>
      <c r="F1904" s="28">
        <f t="shared" si="93"/>
        <v>3</v>
      </c>
    </row>
    <row r="1905" spans="1:6" x14ac:dyDescent="0.35">
      <c r="A1905">
        <f t="shared" si="94"/>
        <v>0</v>
      </c>
      <c r="B1905">
        <f t="shared" si="95"/>
        <v>37</v>
      </c>
      <c r="C1905" s="9" t="s">
        <v>114</v>
      </c>
      <c r="D1905" s="18">
        <f>VLOOKUP(C1905,'DISTRIBUIÇÃO NF4267'!$E$3:$FQ$75,MATCH(B1905,'DISTRIBUIÇÃO NF4267'!$E$3:$FQ$3,0)+1,0)</f>
        <v>6</v>
      </c>
      <c r="F1905" s="28">
        <f t="shared" si="93"/>
        <v>3</v>
      </c>
    </row>
    <row r="1906" spans="1:6" x14ac:dyDescent="0.35">
      <c r="A1906">
        <f t="shared" si="94"/>
        <v>0</v>
      </c>
      <c r="B1906">
        <f t="shared" si="95"/>
        <v>37</v>
      </c>
      <c r="C1906" s="9" t="s">
        <v>115</v>
      </c>
      <c r="D1906" s="18">
        <f>VLOOKUP(C1906,'DISTRIBUIÇÃO NF4267'!$E$3:$FQ$75,MATCH(B1906,'DISTRIBUIÇÃO NF4267'!$E$3:$FQ$3,0)+1,0)</f>
        <v>8</v>
      </c>
      <c r="F1906" s="28">
        <f t="shared" si="93"/>
        <v>3</v>
      </c>
    </row>
    <row r="1907" spans="1:6" x14ac:dyDescent="0.35">
      <c r="A1907">
        <f t="shared" si="94"/>
        <v>0</v>
      </c>
      <c r="B1907">
        <f t="shared" si="95"/>
        <v>37</v>
      </c>
      <c r="C1907" s="9" t="s">
        <v>116</v>
      </c>
      <c r="D1907" s="18">
        <f>VLOOKUP(C1907,'DISTRIBUIÇÃO NF4267'!$E$3:$FQ$75,MATCH(B1907,'DISTRIBUIÇÃO NF4267'!$E$3:$FQ$3,0)+1,0)</f>
        <v>4</v>
      </c>
      <c r="F1907" s="28">
        <f t="shared" si="93"/>
        <v>3</v>
      </c>
    </row>
    <row r="1908" spans="1:6" x14ac:dyDescent="0.35">
      <c r="A1908">
        <f t="shared" si="94"/>
        <v>0</v>
      </c>
      <c r="B1908">
        <f t="shared" si="95"/>
        <v>37</v>
      </c>
      <c r="C1908" s="9" t="s">
        <v>117</v>
      </c>
      <c r="D1908" s="18">
        <f>VLOOKUP(C1908,'DISTRIBUIÇÃO NF4267'!$E$3:$FQ$75,MATCH(B1908,'DISTRIBUIÇÃO NF4267'!$E$3:$FQ$3,0)+1,0)</f>
        <v>2</v>
      </c>
      <c r="F1908" s="28">
        <f t="shared" si="93"/>
        <v>3</v>
      </c>
    </row>
    <row r="1909" spans="1:6" x14ac:dyDescent="0.35">
      <c r="A1909">
        <f t="shared" si="94"/>
        <v>0</v>
      </c>
      <c r="B1909">
        <f t="shared" si="95"/>
        <v>37</v>
      </c>
      <c r="C1909" s="9" t="s">
        <v>118</v>
      </c>
      <c r="D1909" s="18">
        <f>VLOOKUP(C1909,'DISTRIBUIÇÃO NF4267'!$E$3:$FQ$75,MATCH(B1909,'DISTRIBUIÇÃO NF4267'!$E$3:$FQ$3,0)+1,0)</f>
        <v>0</v>
      </c>
      <c r="F1909" s="28">
        <f t="shared" si="93"/>
        <v>3</v>
      </c>
    </row>
    <row r="1910" spans="1:6" x14ac:dyDescent="0.35">
      <c r="A1910">
        <f t="shared" si="94"/>
        <v>0</v>
      </c>
      <c r="B1910">
        <f t="shared" si="95"/>
        <v>37</v>
      </c>
      <c r="C1910" s="10" t="s">
        <v>119</v>
      </c>
      <c r="D1910" s="18">
        <f>VLOOKUP(C1910,'DISTRIBUIÇÃO NF4267'!$E$3:$FQ$75,MATCH(B1910,'DISTRIBUIÇÃO NF4267'!$E$3:$FQ$3,0)+1,0)</f>
        <v>0</v>
      </c>
      <c r="F1910" s="28">
        <f t="shared" si="93"/>
        <v>3</v>
      </c>
    </row>
    <row r="1911" spans="1:6" x14ac:dyDescent="0.35">
      <c r="A1911">
        <f t="shared" si="94"/>
        <v>0</v>
      </c>
      <c r="B1911">
        <f t="shared" si="95"/>
        <v>37</v>
      </c>
      <c r="C1911" s="10" t="s">
        <v>120</v>
      </c>
      <c r="D1911" s="18">
        <f>VLOOKUP(C1911,'DISTRIBUIÇÃO NF4267'!$E$3:$FQ$75,MATCH(B1911,'DISTRIBUIÇÃO NF4267'!$E$3:$FQ$3,0)+1,0)</f>
        <v>48</v>
      </c>
      <c r="F1911" s="28">
        <f t="shared" si="93"/>
        <v>3</v>
      </c>
    </row>
    <row r="1912" spans="1:6" x14ac:dyDescent="0.35">
      <c r="A1912">
        <f t="shared" si="94"/>
        <v>0</v>
      </c>
      <c r="B1912">
        <f t="shared" si="95"/>
        <v>37</v>
      </c>
      <c r="C1912" s="10" t="s">
        <v>121</v>
      </c>
      <c r="D1912" s="18">
        <f>VLOOKUP(C1912,'DISTRIBUIÇÃO NF4267'!$E$3:$FQ$75,MATCH(B1912,'DISTRIBUIÇÃO NF4267'!$E$3:$FQ$3,0)+1,0)</f>
        <v>16</v>
      </c>
      <c r="F1912" s="28">
        <f t="shared" ref="F1912:F1975" si="96">ROUNDUP(SUMIFS(D:D,B:B,B1912)/80,0)</f>
        <v>3</v>
      </c>
    </row>
    <row r="1913" spans="1:6" x14ac:dyDescent="0.35">
      <c r="A1913">
        <f t="shared" si="94"/>
        <v>0</v>
      </c>
      <c r="B1913">
        <f t="shared" si="95"/>
        <v>37</v>
      </c>
      <c r="C1913" s="10" t="s">
        <v>122</v>
      </c>
      <c r="D1913" s="18">
        <f>VLOOKUP(C1913,'DISTRIBUIÇÃO NF4267'!$E$3:$FQ$75,MATCH(B1913,'DISTRIBUIÇÃO NF4267'!$E$3:$FQ$3,0)+1,0)</f>
        <v>16</v>
      </c>
      <c r="F1913" s="28">
        <f t="shared" si="96"/>
        <v>3</v>
      </c>
    </row>
    <row r="1914" spans="1:6" x14ac:dyDescent="0.35">
      <c r="A1914">
        <f t="shared" si="94"/>
        <v>0</v>
      </c>
      <c r="B1914">
        <f t="shared" si="95"/>
        <v>37</v>
      </c>
      <c r="C1914" s="10" t="s">
        <v>123</v>
      </c>
      <c r="D1914" s="18">
        <f>VLOOKUP(C1914,'DISTRIBUIÇÃO NF4267'!$E$3:$FQ$75,MATCH(B1914,'DISTRIBUIÇÃO NF4267'!$E$3:$FQ$3,0)+1,0)</f>
        <v>0</v>
      </c>
      <c r="F1914" s="28">
        <f t="shared" si="96"/>
        <v>3</v>
      </c>
    </row>
    <row r="1915" spans="1:6" x14ac:dyDescent="0.35">
      <c r="A1915">
        <f t="shared" si="94"/>
        <v>0</v>
      </c>
      <c r="B1915">
        <f t="shared" si="95"/>
        <v>37</v>
      </c>
      <c r="C1915" s="10" t="s">
        <v>124</v>
      </c>
      <c r="D1915" s="18">
        <f>VLOOKUP(C1915,'DISTRIBUIÇÃO NF4267'!$E$3:$FQ$75,MATCH(B1915,'DISTRIBUIÇÃO NF4267'!$E$3:$FQ$3,0)+1,0)</f>
        <v>0</v>
      </c>
      <c r="F1915" s="28">
        <f t="shared" si="96"/>
        <v>3</v>
      </c>
    </row>
    <row r="1916" spans="1:6" x14ac:dyDescent="0.35">
      <c r="A1916">
        <f t="shared" si="94"/>
        <v>0</v>
      </c>
      <c r="B1916">
        <f t="shared" si="95"/>
        <v>37</v>
      </c>
      <c r="C1916" s="11" t="s">
        <v>16</v>
      </c>
      <c r="D1916" s="18">
        <f>VLOOKUP(C1916,'DISTRIBUIÇÃO NF4267'!$E$3:$FQ$75,MATCH(B1916,'DISTRIBUIÇÃO NF4267'!$E$3:$FQ$3,0)+1,0)</f>
        <v>0</v>
      </c>
      <c r="F1916" s="28">
        <f t="shared" si="96"/>
        <v>3</v>
      </c>
    </row>
    <row r="1917" spans="1:6" x14ac:dyDescent="0.35">
      <c r="A1917">
        <f t="shared" si="94"/>
        <v>0</v>
      </c>
      <c r="B1917">
        <f t="shared" si="95"/>
        <v>37</v>
      </c>
      <c r="C1917" s="11" t="s">
        <v>17</v>
      </c>
      <c r="D1917" s="18">
        <f>VLOOKUP(C1917,'DISTRIBUIÇÃO NF4267'!$E$3:$FQ$75,MATCH(B1917,'DISTRIBUIÇÃO NF4267'!$E$3:$FQ$3,0)+1,0)</f>
        <v>9</v>
      </c>
      <c r="F1917" s="28">
        <f t="shared" si="96"/>
        <v>3</v>
      </c>
    </row>
    <row r="1918" spans="1:6" x14ac:dyDescent="0.35">
      <c r="A1918">
        <f t="shared" si="94"/>
        <v>0</v>
      </c>
      <c r="B1918">
        <f t="shared" si="95"/>
        <v>37</v>
      </c>
      <c r="C1918" s="11" t="s">
        <v>18</v>
      </c>
      <c r="D1918" s="18">
        <f>VLOOKUP(C1918,'DISTRIBUIÇÃO NF4267'!$E$3:$FQ$75,MATCH(B1918,'DISTRIBUIÇÃO NF4267'!$E$3:$FQ$3,0)+1,0)</f>
        <v>3</v>
      </c>
      <c r="F1918" s="28">
        <f t="shared" si="96"/>
        <v>3</v>
      </c>
    </row>
    <row r="1919" spans="1:6" x14ac:dyDescent="0.35">
      <c r="A1919">
        <f t="shared" si="94"/>
        <v>0</v>
      </c>
      <c r="B1919">
        <f t="shared" si="95"/>
        <v>37</v>
      </c>
      <c r="C1919" s="11" t="s">
        <v>19</v>
      </c>
      <c r="D1919" s="18">
        <f>VLOOKUP(C1919,'DISTRIBUIÇÃO NF4267'!$E$3:$FQ$75,MATCH(B1919,'DISTRIBUIÇÃO NF4267'!$E$3:$FQ$3,0)+1,0)</f>
        <v>3</v>
      </c>
      <c r="F1919" s="28">
        <f t="shared" si="96"/>
        <v>3</v>
      </c>
    </row>
    <row r="1920" spans="1:6" x14ac:dyDescent="0.35">
      <c r="A1920">
        <f t="shared" si="94"/>
        <v>0</v>
      </c>
      <c r="B1920">
        <f t="shared" si="95"/>
        <v>37</v>
      </c>
      <c r="C1920" s="11" t="s">
        <v>20</v>
      </c>
      <c r="D1920" s="18">
        <f>VLOOKUP(C1920,'DISTRIBUIÇÃO NF4267'!$E$3:$FQ$75,MATCH(B1920,'DISTRIBUIÇÃO NF4267'!$E$3:$FQ$3,0)+1,0)</f>
        <v>15</v>
      </c>
      <c r="F1920" s="28">
        <f t="shared" si="96"/>
        <v>3</v>
      </c>
    </row>
    <row r="1921" spans="1:6" x14ac:dyDescent="0.35">
      <c r="A1921">
        <f t="shared" si="94"/>
        <v>0</v>
      </c>
      <c r="B1921">
        <f t="shared" si="95"/>
        <v>37</v>
      </c>
      <c r="C1921" s="11" t="s">
        <v>21</v>
      </c>
      <c r="D1921" s="18">
        <f>VLOOKUP(C1921,'DISTRIBUIÇÃO NF4267'!$E$3:$FQ$75,MATCH(B1921,'DISTRIBUIÇÃO NF4267'!$E$3:$FQ$3,0)+1,0)</f>
        <v>0</v>
      </c>
      <c r="F1921" s="28">
        <f t="shared" si="96"/>
        <v>3</v>
      </c>
    </row>
    <row r="1922" spans="1:6" x14ac:dyDescent="0.35">
      <c r="A1922">
        <f t="shared" ref="A1922:A1985" si="97">IF(ISERROR(VLOOKUP(C1922,I:I,1,0)),0,1)</f>
        <v>0</v>
      </c>
      <c r="B1922">
        <f t="shared" si="95"/>
        <v>37</v>
      </c>
      <c r="C1922" s="12" t="s">
        <v>130</v>
      </c>
      <c r="D1922" s="18">
        <f>VLOOKUP(C1922,'DISTRIBUIÇÃO NF4267'!$E$3:$FQ$75,MATCH(B1922,'DISTRIBUIÇÃO NF4267'!$E$3:$FQ$3,0)+1,0)</f>
        <v>0</v>
      </c>
      <c r="F1922" s="28">
        <f t="shared" si="96"/>
        <v>3</v>
      </c>
    </row>
    <row r="1923" spans="1:6" x14ac:dyDescent="0.35">
      <c r="A1923">
        <f t="shared" si="97"/>
        <v>0</v>
      </c>
      <c r="B1923">
        <f t="shared" si="95"/>
        <v>37</v>
      </c>
      <c r="C1923" s="12" t="s">
        <v>131</v>
      </c>
      <c r="D1923" s="18">
        <f>VLOOKUP(C1923,'DISTRIBUIÇÃO NF4267'!$E$3:$FQ$75,MATCH(B1923,'DISTRIBUIÇÃO NF4267'!$E$3:$FQ$3,0)+1,0)</f>
        <v>1</v>
      </c>
      <c r="F1923" s="28">
        <f t="shared" si="96"/>
        <v>3</v>
      </c>
    </row>
    <row r="1924" spans="1:6" x14ac:dyDescent="0.35">
      <c r="A1924">
        <f t="shared" si="97"/>
        <v>0</v>
      </c>
      <c r="B1924">
        <f t="shared" si="95"/>
        <v>37</v>
      </c>
      <c r="C1924" s="12" t="s">
        <v>132</v>
      </c>
      <c r="D1924" s="18">
        <f>VLOOKUP(C1924,'DISTRIBUIÇÃO NF4267'!$E$3:$FQ$75,MATCH(B1924,'DISTRIBUIÇÃO NF4267'!$E$3:$FQ$3,0)+1,0)</f>
        <v>4</v>
      </c>
      <c r="F1924" s="28">
        <f t="shared" si="96"/>
        <v>3</v>
      </c>
    </row>
    <row r="1925" spans="1:6" x14ac:dyDescent="0.35">
      <c r="A1925">
        <f t="shared" si="97"/>
        <v>0</v>
      </c>
      <c r="B1925">
        <f t="shared" si="95"/>
        <v>37</v>
      </c>
      <c r="C1925" s="12" t="s">
        <v>133</v>
      </c>
      <c r="D1925" s="18">
        <f>VLOOKUP(C1925,'DISTRIBUIÇÃO NF4267'!$E$3:$FQ$75,MATCH(B1925,'DISTRIBUIÇÃO NF4267'!$E$3:$FQ$3,0)+1,0)</f>
        <v>3</v>
      </c>
      <c r="F1925" s="28">
        <f t="shared" si="96"/>
        <v>3</v>
      </c>
    </row>
    <row r="1926" spans="1:6" x14ac:dyDescent="0.35">
      <c r="A1926">
        <f t="shared" si="97"/>
        <v>0</v>
      </c>
      <c r="B1926">
        <f t="shared" si="95"/>
        <v>37</v>
      </c>
      <c r="C1926" s="12" t="s">
        <v>134</v>
      </c>
      <c r="D1926" s="18">
        <f>VLOOKUP(C1926,'DISTRIBUIÇÃO NF4267'!$E$3:$FQ$75,MATCH(B1926,'DISTRIBUIÇÃO NF4267'!$E$3:$FQ$3,0)+1,0)</f>
        <v>2</v>
      </c>
      <c r="F1926" s="28">
        <f t="shared" si="96"/>
        <v>3</v>
      </c>
    </row>
    <row r="1927" spans="1:6" x14ac:dyDescent="0.35">
      <c r="A1927">
        <f t="shared" si="97"/>
        <v>0</v>
      </c>
      <c r="B1927">
        <f t="shared" si="95"/>
        <v>37</v>
      </c>
      <c r="C1927" s="12" t="s">
        <v>135</v>
      </c>
      <c r="D1927" s="18">
        <f>VLOOKUP(C1927,'DISTRIBUIÇÃO NF4267'!$E$3:$FQ$75,MATCH(B1927,'DISTRIBUIÇÃO NF4267'!$E$3:$FQ$3,0)+1,0)</f>
        <v>0</v>
      </c>
      <c r="F1927" s="28">
        <f t="shared" si="96"/>
        <v>3</v>
      </c>
    </row>
    <row r="1928" spans="1:6" x14ac:dyDescent="0.35">
      <c r="A1928">
        <f t="shared" si="97"/>
        <v>0</v>
      </c>
      <c r="B1928">
        <f t="shared" si="95"/>
        <v>37</v>
      </c>
      <c r="C1928" s="13" t="s">
        <v>22</v>
      </c>
      <c r="D1928" s="18">
        <f>VLOOKUP(C1928,'DISTRIBUIÇÃO NF4267'!$E$3:$FQ$75,MATCH(B1928,'DISTRIBUIÇÃO NF4267'!$E$3:$FQ$3,0)+1,0)</f>
        <v>0</v>
      </c>
      <c r="F1928" s="28">
        <f t="shared" si="96"/>
        <v>3</v>
      </c>
    </row>
    <row r="1929" spans="1:6" x14ac:dyDescent="0.35">
      <c r="A1929">
        <f t="shared" si="97"/>
        <v>0</v>
      </c>
      <c r="B1929">
        <f t="shared" si="95"/>
        <v>37</v>
      </c>
      <c r="C1929" s="13" t="s">
        <v>23</v>
      </c>
      <c r="D1929" s="18">
        <f>VLOOKUP(C1929,'DISTRIBUIÇÃO NF4267'!$E$3:$FQ$75,MATCH(B1929,'DISTRIBUIÇÃO NF4267'!$E$3:$FQ$3,0)+1,0)</f>
        <v>1</v>
      </c>
      <c r="F1929" s="28">
        <f t="shared" si="96"/>
        <v>3</v>
      </c>
    </row>
    <row r="1930" spans="1:6" x14ac:dyDescent="0.35">
      <c r="A1930">
        <f t="shared" si="97"/>
        <v>0</v>
      </c>
      <c r="B1930">
        <f t="shared" si="95"/>
        <v>37</v>
      </c>
      <c r="C1930" s="13" t="s">
        <v>24</v>
      </c>
      <c r="D1930" s="18">
        <f>VLOOKUP(C1930,'DISTRIBUIÇÃO NF4267'!$E$3:$FQ$75,MATCH(B1930,'DISTRIBUIÇÃO NF4267'!$E$3:$FQ$3,0)+1,0)</f>
        <v>6</v>
      </c>
      <c r="F1930" s="28">
        <f t="shared" si="96"/>
        <v>3</v>
      </c>
    </row>
    <row r="1931" spans="1:6" x14ac:dyDescent="0.35">
      <c r="A1931">
        <f t="shared" si="97"/>
        <v>0</v>
      </c>
      <c r="B1931">
        <f t="shared" si="95"/>
        <v>37</v>
      </c>
      <c r="C1931" s="13" t="s">
        <v>25</v>
      </c>
      <c r="D1931" s="18">
        <f>VLOOKUP(C1931,'DISTRIBUIÇÃO NF4267'!$E$3:$FQ$75,MATCH(B1931,'DISTRIBUIÇÃO NF4267'!$E$3:$FQ$3,0)+1,0)</f>
        <v>2</v>
      </c>
      <c r="F1931" s="28">
        <f t="shared" si="96"/>
        <v>3</v>
      </c>
    </row>
    <row r="1932" spans="1:6" x14ac:dyDescent="0.35">
      <c r="A1932">
        <f t="shared" si="97"/>
        <v>0</v>
      </c>
      <c r="B1932">
        <f t="shared" si="95"/>
        <v>37</v>
      </c>
      <c r="C1932" s="13" t="s">
        <v>26</v>
      </c>
      <c r="D1932" s="18">
        <f>VLOOKUP(C1932,'DISTRIBUIÇÃO NF4267'!$E$3:$FQ$75,MATCH(B1932,'DISTRIBUIÇÃO NF4267'!$E$3:$FQ$3,0)+1,0)</f>
        <v>1</v>
      </c>
      <c r="F1932" s="28">
        <f t="shared" si="96"/>
        <v>3</v>
      </c>
    </row>
    <row r="1933" spans="1:6" x14ac:dyDescent="0.35">
      <c r="A1933">
        <f t="shared" si="97"/>
        <v>0</v>
      </c>
      <c r="B1933">
        <f t="shared" si="95"/>
        <v>37</v>
      </c>
      <c r="C1933" s="13" t="s">
        <v>27</v>
      </c>
      <c r="D1933" s="18">
        <f>VLOOKUP(C1933,'DISTRIBUIÇÃO NF4267'!$E$3:$FQ$75,MATCH(B1933,'DISTRIBUIÇÃO NF4267'!$E$3:$FQ$3,0)+1,0)</f>
        <v>0</v>
      </c>
      <c r="F1933" s="28">
        <f t="shared" si="96"/>
        <v>3</v>
      </c>
    </row>
    <row r="1934" spans="1:6" x14ac:dyDescent="0.35">
      <c r="A1934">
        <f t="shared" si="97"/>
        <v>0</v>
      </c>
      <c r="B1934">
        <f t="shared" si="95"/>
        <v>37</v>
      </c>
      <c r="C1934" s="14" t="s">
        <v>138</v>
      </c>
      <c r="D1934" s="18">
        <f>VLOOKUP(C1934,'DISTRIBUIÇÃO NF4267'!$E$3:$FQ$75,MATCH(B1934,'DISTRIBUIÇÃO NF4267'!$E$3:$FQ$3,0)+1,0)</f>
        <v>0</v>
      </c>
      <c r="F1934" s="28">
        <f t="shared" si="96"/>
        <v>3</v>
      </c>
    </row>
    <row r="1935" spans="1:6" x14ac:dyDescent="0.35">
      <c r="A1935">
        <f t="shared" si="97"/>
        <v>0</v>
      </c>
      <c r="B1935">
        <f t="shared" si="95"/>
        <v>37</v>
      </c>
      <c r="C1935" s="14" t="s">
        <v>139</v>
      </c>
      <c r="D1935" s="18">
        <f>VLOOKUP(C1935,'DISTRIBUIÇÃO NF4267'!$E$3:$FQ$75,MATCH(B1935,'DISTRIBUIÇÃO NF4267'!$E$3:$FQ$3,0)+1,0)</f>
        <v>4</v>
      </c>
      <c r="F1935" s="28">
        <f t="shared" si="96"/>
        <v>3</v>
      </c>
    </row>
    <row r="1936" spans="1:6" x14ac:dyDescent="0.35">
      <c r="A1936">
        <f t="shared" si="97"/>
        <v>0</v>
      </c>
      <c r="B1936">
        <f t="shared" si="95"/>
        <v>37</v>
      </c>
      <c r="C1936" s="14" t="s">
        <v>140</v>
      </c>
      <c r="D1936" s="18">
        <f>VLOOKUP(C1936,'DISTRIBUIÇÃO NF4267'!$E$3:$FQ$75,MATCH(B1936,'DISTRIBUIÇÃO NF4267'!$E$3:$FQ$3,0)+1,0)</f>
        <v>8</v>
      </c>
      <c r="F1936" s="28">
        <f t="shared" si="96"/>
        <v>3</v>
      </c>
    </row>
    <row r="1937" spans="1:6" x14ac:dyDescent="0.35">
      <c r="A1937">
        <f t="shared" si="97"/>
        <v>0</v>
      </c>
      <c r="B1937">
        <f t="shared" si="95"/>
        <v>37</v>
      </c>
      <c r="C1937" s="14" t="s">
        <v>141</v>
      </c>
      <c r="D1937" s="18">
        <f>VLOOKUP(C1937,'DISTRIBUIÇÃO NF4267'!$E$3:$FQ$75,MATCH(B1937,'DISTRIBUIÇÃO NF4267'!$E$3:$FQ$3,0)+1,0)</f>
        <v>4</v>
      </c>
      <c r="F1937" s="28">
        <f t="shared" si="96"/>
        <v>3</v>
      </c>
    </row>
    <row r="1938" spans="1:6" x14ac:dyDescent="0.35">
      <c r="A1938">
        <f t="shared" si="97"/>
        <v>0</v>
      </c>
      <c r="B1938">
        <f t="shared" si="95"/>
        <v>37</v>
      </c>
      <c r="C1938" s="14" t="s">
        <v>142</v>
      </c>
      <c r="D1938" s="18">
        <f>VLOOKUP(C1938,'DISTRIBUIÇÃO NF4267'!$E$3:$FQ$75,MATCH(B1938,'DISTRIBUIÇÃO NF4267'!$E$3:$FQ$3,0)+1,0)</f>
        <v>4</v>
      </c>
      <c r="F1938" s="28">
        <f t="shared" si="96"/>
        <v>3</v>
      </c>
    </row>
    <row r="1939" spans="1:6" x14ac:dyDescent="0.35">
      <c r="A1939">
        <f t="shared" si="97"/>
        <v>0</v>
      </c>
      <c r="B1939">
        <f t="shared" si="95"/>
        <v>37</v>
      </c>
      <c r="C1939" s="14" t="s">
        <v>143</v>
      </c>
      <c r="D1939" s="18">
        <f>VLOOKUP(C1939,'DISTRIBUIÇÃO NF4267'!$E$3:$FQ$75,MATCH(B1939,'DISTRIBUIÇÃO NF4267'!$E$3:$FQ$3,0)+1,0)</f>
        <v>0</v>
      </c>
      <c r="F1939" s="28">
        <f t="shared" si="96"/>
        <v>3</v>
      </c>
    </row>
    <row r="1940" spans="1:6" x14ac:dyDescent="0.35">
      <c r="A1940">
        <f t="shared" si="97"/>
        <v>0</v>
      </c>
      <c r="B1940">
        <f t="shared" si="95"/>
        <v>37</v>
      </c>
      <c r="C1940" s="15" t="s">
        <v>145</v>
      </c>
      <c r="D1940" s="18">
        <f>VLOOKUP(C1940,'DISTRIBUIÇÃO NF4267'!$E$3:$FQ$75,MATCH(B1940,'DISTRIBUIÇÃO NF4267'!$E$3:$FQ$3,0)+1,0)</f>
        <v>0</v>
      </c>
      <c r="F1940" s="28">
        <f t="shared" si="96"/>
        <v>3</v>
      </c>
    </row>
    <row r="1941" spans="1:6" x14ac:dyDescent="0.35">
      <c r="A1941">
        <f t="shared" si="97"/>
        <v>0</v>
      </c>
      <c r="B1941">
        <f t="shared" si="95"/>
        <v>37</v>
      </c>
      <c r="C1941" s="15" t="s">
        <v>146</v>
      </c>
      <c r="D1941" s="18">
        <f>VLOOKUP(C1941,'DISTRIBUIÇÃO NF4267'!$E$3:$FQ$75,MATCH(B1941,'DISTRIBUIÇÃO NF4267'!$E$3:$FQ$3,0)+1,0)</f>
        <v>2</v>
      </c>
      <c r="F1941" s="28">
        <f t="shared" si="96"/>
        <v>3</v>
      </c>
    </row>
    <row r="1942" spans="1:6" x14ac:dyDescent="0.35">
      <c r="A1942">
        <f t="shared" si="97"/>
        <v>0</v>
      </c>
      <c r="B1942">
        <f t="shared" si="95"/>
        <v>37</v>
      </c>
      <c r="C1942" s="15" t="s">
        <v>147</v>
      </c>
      <c r="D1942" s="18">
        <f>VLOOKUP(C1942,'DISTRIBUIÇÃO NF4267'!$E$3:$FQ$75,MATCH(B1942,'DISTRIBUIÇÃO NF4267'!$E$3:$FQ$3,0)+1,0)</f>
        <v>4</v>
      </c>
      <c r="F1942" s="28">
        <f t="shared" si="96"/>
        <v>3</v>
      </c>
    </row>
    <row r="1943" spans="1:6" x14ac:dyDescent="0.35">
      <c r="A1943">
        <f t="shared" si="97"/>
        <v>0</v>
      </c>
      <c r="B1943">
        <f t="shared" si="95"/>
        <v>37</v>
      </c>
      <c r="C1943" s="15" t="s">
        <v>148</v>
      </c>
      <c r="D1943" s="18">
        <f>VLOOKUP(C1943,'DISTRIBUIÇÃO NF4267'!$E$3:$FQ$75,MATCH(B1943,'DISTRIBUIÇÃO NF4267'!$E$3:$FQ$3,0)+1,0)</f>
        <v>2</v>
      </c>
      <c r="F1943" s="28">
        <f t="shared" si="96"/>
        <v>3</v>
      </c>
    </row>
    <row r="1944" spans="1:6" x14ac:dyDescent="0.35">
      <c r="A1944">
        <f t="shared" si="97"/>
        <v>0</v>
      </c>
      <c r="B1944">
        <f t="shared" si="95"/>
        <v>37</v>
      </c>
      <c r="C1944" s="15" t="s">
        <v>149</v>
      </c>
      <c r="D1944" s="18">
        <f>VLOOKUP(C1944,'DISTRIBUIÇÃO NF4267'!$E$3:$FQ$75,MATCH(B1944,'DISTRIBUIÇÃO NF4267'!$E$3:$FQ$3,0)+1,0)</f>
        <v>2</v>
      </c>
      <c r="F1944" s="28">
        <f t="shared" si="96"/>
        <v>3</v>
      </c>
    </row>
    <row r="1945" spans="1:6" x14ac:dyDescent="0.35">
      <c r="A1945">
        <f t="shared" si="97"/>
        <v>0</v>
      </c>
      <c r="B1945">
        <f t="shared" si="95"/>
        <v>37</v>
      </c>
      <c r="C1945" s="15" t="s">
        <v>150</v>
      </c>
      <c r="D1945" s="18">
        <f>VLOOKUP(C1945,'DISTRIBUIÇÃO NF4267'!$E$3:$FQ$75,MATCH(B1945,'DISTRIBUIÇÃO NF4267'!$E$3:$FQ$3,0)+1,0)</f>
        <v>0</v>
      </c>
      <c r="F1945" s="28">
        <f t="shared" si="96"/>
        <v>3</v>
      </c>
    </row>
    <row r="1946" spans="1:6" x14ac:dyDescent="0.35">
      <c r="A1946">
        <f t="shared" si="97"/>
        <v>0</v>
      </c>
      <c r="B1946" t="s">
        <v>53</v>
      </c>
      <c r="C1946" s="7" t="s">
        <v>98</v>
      </c>
      <c r="D1946" s="18">
        <f>VLOOKUP(C1946,'DISTRIBUIÇÃO NF4267'!$E$3:$FQ$75,MATCH(B1946,'DISTRIBUIÇÃO NF4267'!$E$3:$FQ$3,0)+1,0)</f>
        <v>0</v>
      </c>
      <c r="F1946" s="28">
        <f t="shared" si="96"/>
        <v>3</v>
      </c>
    </row>
    <row r="1947" spans="1:6" x14ac:dyDescent="0.35">
      <c r="A1947">
        <f t="shared" si="97"/>
        <v>0</v>
      </c>
      <c r="B1947" t="str">
        <f>B1946</f>
        <v>O3</v>
      </c>
      <c r="C1947" s="7" t="s">
        <v>99</v>
      </c>
      <c r="D1947" s="18">
        <f>VLOOKUP(C1947,'DISTRIBUIÇÃO NF4267'!$E$3:$FQ$75,MATCH(B1947,'DISTRIBUIÇÃO NF4267'!$E$3:$FQ$3,0)+1,0)</f>
        <v>4</v>
      </c>
      <c r="F1947" s="28">
        <f t="shared" si="96"/>
        <v>3</v>
      </c>
    </row>
    <row r="1948" spans="1:6" x14ac:dyDescent="0.35">
      <c r="A1948">
        <f t="shared" si="97"/>
        <v>0</v>
      </c>
      <c r="B1948" t="str">
        <f t="shared" ref="B1948:B1999" si="98">B1947</f>
        <v>O3</v>
      </c>
      <c r="C1948" s="7" t="s">
        <v>100</v>
      </c>
      <c r="D1948" s="18">
        <f>VLOOKUP(C1948,'DISTRIBUIÇÃO NF4267'!$E$3:$FQ$75,MATCH(B1948,'DISTRIBUIÇÃO NF4267'!$E$3:$FQ$3,0)+1,0)</f>
        <v>8</v>
      </c>
      <c r="F1948" s="28">
        <f t="shared" si="96"/>
        <v>3</v>
      </c>
    </row>
    <row r="1949" spans="1:6" x14ac:dyDescent="0.35">
      <c r="A1949">
        <f t="shared" si="97"/>
        <v>0</v>
      </c>
      <c r="B1949" t="str">
        <f t="shared" si="98"/>
        <v>O3</v>
      </c>
      <c r="C1949" s="7" t="s">
        <v>101</v>
      </c>
      <c r="D1949" s="18">
        <f>VLOOKUP(C1949,'DISTRIBUIÇÃO NF4267'!$E$3:$FQ$75,MATCH(B1949,'DISTRIBUIÇÃO NF4267'!$E$3:$FQ$3,0)+1,0)</f>
        <v>4</v>
      </c>
      <c r="F1949" s="28">
        <f t="shared" si="96"/>
        <v>3</v>
      </c>
    </row>
    <row r="1950" spans="1:6" x14ac:dyDescent="0.35">
      <c r="A1950">
        <f t="shared" si="97"/>
        <v>0</v>
      </c>
      <c r="B1950" t="str">
        <f t="shared" si="98"/>
        <v>O3</v>
      </c>
      <c r="C1950" s="7" t="s">
        <v>102</v>
      </c>
      <c r="D1950" s="18">
        <f>VLOOKUP(C1950,'DISTRIBUIÇÃO NF4267'!$E$3:$FQ$75,MATCH(B1950,'DISTRIBUIÇÃO NF4267'!$E$3:$FQ$3,0)+1,0)</f>
        <v>4</v>
      </c>
      <c r="F1950" s="28">
        <f t="shared" si="96"/>
        <v>3</v>
      </c>
    </row>
    <row r="1951" spans="1:6" x14ac:dyDescent="0.35">
      <c r="A1951">
        <f t="shared" si="97"/>
        <v>0</v>
      </c>
      <c r="B1951" t="str">
        <f t="shared" si="98"/>
        <v>O3</v>
      </c>
      <c r="C1951" s="7" t="s">
        <v>103</v>
      </c>
      <c r="D1951" s="18">
        <f>VLOOKUP(C1951,'DISTRIBUIÇÃO NF4267'!$E$3:$FQ$75,MATCH(B1951,'DISTRIBUIÇÃO NF4267'!$E$3:$FQ$3,0)+1,0)</f>
        <v>0</v>
      </c>
      <c r="F1951" s="28">
        <f t="shared" si="96"/>
        <v>3</v>
      </c>
    </row>
    <row r="1952" spans="1:6" x14ac:dyDescent="0.35">
      <c r="A1952">
        <f t="shared" si="97"/>
        <v>0</v>
      </c>
      <c r="B1952" t="str">
        <f t="shared" si="98"/>
        <v>O3</v>
      </c>
      <c r="C1952" s="8" t="s">
        <v>107</v>
      </c>
      <c r="D1952" s="18">
        <f>VLOOKUP(C1952,'DISTRIBUIÇÃO NF4267'!$E$3:$FQ$75,MATCH(B1952,'DISTRIBUIÇÃO NF4267'!$E$3:$FQ$3,0)+1,0)</f>
        <v>0</v>
      </c>
      <c r="F1952" s="28">
        <f t="shared" si="96"/>
        <v>3</v>
      </c>
    </row>
    <row r="1953" spans="1:6" x14ac:dyDescent="0.35">
      <c r="A1953">
        <f t="shared" si="97"/>
        <v>0</v>
      </c>
      <c r="B1953" t="str">
        <f t="shared" si="98"/>
        <v>O3</v>
      </c>
      <c r="C1953" s="8" t="s">
        <v>108</v>
      </c>
      <c r="D1953" s="18">
        <f>VLOOKUP(C1953,'DISTRIBUIÇÃO NF4267'!$E$3:$FQ$75,MATCH(B1953,'DISTRIBUIÇÃO NF4267'!$E$3:$FQ$3,0)+1,0)</f>
        <v>2</v>
      </c>
      <c r="F1953" s="28">
        <f t="shared" si="96"/>
        <v>3</v>
      </c>
    </row>
    <row r="1954" spans="1:6" x14ac:dyDescent="0.35">
      <c r="A1954">
        <f t="shared" si="97"/>
        <v>0</v>
      </c>
      <c r="B1954" t="str">
        <f t="shared" si="98"/>
        <v>O3</v>
      </c>
      <c r="C1954" s="8" t="s">
        <v>109</v>
      </c>
      <c r="D1954" s="18">
        <f>VLOOKUP(C1954,'DISTRIBUIÇÃO NF4267'!$E$3:$FQ$75,MATCH(B1954,'DISTRIBUIÇÃO NF4267'!$E$3:$FQ$3,0)+1,0)</f>
        <v>4</v>
      </c>
      <c r="F1954" s="28">
        <f t="shared" si="96"/>
        <v>3</v>
      </c>
    </row>
    <row r="1955" spans="1:6" x14ac:dyDescent="0.35">
      <c r="A1955">
        <f t="shared" si="97"/>
        <v>0</v>
      </c>
      <c r="B1955" t="str">
        <f t="shared" si="98"/>
        <v>O3</v>
      </c>
      <c r="C1955" s="8" t="s">
        <v>110</v>
      </c>
      <c r="D1955" s="18">
        <f>VLOOKUP(C1955,'DISTRIBUIÇÃO NF4267'!$E$3:$FQ$75,MATCH(B1955,'DISTRIBUIÇÃO NF4267'!$E$3:$FQ$3,0)+1,0)</f>
        <v>2</v>
      </c>
      <c r="F1955" s="28">
        <f t="shared" si="96"/>
        <v>3</v>
      </c>
    </row>
    <row r="1956" spans="1:6" x14ac:dyDescent="0.35">
      <c r="A1956">
        <f t="shared" si="97"/>
        <v>0</v>
      </c>
      <c r="B1956" t="str">
        <f t="shared" si="98"/>
        <v>O3</v>
      </c>
      <c r="C1956" s="8" t="s">
        <v>111</v>
      </c>
      <c r="D1956" s="18">
        <f>VLOOKUP(C1956,'DISTRIBUIÇÃO NF4267'!$E$3:$FQ$75,MATCH(B1956,'DISTRIBUIÇÃO NF4267'!$E$3:$FQ$3,0)+1,0)</f>
        <v>2</v>
      </c>
      <c r="F1956" s="28">
        <f t="shared" si="96"/>
        <v>3</v>
      </c>
    </row>
    <row r="1957" spans="1:6" x14ac:dyDescent="0.35">
      <c r="A1957">
        <f t="shared" si="97"/>
        <v>0</v>
      </c>
      <c r="B1957" t="str">
        <f t="shared" si="98"/>
        <v>O3</v>
      </c>
      <c r="C1957" s="8" t="s">
        <v>112</v>
      </c>
      <c r="D1957" s="18">
        <f>VLOOKUP(C1957,'DISTRIBUIÇÃO NF4267'!$E$3:$FQ$75,MATCH(B1957,'DISTRIBUIÇÃO NF4267'!$E$3:$FQ$3,0)+1,0)</f>
        <v>0</v>
      </c>
      <c r="F1957" s="28">
        <f t="shared" si="96"/>
        <v>3</v>
      </c>
    </row>
    <row r="1958" spans="1:6" x14ac:dyDescent="0.35">
      <c r="A1958">
        <f t="shared" si="97"/>
        <v>0</v>
      </c>
      <c r="B1958" t="str">
        <f t="shared" si="98"/>
        <v>O3</v>
      </c>
      <c r="C1958" s="9" t="s">
        <v>113</v>
      </c>
      <c r="D1958" s="18">
        <f>VLOOKUP(C1958,'DISTRIBUIÇÃO NF4267'!$E$3:$FQ$75,MATCH(B1958,'DISTRIBUIÇÃO NF4267'!$E$3:$FQ$3,0)+1,0)</f>
        <v>0</v>
      </c>
      <c r="F1958" s="28">
        <f t="shared" si="96"/>
        <v>3</v>
      </c>
    </row>
    <row r="1959" spans="1:6" x14ac:dyDescent="0.35">
      <c r="A1959">
        <f t="shared" si="97"/>
        <v>0</v>
      </c>
      <c r="B1959" t="str">
        <f t="shared" si="98"/>
        <v>O3</v>
      </c>
      <c r="C1959" s="9" t="s">
        <v>114</v>
      </c>
      <c r="D1959" s="18">
        <f>VLOOKUP(C1959,'DISTRIBUIÇÃO NF4267'!$E$3:$FQ$75,MATCH(B1959,'DISTRIBUIÇÃO NF4267'!$E$3:$FQ$3,0)+1,0)</f>
        <v>6</v>
      </c>
      <c r="F1959" s="28">
        <f t="shared" si="96"/>
        <v>3</v>
      </c>
    </row>
    <row r="1960" spans="1:6" x14ac:dyDescent="0.35">
      <c r="A1960">
        <f t="shared" si="97"/>
        <v>0</v>
      </c>
      <c r="B1960" t="str">
        <f t="shared" si="98"/>
        <v>O3</v>
      </c>
      <c r="C1960" s="9" t="s">
        <v>115</v>
      </c>
      <c r="D1960" s="18">
        <f>VLOOKUP(C1960,'DISTRIBUIÇÃO NF4267'!$E$3:$FQ$75,MATCH(B1960,'DISTRIBUIÇÃO NF4267'!$E$3:$FQ$3,0)+1,0)</f>
        <v>8</v>
      </c>
      <c r="F1960" s="28">
        <f t="shared" si="96"/>
        <v>3</v>
      </c>
    </row>
    <row r="1961" spans="1:6" x14ac:dyDescent="0.35">
      <c r="A1961">
        <f t="shared" si="97"/>
        <v>0</v>
      </c>
      <c r="B1961" t="str">
        <f t="shared" si="98"/>
        <v>O3</v>
      </c>
      <c r="C1961" s="9" t="s">
        <v>116</v>
      </c>
      <c r="D1961" s="18">
        <f>VLOOKUP(C1961,'DISTRIBUIÇÃO NF4267'!$E$3:$FQ$75,MATCH(B1961,'DISTRIBUIÇÃO NF4267'!$E$3:$FQ$3,0)+1,0)</f>
        <v>4</v>
      </c>
      <c r="F1961" s="28">
        <f t="shared" si="96"/>
        <v>3</v>
      </c>
    </row>
    <row r="1962" spans="1:6" x14ac:dyDescent="0.35">
      <c r="A1962">
        <f t="shared" si="97"/>
        <v>0</v>
      </c>
      <c r="B1962" t="str">
        <f t="shared" si="98"/>
        <v>O3</v>
      </c>
      <c r="C1962" s="9" t="s">
        <v>117</v>
      </c>
      <c r="D1962" s="18">
        <f>VLOOKUP(C1962,'DISTRIBUIÇÃO NF4267'!$E$3:$FQ$75,MATCH(B1962,'DISTRIBUIÇÃO NF4267'!$E$3:$FQ$3,0)+1,0)</f>
        <v>2</v>
      </c>
      <c r="F1962" s="28">
        <f t="shared" si="96"/>
        <v>3</v>
      </c>
    </row>
    <row r="1963" spans="1:6" x14ac:dyDescent="0.35">
      <c r="A1963">
        <f t="shared" si="97"/>
        <v>0</v>
      </c>
      <c r="B1963" t="str">
        <f t="shared" si="98"/>
        <v>O3</v>
      </c>
      <c r="C1963" s="9" t="s">
        <v>118</v>
      </c>
      <c r="D1963" s="18">
        <f>VLOOKUP(C1963,'DISTRIBUIÇÃO NF4267'!$E$3:$FQ$75,MATCH(B1963,'DISTRIBUIÇÃO NF4267'!$E$3:$FQ$3,0)+1,0)</f>
        <v>0</v>
      </c>
      <c r="F1963" s="28">
        <f t="shared" si="96"/>
        <v>3</v>
      </c>
    </row>
    <row r="1964" spans="1:6" x14ac:dyDescent="0.35">
      <c r="A1964">
        <f t="shared" si="97"/>
        <v>0</v>
      </c>
      <c r="B1964" t="str">
        <f t="shared" si="98"/>
        <v>O3</v>
      </c>
      <c r="C1964" s="10" t="s">
        <v>119</v>
      </c>
      <c r="D1964" s="18">
        <f>VLOOKUP(C1964,'DISTRIBUIÇÃO NF4267'!$E$3:$FQ$75,MATCH(B1964,'DISTRIBUIÇÃO NF4267'!$E$3:$FQ$3,0)+1,0)</f>
        <v>0</v>
      </c>
      <c r="F1964" s="28">
        <f t="shared" si="96"/>
        <v>3</v>
      </c>
    </row>
    <row r="1965" spans="1:6" x14ac:dyDescent="0.35">
      <c r="A1965">
        <f t="shared" si="97"/>
        <v>0</v>
      </c>
      <c r="B1965" t="str">
        <f t="shared" si="98"/>
        <v>O3</v>
      </c>
      <c r="C1965" s="10" t="s">
        <v>120</v>
      </c>
      <c r="D1965" s="18">
        <f>VLOOKUP(C1965,'DISTRIBUIÇÃO NF4267'!$E$3:$FQ$75,MATCH(B1965,'DISTRIBUIÇÃO NF4267'!$E$3:$FQ$3,0)+1,0)</f>
        <v>48</v>
      </c>
      <c r="F1965" s="28">
        <f t="shared" si="96"/>
        <v>3</v>
      </c>
    </row>
    <row r="1966" spans="1:6" x14ac:dyDescent="0.35">
      <c r="A1966">
        <f t="shared" si="97"/>
        <v>0</v>
      </c>
      <c r="B1966" t="str">
        <f t="shared" si="98"/>
        <v>O3</v>
      </c>
      <c r="C1966" s="10" t="s">
        <v>121</v>
      </c>
      <c r="D1966" s="18">
        <f>VLOOKUP(C1966,'DISTRIBUIÇÃO NF4267'!$E$3:$FQ$75,MATCH(B1966,'DISTRIBUIÇÃO NF4267'!$E$3:$FQ$3,0)+1,0)</f>
        <v>16</v>
      </c>
      <c r="F1966" s="28">
        <f t="shared" si="96"/>
        <v>3</v>
      </c>
    </row>
    <row r="1967" spans="1:6" x14ac:dyDescent="0.35">
      <c r="A1967">
        <f t="shared" si="97"/>
        <v>0</v>
      </c>
      <c r="B1967" t="str">
        <f t="shared" si="98"/>
        <v>O3</v>
      </c>
      <c r="C1967" s="10" t="s">
        <v>122</v>
      </c>
      <c r="D1967" s="18">
        <f>VLOOKUP(C1967,'DISTRIBUIÇÃO NF4267'!$E$3:$FQ$75,MATCH(B1967,'DISTRIBUIÇÃO NF4267'!$E$3:$FQ$3,0)+1,0)</f>
        <v>16</v>
      </c>
      <c r="F1967" s="28">
        <f t="shared" si="96"/>
        <v>3</v>
      </c>
    </row>
    <row r="1968" spans="1:6" x14ac:dyDescent="0.35">
      <c r="A1968">
        <f t="shared" si="97"/>
        <v>0</v>
      </c>
      <c r="B1968" t="str">
        <f t="shared" si="98"/>
        <v>O3</v>
      </c>
      <c r="C1968" s="10" t="s">
        <v>123</v>
      </c>
      <c r="D1968" s="18">
        <f>VLOOKUP(C1968,'DISTRIBUIÇÃO NF4267'!$E$3:$FQ$75,MATCH(B1968,'DISTRIBUIÇÃO NF4267'!$E$3:$FQ$3,0)+1,0)</f>
        <v>0</v>
      </c>
      <c r="F1968" s="28">
        <f t="shared" si="96"/>
        <v>3</v>
      </c>
    </row>
    <row r="1969" spans="1:6" x14ac:dyDescent="0.35">
      <c r="A1969">
        <f t="shared" si="97"/>
        <v>0</v>
      </c>
      <c r="B1969" t="str">
        <f t="shared" si="98"/>
        <v>O3</v>
      </c>
      <c r="C1969" s="10" t="s">
        <v>124</v>
      </c>
      <c r="D1969" s="18">
        <f>VLOOKUP(C1969,'DISTRIBUIÇÃO NF4267'!$E$3:$FQ$75,MATCH(B1969,'DISTRIBUIÇÃO NF4267'!$E$3:$FQ$3,0)+1,0)</f>
        <v>0</v>
      </c>
      <c r="F1969" s="28">
        <f t="shared" si="96"/>
        <v>3</v>
      </c>
    </row>
    <row r="1970" spans="1:6" x14ac:dyDescent="0.35">
      <c r="A1970">
        <f t="shared" si="97"/>
        <v>0</v>
      </c>
      <c r="B1970" t="str">
        <f t="shared" si="98"/>
        <v>O3</v>
      </c>
      <c r="C1970" s="11" t="s">
        <v>16</v>
      </c>
      <c r="D1970" s="18">
        <f>VLOOKUP(C1970,'DISTRIBUIÇÃO NF4267'!$E$3:$FQ$75,MATCH(B1970,'DISTRIBUIÇÃO NF4267'!$E$3:$FQ$3,0)+1,0)</f>
        <v>0</v>
      </c>
      <c r="F1970" s="28">
        <f t="shared" si="96"/>
        <v>3</v>
      </c>
    </row>
    <row r="1971" spans="1:6" x14ac:dyDescent="0.35">
      <c r="A1971">
        <f t="shared" si="97"/>
        <v>0</v>
      </c>
      <c r="B1971" t="str">
        <f t="shared" si="98"/>
        <v>O3</v>
      </c>
      <c r="C1971" s="11" t="s">
        <v>17</v>
      </c>
      <c r="D1971" s="18">
        <f>VLOOKUP(C1971,'DISTRIBUIÇÃO NF4267'!$E$3:$FQ$75,MATCH(B1971,'DISTRIBUIÇÃO NF4267'!$E$3:$FQ$3,0)+1,0)</f>
        <v>9</v>
      </c>
      <c r="F1971" s="28">
        <f t="shared" si="96"/>
        <v>3</v>
      </c>
    </row>
    <row r="1972" spans="1:6" x14ac:dyDescent="0.35">
      <c r="A1972">
        <f t="shared" si="97"/>
        <v>0</v>
      </c>
      <c r="B1972" t="str">
        <f t="shared" si="98"/>
        <v>O3</v>
      </c>
      <c r="C1972" s="11" t="s">
        <v>18</v>
      </c>
      <c r="D1972" s="18">
        <f>VLOOKUP(C1972,'DISTRIBUIÇÃO NF4267'!$E$3:$FQ$75,MATCH(B1972,'DISTRIBUIÇÃO NF4267'!$E$3:$FQ$3,0)+1,0)</f>
        <v>3</v>
      </c>
      <c r="F1972" s="28">
        <f t="shared" si="96"/>
        <v>3</v>
      </c>
    </row>
    <row r="1973" spans="1:6" x14ac:dyDescent="0.35">
      <c r="A1973">
        <f t="shared" si="97"/>
        <v>0</v>
      </c>
      <c r="B1973" t="str">
        <f t="shared" si="98"/>
        <v>O3</v>
      </c>
      <c r="C1973" s="11" t="s">
        <v>19</v>
      </c>
      <c r="D1973" s="18">
        <f>VLOOKUP(C1973,'DISTRIBUIÇÃO NF4267'!$E$3:$FQ$75,MATCH(B1973,'DISTRIBUIÇÃO NF4267'!$E$3:$FQ$3,0)+1,0)</f>
        <v>3</v>
      </c>
      <c r="F1973" s="28">
        <f t="shared" si="96"/>
        <v>3</v>
      </c>
    </row>
    <row r="1974" spans="1:6" x14ac:dyDescent="0.35">
      <c r="A1974">
        <f t="shared" si="97"/>
        <v>0</v>
      </c>
      <c r="B1974" t="str">
        <f t="shared" si="98"/>
        <v>O3</v>
      </c>
      <c r="C1974" s="11" t="s">
        <v>20</v>
      </c>
      <c r="D1974" s="18">
        <f>VLOOKUP(C1974,'DISTRIBUIÇÃO NF4267'!$E$3:$FQ$75,MATCH(B1974,'DISTRIBUIÇÃO NF4267'!$E$3:$FQ$3,0)+1,0)</f>
        <v>15</v>
      </c>
      <c r="F1974" s="28">
        <f t="shared" si="96"/>
        <v>3</v>
      </c>
    </row>
    <row r="1975" spans="1:6" x14ac:dyDescent="0.35">
      <c r="A1975">
        <f t="shared" si="97"/>
        <v>0</v>
      </c>
      <c r="B1975" t="str">
        <f t="shared" si="98"/>
        <v>O3</v>
      </c>
      <c r="C1975" s="11" t="s">
        <v>21</v>
      </c>
      <c r="D1975" s="18">
        <f>VLOOKUP(C1975,'DISTRIBUIÇÃO NF4267'!$E$3:$FQ$75,MATCH(B1975,'DISTRIBUIÇÃO NF4267'!$E$3:$FQ$3,0)+1,0)</f>
        <v>0</v>
      </c>
      <c r="F1975" s="28">
        <f t="shared" si="96"/>
        <v>3</v>
      </c>
    </row>
    <row r="1976" spans="1:6" x14ac:dyDescent="0.35">
      <c r="A1976">
        <f t="shared" si="97"/>
        <v>0</v>
      </c>
      <c r="B1976" t="str">
        <f t="shared" si="98"/>
        <v>O3</v>
      </c>
      <c r="C1976" s="12" t="s">
        <v>130</v>
      </c>
      <c r="D1976" s="18">
        <f>VLOOKUP(C1976,'DISTRIBUIÇÃO NF4267'!$E$3:$FQ$75,MATCH(B1976,'DISTRIBUIÇÃO NF4267'!$E$3:$FQ$3,0)+1,0)</f>
        <v>0</v>
      </c>
      <c r="F1976" s="28">
        <f t="shared" ref="F1976:F2039" si="99">ROUNDUP(SUMIFS(D:D,B:B,B1976)/80,0)</f>
        <v>3</v>
      </c>
    </row>
    <row r="1977" spans="1:6" x14ac:dyDescent="0.35">
      <c r="A1977">
        <f t="shared" si="97"/>
        <v>0</v>
      </c>
      <c r="B1977" t="str">
        <f t="shared" si="98"/>
        <v>O3</v>
      </c>
      <c r="C1977" s="12" t="s">
        <v>131</v>
      </c>
      <c r="D1977" s="18">
        <f>VLOOKUP(C1977,'DISTRIBUIÇÃO NF4267'!$E$3:$FQ$75,MATCH(B1977,'DISTRIBUIÇÃO NF4267'!$E$3:$FQ$3,0)+1,0)</f>
        <v>1</v>
      </c>
      <c r="F1977" s="28">
        <f t="shared" si="99"/>
        <v>3</v>
      </c>
    </row>
    <row r="1978" spans="1:6" x14ac:dyDescent="0.35">
      <c r="A1978">
        <f t="shared" si="97"/>
        <v>0</v>
      </c>
      <c r="B1978" t="str">
        <f t="shared" si="98"/>
        <v>O3</v>
      </c>
      <c r="C1978" s="12" t="s">
        <v>132</v>
      </c>
      <c r="D1978" s="18">
        <f>VLOOKUP(C1978,'DISTRIBUIÇÃO NF4267'!$E$3:$FQ$75,MATCH(B1978,'DISTRIBUIÇÃO NF4267'!$E$3:$FQ$3,0)+1,0)</f>
        <v>4</v>
      </c>
      <c r="F1978" s="28">
        <f t="shared" si="99"/>
        <v>3</v>
      </c>
    </row>
    <row r="1979" spans="1:6" x14ac:dyDescent="0.35">
      <c r="A1979">
        <f t="shared" si="97"/>
        <v>0</v>
      </c>
      <c r="B1979" t="str">
        <f t="shared" si="98"/>
        <v>O3</v>
      </c>
      <c r="C1979" s="12" t="s">
        <v>133</v>
      </c>
      <c r="D1979" s="18">
        <f>VLOOKUP(C1979,'DISTRIBUIÇÃO NF4267'!$E$3:$FQ$75,MATCH(B1979,'DISTRIBUIÇÃO NF4267'!$E$3:$FQ$3,0)+1,0)</f>
        <v>3</v>
      </c>
      <c r="F1979" s="28">
        <f t="shared" si="99"/>
        <v>3</v>
      </c>
    </row>
    <row r="1980" spans="1:6" x14ac:dyDescent="0.35">
      <c r="A1980">
        <f t="shared" si="97"/>
        <v>0</v>
      </c>
      <c r="B1980" t="str">
        <f t="shared" si="98"/>
        <v>O3</v>
      </c>
      <c r="C1980" s="12" t="s">
        <v>134</v>
      </c>
      <c r="D1980" s="18">
        <f>VLOOKUP(C1980,'DISTRIBUIÇÃO NF4267'!$E$3:$FQ$75,MATCH(B1980,'DISTRIBUIÇÃO NF4267'!$E$3:$FQ$3,0)+1,0)</f>
        <v>2</v>
      </c>
      <c r="F1980" s="28">
        <f t="shared" si="99"/>
        <v>3</v>
      </c>
    </row>
    <row r="1981" spans="1:6" x14ac:dyDescent="0.35">
      <c r="A1981">
        <f t="shared" si="97"/>
        <v>0</v>
      </c>
      <c r="B1981" t="str">
        <f t="shared" si="98"/>
        <v>O3</v>
      </c>
      <c r="C1981" s="12" t="s">
        <v>135</v>
      </c>
      <c r="D1981" s="18">
        <f>VLOOKUP(C1981,'DISTRIBUIÇÃO NF4267'!$E$3:$FQ$75,MATCH(B1981,'DISTRIBUIÇÃO NF4267'!$E$3:$FQ$3,0)+1,0)</f>
        <v>0</v>
      </c>
      <c r="F1981" s="28">
        <f t="shared" si="99"/>
        <v>3</v>
      </c>
    </row>
    <row r="1982" spans="1:6" x14ac:dyDescent="0.35">
      <c r="A1982">
        <f t="shared" si="97"/>
        <v>0</v>
      </c>
      <c r="B1982" t="str">
        <f t="shared" si="98"/>
        <v>O3</v>
      </c>
      <c r="C1982" s="13" t="s">
        <v>22</v>
      </c>
      <c r="D1982" s="18">
        <f>VLOOKUP(C1982,'DISTRIBUIÇÃO NF4267'!$E$3:$FQ$75,MATCH(B1982,'DISTRIBUIÇÃO NF4267'!$E$3:$FQ$3,0)+1,0)</f>
        <v>0</v>
      </c>
      <c r="F1982" s="28">
        <f t="shared" si="99"/>
        <v>3</v>
      </c>
    </row>
    <row r="1983" spans="1:6" x14ac:dyDescent="0.35">
      <c r="A1983">
        <f t="shared" si="97"/>
        <v>0</v>
      </c>
      <c r="B1983" t="str">
        <f t="shared" si="98"/>
        <v>O3</v>
      </c>
      <c r="C1983" s="13" t="s">
        <v>23</v>
      </c>
      <c r="D1983" s="18">
        <f>VLOOKUP(C1983,'DISTRIBUIÇÃO NF4267'!$E$3:$FQ$75,MATCH(B1983,'DISTRIBUIÇÃO NF4267'!$E$3:$FQ$3,0)+1,0)</f>
        <v>1</v>
      </c>
      <c r="F1983" s="28">
        <f t="shared" si="99"/>
        <v>3</v>
      </c>
    </row>
    <row r="1984" spans="1:6" x14ac:dyDescent="0.35">
      <c r="A1984">
        <f t="shared" si="97"/>
        <v>0</v>
      </c>
      <c r="B1984" t="str">
        <f t="shared" si="98"/>
        <v>O3</v>
      </c>
      <c r="C1984" s="13" t="s">
        <v>24</v>
      </c>
      <c r="D1984" s="18">
        <f>VLOOKUP(C1984,'DISTRIBUIÇÃO NF4267'!$E$3:$FQ$75,MATCH(B1984,'DISTRIBUIÇÃO NF4267'!$E$3:$FQ$3,0)+1,0)</f>
        <v>6</v>
      </c>
      <c r="F1984" s="28">
        <f t="shared" si="99"/>
        <v>3</v>
      </c>
    </row>
    <row r="1985" spans="1:6" x14ac:dyDescent="0.35">
      <c r="A1985">
        <f t="shared" si="97"/>
        <v>0</v>
      </c>
      <c r="B1985" t="str">
        <f t="shared" si="98"/>
        <v>O3</v>
      </c>
      <c r="C1985" s="13" t="s">
        <v>25</v>
      </c>
      <c r="D1985" s="18">
        <f>VLOOKUP(C1985,'DISTRIBUIÇÃO NF4267'!$E$3:$FQ$75,MATCH(B1985,'DISTRIBUIÇÃO NF4267'!$E$3:$FQ$3,0)+1,0)</f>
        <v>2</v>
      </c>
      <c r="F1985" s="28">
        <f t="shared" si="99"/>
        <v>3</v>
      </c>
    </row>
    <row r="1986" spans="1:6" x14ac:dyDescent="0.35">
      <c r="A1986">
        <f t="shared" ref="A1986:A2049" si="100">IF(ISERROR(VLOOKUP(C1986,I:I,1,0)),0,1)</f>
        <v>0</v>
      </c>
      <c r="B1986" t="str">
        <f t="shared" si="98"/>
        <v>O3</v>
      </c>
      <c r="C1986" s="13" t="s">
        <v>26</v>
      </c>
      <c r="D1986" s="18">
        <f>VLOOKUP(C1986,'DISTRIBUIÇÃO NF4267'!$E$3:$FQ$75,MATCH(B1986,'DISTRIBUIÇÃO NF4267'!$E$3:$FQ$3,0)+1,0)</f>
        <v>1</v>
      </c>
      <c r="F1986" s="28">
        <f t="shared" si="99"/>
        <v>3</v>
      </c>
    </row>
    <row r="1987" spans="1:6" x14ac:dyDescent="0.35">
      <c r="A1987">
        <f t="shared" si="100"/>
        <v>0</v>
      </c>
      <c r="B1987" t="str">
        <f t="shared" si="98"/>
        <v>O3</v>
      </c>
      <c r="C1987" s="13" t="s">
        <v>27</v>
      </c>
      <c r="D1987" s="18">
        <f>VLOOKUP(C1987,'DISTRIBUIÇÃO NF4267'!$E$3:$FQ$75,MATCH(B1987,'DISTRIBUIÇÃO NF4267'!$E$3:$FQ$3,0)+1,0)</f>
        <v>0</v>
      </c>
      <c r="F1987" s="28">
        <f t="shared" si="99"/>
        <v>3</v>
      </c>
    </row>
    <row r="1988" spans="1:6" x14ac:dyDescent="0.35">
      <c r="A1988">
        <f t="shared" si="100"/>
        <v>0</v>
      </c>
      <c r="B1988" t="str">
        <f t="shared" si="98"/>
        <v>O3</v>
      </c>
      <c r="C1988" s="14" t="s">
        <v>138</v>
      </c>
      <c r="D1988" s="18">
        <f>VLOOKUP(C1988,'DISTRIBUIÇÃO NF4267'!$E$3:$FQ$75,MATCH(B1988,'DISTRIBUIÇÃO NF4267'!$E$3:$FQ$3,0)+1,0)</f>
        <v>0</v>
      </c>
      <c r="F1988" s="28">
        <f t="shared" si="99"/>
        <v>3</v>
      </c>
    </row>
    <row r="1989" spans="1:6" x14ac:dyDescent="0.35">
      <c r="A1989">
        <f t="shared" si="100"/>
        <v>0</v>
      </c>
      <c r="B1989" t="str">
        <f t="shared" si="98"/>
        <v>O3</v>
      </c>
      <c r="C1989" s="14" t="s">
        <v>139</v>
      </c>
      <c r="D1989" s="18">
        <f>VLOOKUP(C1989,'DISTRIBUIÇÃO NF4267'!$E$3:$FQ$75,MATCH(B1989,'DISTRIBUIÇÃO NF4267'!$E$3:$FQ$3,0)+1,0)</f>
        <v>4</v>
      </c>
      <c r="F1989" s="28">
        <f t="shared" si="99"/>
        <v>3</v>
      </c>
    </row>
    <row r="1990" spans="1:6" x14ac:dyDescent="0.35">
      <c r="A1990">
        <f t="shared" si="100"/>
        <v>0</v>
      </c>
      <c r="B1990" t="str">
        <f t="shared" si="98"/>
        <v>O3</v>
      </c>
      <c r="C1990" s="14" t="s">
        <v>140</v>
      </c>
      <c r="D1990" s="18">
        <f>VLOOKUP(C1990,'DISTRIBUIÇÃO NF4267'!$E$3:$FQ$75,MATCH(B1990,'DISTRIBUIÇÃO NF4267'!$E$3:$FQ$3,0)+1,0)</f>
        <v>8</v>
      </c>
      <c r="F1990" s="28">
        <f t="shared" si="99"/>
        <v>3</v>
      </c>
    </row>
    <row r="1991" spans="1:6" x14ac:dyDescent="0.35">
      <c r="A1991">
        <f t="shared" si="100"/>
        <v>0</v>
      </c>
      <c r="B1991" t="str">
        <f t="shared" si="98"/>
        <v>O3</v>
      </c>
      <c r="C1991" s="14" t="s">
        <v>141</v>
      </c>
      <c r="D1991" s="18">
        <f>VLOOKUP(C1991,'DISTRIBUIÇÃO NF4267'!$E$3:$FQ$75,MATCH(B1991,'DISTRIBUIÇÃO NF4267'!$E$3:$FQ$3,0)+1,0)</f>
        <v>4</v>
      </c>
      <c r="F1991" s="28">
        <f t="shared" si="99"/>
        <v>3</v>
      </c>
    </row>
    <row r="1992" spans="1:6" x14ac:dyDescent="0.35">
      <c r="A1992">
        <f t="shared" si="100"/>
        <v>0</v>
      </c>
      <c r="B1992" t="str">
        <f t="shared" si="98"/>
        <v>O3</v>
      </c>
      <c r="C1992" s="14" t="s">
        <v>142</v>
      </c>
      <c r="D1992" s="18">
        <f>VLOOKUP(C1992,'DISTRIBUIÇÃO NF4267'!$E$3:$FQ$75,MATCH(B1992,'DISTRIBUIÇÃO NF4267'!$E$3:$FQ$3,0)+1,0)</f>
        <v>4</v>
      </c>
      <c r="F1992" s="28">
        <f t="shared" si="99"/>
        <v>3</v>
      </c>
    </row>
    <row r="1993" spans="1:6" x14ac:dyDescent="0.35">
      <c r="A1993">
        <f t="shared" si="100"/>
        <v>0</v>
      </c>
      <c r="B1993" t="str">
        <f t="shared" si="98"/>
        <v>O3</v>
      </c>
      <c r="C1993" s="14" t="s">
        <v>143</v>
      </c>
      <c r="D1993" s="18">
        <f>VLOOKUP(C1993,'DISTRIBUIÇÃO NF4267'!$E$3:$FQ$75,MATCH(B1993,'DISTRIBUIÇÃO NF4267'!$E$3:$FQ$3,0)+1,0)</f>
        <v>0</v>
      </c>
      <c r="F1993" s="28">
        <f t="shared" si="99"/>
        <v>3</v>
      </c>
    </row>
    <row r="1994" spans="1:6" x14ac:dyDescent="0.35">
      <c r="A1994">
        <f t="shared" si="100"/>
        <v>0</v>
      </c>
      <c r="B1994" t="str">
        <f t="shared" si="98"/>
        <v>O3</v>
      </c>
      <c r="C1994" s="15" t="s">
        <v>145</v>
      </c>
      <c r="D1994" s="18">
        <f>VLOOKUP(C1994,'DISTRIBUIÇÃO NF4267'!$E$3:$FQ$75,MATCH(B1994,'DISTRIBUIÇÃO NF4267'!$E$3:$FQ$3,0)+1,0)</f>
        <v>0</v>
      </c>
      <c r="F1994" s="28">
        <f t="shared" si="99"/>
        <v>3</v>
      </c>
    </row>
    <row r="1995" spans="1:6" x14ac:dyDescent="0.35">
      <c r="A1995">
        <f t="shared" si="100"/>
        <v>0</v>
      </c>
      <c r="B1995" t="str">
        <f t="shared" si="98"/>
        <v>O3</v>
      </c>
      <c r="C1995" s="15" t="s">
        <v>146</v>
      </c>
      <c r="D1995" s="18">
        <f>VLOOKUP(C1995,'DISTRIBUIÇÃO NF4267'!$E$3:$FQ$75,MATCH(B1995,'DISTRIBUIÇÃO NF4267'!$E$3:$FQ$3,0)+1,0)</f>
        <v>2</v>
      </c>
      <c r="F1995" s="28">
        <f t="shared" si="99"/>
        <v>3</v>
      </c>
    </row>
    <row r="1996" spans="1:6" x14ac:dyDescent="0.35">
      <c r="A1996">
        <f t="shared" si="100"/>
        <v>0</v>
      </c>
      <c r="B1996" t="str">
        <f t="shared" si="98"/>
        <v>O3</v>
      </c>
      <c r="C1996" s="15" t="s">
        <v>147</v>
      </c>
      <c r="D1996" s="18">
        <f>VLOOKUP(C1996,'DISTRIBUIÇÃO NF4267'!$E$3:$FQ$75,MATCH(B1996,'DISTRIBUIÇÃO NF4267'!$E$3:$FQ$3,0)+1,0)</f>
        <v>4</v>
      </c>
      <c r="F1996" s="28">
        <f t="shared" si="99"/>
        <v>3</v>
      </c>
    </row>
    <row r="1997" spans="1:6" x14ac:dyDescent="0.35">
      <c r="A1997">
        <f t="shared" si="100"/>
        <v>0</v>
      </c>
      <c r="B1997" t="str">
        <f t="shared" si="98"/>
        <v>O3</v>
      </c>
      <c r="C1997" s="15" t="s">
        <v>148</v>
      </c>
      <c r="D1997" s="18">
        <f>VLOOKUP(C1997,'DISTRIBUIÇÃO NF4267'!$E$3:$FQ$75,MATCH(B1997,'DISTRIBUIÇÃO NF4267'!$E$3:$FQ$3,0)+1,0)</f>
        <v>2</v>
      </c>
      <c r="F1997" s="28">
        <f t="shared" si="99"/>
        <v>3</v>
      </c>
    </row>
    <row r="1998" spans="1:6" x14ac:dyDescent="0.35">
      <c r="A1998">
        <f t="shared" si="100"/>
        <v>0</v>
      </c>
      <c r="B1998" t="str">
        <f t="shared" si="98"/>
        <v>O3</v>
      </c>
      <c r="C1998" s="15" t="s">
        <v>149</v>
      </c>
      <c r="D1998" s="18">
        <f>VLOOKUP(C1998,'DISTRIBUIÇÃO NF4267'!$E$3:$FQ$75,MATCH(B1998,'DISTRIBUIÇÃO NF4267'!$E$3:$FQ$3,0)+1,0)</f>
        <v>2</v>
      </c>
      <c r="F1998" s="28">
        <f t="shared" si="99"/>
        <v>3</v>
      </c>
    </row>
    <row r="1999" spans="1:6" x14ac:dyDescent="0.35">
      <c r="A1999">
        <f t="shared" si="100"/>
        <v>0</v>
      </c>
      <c r="B1999" t="str">
        <f t="shared" si="98"/>
        <v>O3</v>
      </c>
      <c r="C1999" s="15" t="s">
        <v>150</v>
      </c>
      <c r="D1999" s="18">
        <f>VLOOKUP(C1999,'DISTRIBUIÇÃO NF4267'!$E$3:$FQ$75,MATCH(B1999,'DISTRIBUIÇÃO NF4267'!$E$3:$FQ$3,0)+1,0)</f>
        <v>0</v>
      </c>
      <c r="F1999" s="28">
        <f t="shared" si="99"/>
        <v>3</v>
      </c>
    </row>
    <row r="2000" spans="1:6" x14ac:dyDescent="0.35">
      <c r="A2000">
        <f t="shared" si="100"/>
        <v>0</v>
      </c>
      <c r="B2000" t="s">
        <v>54</v>
      </c>
      <c r="C2000" s="7" t="s">
        <v>98</v>
      </c>
      <c r="D2000" s="18">
        <f>VLOOKUP(C2000,'DISTRIBUIÇÃO NF4267'!$E$3:$FQ$75,MATCH(B2000,'DISTRIBUIÇÃO NF4267'!$E$3:$FQ$3,0)+1,0)</f>
        <v>0</v>
      </c>
      <c r="F2000" s="28">
        <f t="shared" si="99"/>
        <v>3</v>
      </c>
    </row>
    <row r="2001" spans="1:6" x14ac:dyDescent="0.35">
      <c r="A2001">
        <f t="shared" si="100"/>
        <v>0</v>
      </c>
      <c r="B2001" t="str">
        <f>B2000</f>
        <v>B2</v>
      </c>
      <c r="C2001" s="7" t="s">
        <v>99</v>
      </c>
      <c r="D2001" s="18">
        <f>VLOOKUP(C2001,'DISTRIBUIÇÃO NF4267'!$E$3:$FQ$75,MATCH(B2001,'DISTRIBUIÇÃO NF4267'!$E$3:$FQ$3,0)+1,0)</f>
        <v>4</v>
      </c>
      <c r="F2001" s="28">
        <f t="shared" si="99"/>
        <v>3</v>
      </c>
    </row>
    <row r="2002" spans="1:6" x14ac:dyDescent="0.35">
      <c r="A2002">
        <f t="shared" si="100"/>
        <v>0</v>
      </c>
      <c r="B2002" t="str">
        <f t="shared" ref="B2002:B2053" si="101">B2001</f>
        <v>B2</v>
      </c>
      <c r="C2002" s="7" t="s">
        <v>100</v>
      </c>
      <c r="D2002" s="18">
        <f>VLOOKUP(C2002,'DISTRIBUIÇÃO NF4267'!$E$3:$FQ$75,MATCH(B2002,'DISTRIBUIÇÃO NF4267'!$E$3:$FQ$3,0)+1,0)</f>
        <v>8</v>
      </c>
      <c r="F2002" s="28">
        <f t="shared" si="99"/>
        <v>3</v>
      </c>
    </row>
    <row r="2003" spans="1:6" x14ac:dyDescent="0.35">
      <c r="A2003">
        <f t="shared" si="100"/>
        <v>0</v>
      </c>
      <c r="B2003" t="str">
        <f t="shared" si="101"/>
        <v>B2</v>
      </c>
      <c r="C2003" s="7" t="s">
        <v>101</v>
      </c>
      <c r="D2003" s="18">
        <f>VLOOKUP(C2003,'DISTRIBUIÇÃO NF4267'!$E$3:$FQ$75,MATCH(B2003,'DISTRIBUIÇÃO NF4267'!$E$3:$FQ$3,0)+1,0)</f>
        <v>4</v>
      </c>
      <c r="F2003" s="28">
        <f t="shared" si="99"/>
        <v>3</v>
      </c>
    </row>
    <row r="2004" spans="1:6" x14ac:dyDescent="0.35">
      <c r="A2004">
        <f t="shared" si="100"/>
        <v>0</v>
      </c>
      <c r="B2004" t="str">
        <f t="shared" si="101"/>
        <v>B2</v>
      </c>
      <c r="C2004" s="7" t="s">
        <v>102</v>
      </c>
      <c r="D2004" s="18">
        <f>VLOOKUP(C2004,'DISTRIBUIÇÃO NF4267'!$E$3:$FQ$75,MATCH(B2004,'DISTRIBUIÇÃO NF4267'!$E$3:$FQ$3,0)+1,0)</f>
        <v>4</v>
      </c>
      <c r="F2004" s="28">
        <f t="shared" si="99"/>
        <v>3</v>
      </c>
    </row>
    <row r="2005" spans="1:6" x14ac:dyDescent="0.35">
      <c r="A2005">
        <f t="shared" si="100"/>
        <v>0</v>
      </c>
      <c r="B2005" t="str">
        <f t="shared" si="101"/>
        <v>B2</v>
      </c>
      <c r="C2005" s="7" t="s">
        <v>103</v>
      </c>
      <c r="D2005" s="18">
        <f>VLOOKUP(C2005,'DISTRIBUIÇÃO NF4267'!$E$3:$FQ$75,MATCH(B2005,'DISTRIBUIÇÃO NF4267'!$E$3:$FQ$3,0)+1,0)</f>
        <v>0</v>
      </c>
      <c r="F2005" s="28">
        <f t="shared" si="99"/>
        <v>3</v>
      </c>
    </row>
    <row r="2006" spans="1:6" x14ac:dyDescent="0.35">
      <c r="A2006">
        <f t="shared" si="100"/>
        <v>0</v>
      </c>
      <c r="B2006" t="str">
        <f t="shared" si="101"/>
        <v>B2</v>
      </c>
      <c r="C2006" s="8" t="s">
        <v>107</v>
      </c>
      <c r="D2006" s="18">
        <f>VLOOKUP(C2006,'DISTRIBUIÇÃO NF4267'!$E$3:$FQ$75,MATCH(B2006,'DISTRIBUIÇÃO NF4267'!$E$3:$FQ$3,0)+1,0)</f>
        <v>0</v>
      </c>
      <c r="F2006" s="28">
        <f t="shared" si="99"/>
        <v>3</v>
      </c>
    </row>
    <row r="2007" spans="1:6" x14ac:dyDescent="0.35">
      <c r="A2007">
        <f t="shared" si="100"/>
        <v>0</v>
      </c>
      <c r="B2007" t="str">
        <f t="shared" si="101"/>
        <v>B2</v>
      </c>
      <c r="C2007" s="8" t="s">
        <v>108</v>
      </c>
      <c r="D2007" s="18">
        <f>VLOOKUP(C2007,'DISTRIBUIÇÃO NF4267'!$E$3:$FQ$75,MATCH(B2007,'DISTRIBUIÇÃO NF4267'!$E$3:$FQ$3,0)+1,0)</f>
        <v>2</v>
      </c>
      <c r="F2007" s="28">
        <f t="shared" si="99"/>
        <v>3</v>
      </c>
    </row>
    <row r="2008" spans="1:6" x14ac:dyDescent="0.35">
      <c r="A2008">
        <f t="shared" si="100"/>
        <v>0</v>
      </c>
      <c r="B2008" t="str">
        <f t="shared" si="101"/>
        <v>B2</v>
      </c>
      <c r="C2008" s="8" t="s">
        <v>109</v>
      </c>
      <c r="D2008" s="18">
        <f>VLOOKUP(C2008,'DISTRIBUIÇÃO NF4267'!$E$3:$FQ$75,MATCH(B2008,'DISTRIBUIÇÃO NF4267'!$E$3:$FQ$3,0)+1,0)</f>
        <v>4</v>
      </c>
      <c r="F2008" s="28">
        <f t="shared" si="99"/>
        <v>3</v>
      </c>
    </row>
    <row r="2009" spans="1:6" x14ac:dyDescent="0.35">
      <c r="A2009">
        <f t="shared" si="100"/>
        <v>0</v>
      </c>
      <c r="B2009" t="str">
        <f t="shared" si="101"/>
        <v>B2</v>
      </c>
      <c r="C2009" s="8" t="s">
        <v>110</v>
      </c>
      <c r="D2009" s="18">
        <f>VLOOKUP(C2009,'DISTRIBUIÇÃO NF4267'!$E$3:$FQ$75,MATCH(B2009,'DISTRIBUIÇÃO NF4267'!$E$3:$FQ$3,0)+1,0)</f>
        <v>2</v>
      </c>
      <c r="F2009" s="28">
        <f t="shared" si="99"/>
        <v>3</v>
      </c>
    </row>
    <row r="2010" spans="1:6" x14ac:dyDescent="0.35">
      <c r="A2010">
        <f t="shared" si="100"/>
        <v>0</v>
      </c>
      <c r="B2010" t="str">
        <f t="shared" si="101"/>
        <v>B2</v>
      </c>
      <c r="C2010" s="8" t="s">
        <v>111</v>
      </c>
      <c r="D2010" s="18">
        <f>VLOOKUP(C2010,'DISTRIBUIÇÃO NF4267'!$E$3:$FQ$75,MATCH(B2010,'DISTRIBUIÇÃO NF4267'!$E$3:$FQ$3,0)+1,0)</f>
        <v>2</v>
      </c>
      <c r="F2010" s="28">
        <f t="shared" si="99"/>
        <v>3</v>
      </c>
    </row>
    <row r="2011" spans="1:6" x14ac:dyDescent="0.35">
      <c r="A2011">
        <f t="shared" si="100"/>
        <v>0</v>
      </c>
      <c r="B2011" t="str">
        <f t="shared" si="101"/>
        <v>B2</v>
      </c>
      <c r="C2011" s="8" t="s">
        <v>112</v>
      </c>
      <c r="D2011" s="18">
        <f>VLOOKUP(C2011,'DISTRIBUIÇÃO NF4267'!$E$3:$FQ$75,MATCH(B2011,'DISTRIBUIÇÃO NF4267'!$E$3:$FQ$3,0)+1,0)</f>
        <v>0</v>
      </c>
      <c r="F2011" s="28">
        <f t="shared" si="99"/>
        <v>3</v>
      </c>
    </row>
    <row r="2012" spans="1:6" x14ac:dyDescent="0.35">
      <c r="A2012">
        <f t="shared" si="100"/>
        <v>0</v>
      </c>
      <c r="B2012" t="str">
        <f t="shared" si="101"/>
        <v>B2</v>
      </c>
      <c r="C2012" s="9" t="s">
        <v>113</v>
      </c>
      <c r="D2012" s="18">
        <f>VLOOKUP(C2012,'DISTRIBUIÇÃO NF4267'!$E$3:$FQ$75,MATCH(B2012,'DISTRIBUIÇÃO NF4267'!$E$3:$FQ$3,0)+1,0)</f>
        <v>0</v>
      </c>
      <c r="F2012" s="28">
        <f t="shared" si="99"/>
        <v>3</v>
      </c>
    </row>
    <row r="2013" spans="1:6" x14ac:dyDescent="0.35">
      <c r="A2013">
        <f t="shared" si="100"/>
        <v>0</v>
      </c>
      <c r="B2013" t="str">
        <f t="shared" si="101"/>
        <v>B2</v>
      </c>
      <c r="C2013" s="9" t="s">
        <v>114</v>
      </c>
      <c r="D2013" s="18">
        <f>VLOOKUP(C2013,'DISTRIBUIÇÃO NF4267'!$E$3:$FQ$75,MATCH(B2013,'DISTRIBUIÇÃO NF4267'!$E$3:$FQ$3,0)+1,0)</f>
        <v>6</v>
      </c>
      <c r="F2013" s="28">
        <f t="shared" si="99"/>
        <v>3</v>
      </c>
    </row>
    <row r="2014" spans="1:6" x14ac:dyDescent="0.35">
      <c r="A2014">
        <f t="shared" si="100"/>
        <v>0</v>
      </c>
      <c r="B2014" t="str">
        <f t="shared" si="101"/>
        <v>B2</v>
      </c>
      <c r="C2014" s="9" t="s">
        <v>115</v>
      </c>
      <c r="D2014" s="18">
        <f>VLOOKUP(C2014,'DISTRIBUIÇÃO NF4267'!$E$3:$FQ$75,MATCH(B2014,'DISTRIBUIÇÃO NF4267'!$E$3:$FQ$3,0)+1,0)</f>
        <v>8</v>
      </c>
      <c r="F2014" s="28">
        <f t="shared" si="99"/>
        <v>3</v>
      </c>
    </row>
    <row r="2015" spans="1:6" x14ac:dyDescent="0.35">
      <c r="A2015">
        <f t="shared" si="100"/>
        <v>0</v>
      </c>
      <c r="B2015" t="str">
        <f t="shared" si="101"/>
        <v>B2</v>
      </c>
      <c r="C2015" s="9" t="s">
        <v>116</v>
      </c>
      <c r="D2015" s="18">
        <f>VLOOKUP(C2015,'DISTRIBUIÇÃO NF4267'!$E$3:$FQ$75,MATCH(B2015,'DISTRIBUIÇÃO NF4267'!$E$3:$FQ$3,0)+1,0)</f>
        <v>4</v>
      </c>
      <c r="F2015" s="28">
        <f t="shared" si="99"/>
        <v>3</v>
      </c>
    </row>
    <row r="2016" spans="1:6" x14ac:dyDescent="0.35">
      <c r="A2016">
        <f t="shared" si="100"/>
        <v>0</v>
      </c>
      <c r="B2016" t="str">
        <f t="shared" si="101"/>
        <v>B2</v>
      </c>
      <c r="C2016" s="9" t="s">
        <v>117</v>
      </c>
      <c r="D2016" s="18">
        <f>VLOOKUP(C2016,'DISTRIBUIÇÃO NF4267'!$E$3:$FQ$75,MATCH(B2016,'DISTRIBUIÇÃO NF4267'!$E$3:$FQ$3,0)+1,0)</f>
        <v>2</v>
      </c>
      <c r="F2016" s="28">
        <f t="shared" si="99"/>
        <v>3</v>
      </c>
    </row>
    <row r="2017" spans="1:6" x14ac:dyDescent="0.35">
      <c r="A2017">
        <f t="shared" si="100"/>
        <v>0</v>
      </c>
      <c r="B2017" t="str">
        <f t="shared" si="101"/>
        <v>B2</v>
      </c>
      <c r="C2017" s="9" t="s">
        <v>118</v>
      </c>
      <c r="D2017" s="18">
        <f>VLOOKUP(C2017,'DISTRIBUIÇÃO NF4267'!$E$3:$FQ$75,MATCH(B2017,'DISTRIBUIÇÃO NF4267'!$E$3:$FQ$3,0)+1,0)</f>
        <v>0</v>
      </c>
      <c r="F2017" s="28">
        <f t="shared" si="99"/>
        <v>3</v>
      </c>
    </row>
    <row r="2018" spans="1:6" x14ac:dyDescent="0.35">
      <c r="A2018">
        <f t="shared" si="100"/>
        <v>0</v>
      </c>
      <c r="B2018" t="str">
        <f t="shared" si="101"/>
        <v>B2</v>
      </c>
      <c r="C2018" s="10" t="s">
        <v>119</v>
      </c>
      <c r="D2018" s="18">
        <f>VLOOKUP(C2018,'DISTRIBUIÇÃO NF4267'!$E$3:$FQ$75,MATCH(B2018,'DISTRIBUIÇÃO NF4267'!$E$3:$FQ$3,0)+1,0)</f>
        <v>0</v>
      </c>
      <c r="F2018" s="28">
        <f t="shared" si="99"/>
        <v>3</v>
      </c>
    </row>
    <row r="2019" spans="1:6" x14ac:dyDescent="0.35">
      <c r="A2019">
        <f t="shared" si="100"/>
        <v>0</v>
      </c>
      <c r="B2019" t="str">
        <f t="shared" si="101"/>
        <v>B2</v>
      </c>
      <c r="C2019" s="10" t="s">
        <v>120</v>
      </c>
      <c r="D2019" s="18">
        <f>VLOOKUP(C2019,'DISTRIBUIÇÃO NF4267'!$E$3:$FQ$75,MATCH(B2019,'DISTRIBUIÇÃO NF4267'!$E$3:$FQ$3,0)+1,0)</f>
        <v>48</v>
      </c>
      <c r="F2019" s="28">
        <f t="shared" si="99"/>
        <v>3</v>
      </c>
    </row>
    <row r="2020" spans="1:6" x14ac:dyDescent="0.35">
      <c r="A2020">
        <f t="shared" si="100"/>
        <v>0</v>
      </c>
      <c r="B2020" t="str">
        <f t="shared" si="101"/>
        <v>B2</v>
      </c>
      <c r="C2020" s="10" t="s">
        <v>121</v>
      </c>
      <c r="D2020" s="18">
        <f>VLOOKUP(C2020,'DISTRIBUIÇÃO NF4267'!$E$3:$FQ$75,MATCH(B2020,'DISTRIBUIÇÃO NF4267'!$E$3:$FQ$3,0)+1,0)</f>
        <v>16</v>
      </c>
      <c r="F2020" s="28">
        <f t="shared" si="99"/>
        <v>3</v>
      </c>
    </row>
    <row r="2021" spans="1:6" x14ac:dyDescent="0.35">
      <c r="A2021">
        <f t="shared" si="100"/>
        <v>0</v>
      </c>
      <c r="B2021" t="str">
        <f t="shared" si="101"/>
        <v>B2</v>
      </c>
      <c r="C2021" s="10" t="s">
        <v>122</v>
      </c>
      <c r="D2021" s="18">
        <f>VLOOKUP(C2021,'DISTRIBUIÇÃO NF4267'!$E$3:$FQ$75,MATCH(B2021,'DISTRIBUIÇÃO NF4267'!$E$3:$FQ$3,0)+1,0)</f>
        <v>16</v>
      </c>
      <c r="F2021" s="28">
        <f t="shared" si="99"/>
        <v>3</v>
      </c>
    </row>
    <row r="2022" spans="1:6" x14ac:dyDescent="0.35">
      <c r="A2022">
        <f t="shared" si="100"/>
        <v>0</v>
      </c>
      <c r="B2022" t="str">
        <f t="shared" si="101"/>
        <v>B2</v>
      </c>
      <c r="C2022" s="10" t="s">
        <v>123</v>
      </c>
      <c r="D2022" s="18">
        <f>VLOOKUP(C2022,'DISTRIBUIÇÃO NF4267'!$E$3:$FQ$75,MATCH(B2022,'DISTRIBUIÇÃO NF4267'!$E$3:$FQ$3,0)+1,0)</f>
        <v>0</v>
      </c>
      <c r="F2022" s="28">
        <f t="shared" si="99"/>
        <v>3</v>
      </c>
    </row>
    <row r="2023" spans="1:6" x14ac:dyDescent="0.35">
      <c r="A2023">
        <f t="shared" si="100"/>
        <v>0</v>
      </c>
      <c r="B2023" t="str">
        <f t="shared" si="101"/>
        <v>B2</v>
      </c>
      <c r="C2023" s="10" t="s">
        <v>124</v>
      </c>
      <c r="D2023" s="18">
        <f>VLOOKUP(C2023,'DISTRIBUIÇÃO NF4267'!$E$3:$FQ$75,MATCH(B2023,'DISTRIBUIÇÃO NF4267'!$E$3:$FQ$3,0)+1,0)</f>
        <v>0</v>
      </c>
      <c r="F2023" s="28">
        <f t="shared" si="99"/>
        <v>3</v>
      </c>
    </row>
    <row r="2024" spans="1:6" x14ac:dyDescent="0.35">
      <c r="A2024">
        <f t="shared" si="100"/>
        <v>0</v>
      </c>
      <c r="B2024" t="str">
        <f t="shared" si="101"/>
        <v>B2</v>
      </c>
      <c r="C2024" s="11" t="s">
        <v>16</v>
      </c>
      <c r="D2024" s="18">
        <f>VLOOKUP(C2024,'DISTRIBUIÇÃO NF4267'!$E$3:$FQ$75,MATCH(B2024,'DISTRIBUIÇÃO NF4267'!$E$3:$FQ$3,0)+1,0)</f>
        <v>0</v>
      </c>
      <c r="F2024" s="28">
        <f t="shared" si="99"/>
        <v>3</v>
      </c>
    </row>
    <row r="2025" spans="1:6" x14ac:dyDescent="0.35">
      <c r="A2025">
        <f t="shared" si="100"/>
        <v>0</v>
      </c>
      <c r="B2025" t="str">
        <f t="shared" si="101"/>
        <v>B2</v>
      </c>
      <c r="C2025" s="11" t="s">
        <v>17</v>
      </c>
      <c r="D2025" s="18">
        <f>VLOOKUP(C2025,'DISTRIBUIÇÃO NF4267'!$E$3:$FQ$75,MATCH(B2025,'DISTRIBUIÇÃO NF4267'!$E$3:$FQ$3,0)+1,0)</f>
        <v>9</v>
      </c>
      <c r="F2025" s="28">
        <f t="shared" si="99"/>
        <v>3</v>
      </c>
    </row>
    <row r="2026" spans="1:6" x14ac:dyDescent="0.35">
      <c r="A2026">
        <f t="shared" si="100"/>
        <v>0</v>
      </c>
      <c r="B2026" t="str">
        <f t="shared" si="101"/>
        <v>B2</v>
      </c>
      <c r="C2026" s="11" t="s">
        <v>18</v>
      </c>
      <c r="D2026" s="18">
        <f>VLOOKUP(C2026,'DISTRIBUIÇÃO NF4267'!$E$3:$FQ$75,MATCH(B2026,'DISTRIBUIÇÃO NF4267'!$E$3:$FQ$3,0)+1,0)</f>
        <v>3</v>
      </c>
      <c r="F2026" s="28">
        <f t="shared" si="99"/>
        <v>3</v>
      </c>
    </row>
    <row r="2027" spans="1:6" x14ac:dyDescent="0.35">
      <c r="A2027">
        <f t="shared" si="100"/>
        <v>0</v>
      </c>
      <c r="B2027" t="str">
        <f t="shared" si="101"/>
        <v>B2</v>
      </c>
      <c r="C2027" s="11" t="s">
        <v>19</v>
      </c>
      <c r="D2027" s="18">
        <f>VLOOKUP(C2027,'DISTRIBUIÇÃO NF4267'!$E$3:$FQ$75,MATCH(B2027,'DISTRIBUIÇÃO NF4267'!$E$3:$FQ$3,0)+1,0)</f>
        <v>3</v>
      </c>
      <c r="F2027" s="28">
        <f t="shared" si="99"/>
        <v>3</v>
      </c>
    </row>
    <row r="2028" spans="1:6" x14ac:dyDescent="0.35">
      <c r="A2028">
        <f t="shared" si="100"/>
        <v>0</v>
      </c>
      <c r="B2028" t="str">
        <f t="shared" si="101"/>
        <v>B2</v>
      </c>
      <c r="C2028" s="11" t="s">
        <v>20</v>
      </c>
      <c r="D2028" s="18">
        <f>VLOOKUP(C2028,'DISTRIBUIÇÃO NF4267'!$E$3:$FQ$75,MATCH(B2028,'DISTRIBUIÇÃO NF4267'!$E$3:$FQ$3,0)+1,0)</f>
        <v>15</v>
      </c>
      <c r="F2028" s="28">
        <f t="shared" si="99"/>
        <v>3</v>
      </c>
    </row>
    <row r="2029" spans="1:6" x14ac:dyDescent="0.35">
      <c r="A2029">
        <f t="shared" si="100"/>
        <v>0</v>
      </c>
      <c r="B2029" t="str">
        <f t="shared" si="101"/>
        <v>B2</v>
      </c>
      <c r="C2029" s="11" t="s">
        <v>21</v>
      </c>
      <c r="D2029" s="18">
        <f>VLOOKUP(C2029,'DISTRIBUIÇÃO NF4267'!$E$3:$FQ$75,MATCH(B2029,'DISTRIBUIÇÃO NF4267'!$E$3:$FQ$3,0)+1,0)</f>
        <v>0</v>
      </c>
      <c r="F2029" s="28">
        <f t="shared" si="99"/>
        <v>3</v>
      </c>
    </row>
    <row r="2030" spans="1:6" x14ac:dyDescent="0.35">
      <c r="A2030">
        <f t="shared" si="100"/>
        <v>0</v>
      </c>
      <c r="B2030" t="str">
        <f t="shared" si="101"/>
        <v>B2</v>
      </c>
      <c r="C2030" s="12" t="s">
        <v>130</v>
      </c>
      <c r="D2030" s="18">
        <f>VLOOKUP(C2030,'DISTRIBUIÇÃO NF4267'!$E$3:$FQ$75,MATCH(B2030,'DISTRIBUIÇÃO NF4267'!$E$3:$FQ$3,0)+1,0)</f>
        <v>0</v>
      </c>
      <c r="F2030" s="28">
        <f t="shared" si="99"/>
        <v>3</v>
      </c>
    </row>
    <row r="2031" spans="1:6" x14ac:dyDescent="0.35">
      <c r="A2031">
        <f t="shared" si="100"/>
        <v>0</v>
      </c>
      <c r="B2031" t="str">
        <f t="shared" si="101"/>
        <v>B2</v>
      </c>
      <c r="C2031" s="12" t="s">
        <v>131</v>
      </c>
      <c r="D2031" s="18">
        <f>VLOOKUP(C2031,'DISTRIBUIÇÃO NF4267'!$E$3:$FQ$75,MATCH(B2031,'DISTRIBUIÇÃO NF4267'!$E$3:$FQ$3,0)+1,0)</f>
        <v>1</v>
      </c>
      <c r="F2031" s="28">
        <f t="shared" si="99"/>
        <v>3</v>
      </c>
    </row>
    <row r="2032" spans="1:6" x14ac:dyDescent="0.35">
      <c r="A2032">
        <f t="shared" si="100"/>
        <v>0</v>
      </c>
      <c r="B2032" t="str">
        <f t="shared" si="101"/>
        <v>B2</v>
      </c>
      <c r="C2032" s="12" t="s">
        <v>132</v>
      </c>
      <c r="D2032" s="18">
        <f>VLOOKUP(C2032,'DISTRIBUIÇÃO NF4267'!$E$3:$FQ$75,MATCH(B2032,'DISTRIBUIÇÃO NF4267'!$E$3:$FQ$3,0)+1,0)</f>
        <v>4</v>
      </c>
      <c r="F2032" s="28">
        <f t="shared" si="99"/>
        <v>3</v>
      </c>
    </row>
    <row r="2033" spans="1:6" x14ac:dyDescent="0.35">
      <c r="A2033">
        <f t="shared" si="100"/>
        <v>0</v>
      </c>
      <c r="B2033" t="str">
        <f t="shared" si="101"/>
        <v>B2</v>
      </c>
      <c r="C2033" s="12" t="s">
        <v>133</v>
      </c>
      <c r="D2033" s="18">
        <f>VLOOKUP(C2033,'DISTRIBUIÇÃO NF4267'!$E$3:$FQ$75,MATCH(B2033,'DISTRIBUIÇÃO NF4267'!$E$3:$FQ$3,0)+1,0)</f>
        <v>3</v>
      </c>
      <c r="F2033" s="28">
        <f t="shared" si="99"/>
        <v>3</v>
      </c>
    </row>
    <row r="2034" spans="1:6" x14ac:dyDescent="0.35">
      <c r="A2034">
        <f t="shared" si="100"/>
        <v>0</v>
      </c>
      <c r="B2034" t="str">
        <f t="shared" si="101"/>
        <v>B2</v>
      </c>
      <c r="C2034" s="12" t="s">
        <v>134</v>
      </c>
      <c r="D2034" s="18">
        <f>VLOOKUP(C2034,'DISTRIBUIÇÃO NF4267'!$E$3:$FQ$75,MATCH(B2034,'DISTRIBUIÇÃO NF4267'!$E$3:$FQ$3,0)+1,0)</f>
        <v>2</v>
      </c>
      <c r="F2034" s="28">
        <f t="shared" si="99"/>
        <v>3</v>
      </c>
    </row>
    <row r="2035" spans="1:6" x14ac:dyDescent="0.35">
      <c r="A2035">
        <f t="shared" si="100"/>
        <v>0</v>
      </c>
      <c r="B2035" t="str">
        <f t="shared" si="101"/>
        <v>B2</v>
      </c>
      <c r="C2035" s="12" t="s">
        <v>135</v>
      </c>
      <c r="D2035" s="18">
        <f>VLOOKUP(C2035,'DISTRIBUIÇÃO NF4267'!$E$3:$FQ$75,MATCH(B2035,'DISTRIBUIÇÃO NF4267'!$E$3:$FQ$3,0)+1,0)</f>
        <v>0</v>
      </c>
      <c r="F2035" s="28">
        <f t="shared" si="99"/>
        <v>3</v>
      </c>
    </row>
    <row r="2036" spans="1:6" x14ac:dyDescent="0.35">
      <c r="A2036">
        <f t="shared" si="100"/>
        <v>0</v>
      </c>
      <c r="B2036" t="str">
        <f t="shared" si="101"/>
        <v>B2</v>
      </c>
      <c r="C2036" s="13" t="s">
        <v>22</v>
      </c>
      <c r="D2036" s="18">
        <f>VLOOKUP(C2036,'DISTRIBUIÇÃO NF4267'!$E$3:$FQ$75,MATCH(B2036,'DISTRIBUIÇÃO NF4267'!$E$3:$FQ$3,0)+1,0)</f>
        <v>0</v>
      </c>
      <c r="F2036" s="28">
        <f t="shared" si="99"/>
        <v>3</v>
      </c>
    </row>
    <row r="2037" spans="1:6" x14ac:dyDescent="0.35">
      <c r="A2037">
        <f t="shared" si="100"/>
        <v>0</v>
      </c>
      <c r="B2037" t="str">
        <f t="shared" si="101"/>
        <v>B2</v>
      </c>
      <c r="C2037" s="13" t="s">
        <v>23</v>
      </c>
      <c r="D2037" s="18">
        <f>VLOOKUP(C2037,'DISTRIBUIÇÃO NF4267'!$E$3:$FQ$75,MATCH(B2037,'DISTRIBUIÇÃO NF4267'!$E$3:$FQ$3,0)+1,0)</f>
        <v>1</v>
      </c>
      <c r="F2037" s="28">
        <f t="shared" si="99"/>
        <v>3</v>
      </c>
    </row>
    <row r="2038" spans="1:6" x14ac:dyDescent="0.35">
      <c r="A2038">
        <f t="shared" si="100"/>
        <v>0</v>
      </c>
      <c r="B2038" t="str">
        <f t="shared" si="101"/>
        <v>B2</v>
      </c>
      <c r="C2038" s="13" t="s">
        <v>24</v>
      </c>
      <c r="D2038" s="18">
        <f>VLOOKUP(C2038,'DISTRIBUIÇÃO NF4267'!$E$3:$FQ$75,MATCH(B2038,'DISTRIBUIÇÃO NF4267'!$E$3:$FQ$3,0)+1,0)</f>
        <v>6</v>
      </c>
      <c r="F2038" s="28">
        <f t="shared" si="99"/>
        <v>3</v>
      </c>
    </row>
    <row r="2039" spans="1:6" x14ac:dyDescent="0.35">
      <c r="A2039">
        <f t="shared" si="100"/>
        <v>0</v>
      </c>
      <c r="B2039" t="str">
        <f t="shared" si="101"/>
        <v>B2</v>
      </c>
      <c r="C2039" s="13" t="s">
        <v>25</v>
      </c>
      <c r="D2039" s="18">
        <f>VLOOKUP(C2039,'DISTRIBUIÇÃO NF4267'!$E$3:$FQ$75,MATCH(B2039,'DISTRIBUIÇÃO NF4267'!$E$3:$FQ$3,0)+1,0)</f>
        <v>2</v>
      </c>
      <c r="F2039" s="28">
        <f t="shared" si="99"/>
        <v>3</v>
      </c>
    </row>
    <row r="2040" spans="1:6" x14ac:dyDescent="0.35">
      <c r="A2040">
        <f t="shared" si="100"/>
        <v>0</v>
      </c>
      <c r="B2040" t="str">
        <f t="shared" si="101"/>
        <v>B2</v>
      </c>
      <c r="C2040" s="13" t="s">
        <v>26</v>
      </c>
      <c r="D2040" s="18">
        <f>VLOOKUP(C2040,'DISTRIBUIÇÃO NF4267'!$E$3:$FQ$75,MATCH(B2040,'DISTRIBUIÇÃO NF4267'!$E$3:$FQ$3,0)+1,0)</f>
        <v>1</v>
      </c>
      <c r="F2040" s="28">
        <f t="shared" ref="F2040:F2103" si="102">ROUNDUP(SUMIFS(D:D,B:B,B2040)/80,0)</f>
        <v>3</v>
      </c>
    </row>
    <row r="2041" spans="1:6" x14ac:dyDescent="0.35">
      <c r="A2041">
        <f t="shared" si="100"/>
        <v>0</v>
      </c>
      <c r="B2041" t="str">
        <f t="shared" si="101"/>
        <v>B2</v>
      </c>
      <c r="C2041" s="13" t="s">
        <v>27</v>
      </c>
      <c r="D2041" s="18">
        <f>VLOOKUP(C2041,'DISTRIBUIÇÃO NF4267'!$E$3:$FQ$75,MATCH(B2041,'DISTRIBUIÇÃO NF4267'!$E$3:$FQ$3,0)+1,0)</f>
        <v>0</v>
      </c>
      <c r="F2041" s="28">
        <f t="shared" si="102"/>
        <v>3</v>
      </c>
    </row>
    <row r="2042" spans="1:6" x14ac:dyDescent="0.35">
      <c r="A2042">
        <f t="shared" si="100"/>
        <v>0</v>
      </c>
      <c r="B2042" t="str">
        <f t="shared" si="101"/>
        <v>B2</v>
      </c>
      <c r="C2042" s="14" t="s">
        <v>138</v>
      </c>
      <c r="D2042" s="18">
        <f>VLOOKUP(C2042,'DISTRIBUIÇÃO NF4267'!$E$3:$FQ$75,MATCH(B2042,'DISTRIBUIÇÃO NF4267'!$E$3:$FQ$3,0)+1,0)</f>
        <v>0</v>
      </c>
      <c r="F2042" s="28">
        <f t="shared" si="102"/>
        <v>3</v>
      </c>
    </row>
    <row r="2043" spans="1:6" x14ac:dyDescent="0.35">
      <c r="A2043">
        <f t="shared" si="100"/>
        <v>0</v>
      </c>
      <c r="B2043" t="str">
        <f t="shared" si="101"/>
        <v>B2</v>
      </c>
      <c r="C2043" s="14" t="s">
        <v>139</v>
      </c>
      <c r="D2043" s="18">
        <f>VLOOKUP(C2043,'DISTRIBUIÇÃO NF4267'!$E$3:$FQ$75,MATCH(B2043,'DISTRIBUIÇÃO NF4267'!$E$3:$FQ$3,0)+1,0)</f>
        <v>4</v>
      </c>
      <c r="F2043" s="28">
        <f t="shared" si="102"/>
        <v>3</v>
      </c>
    </row>
    <row r="2044" spans="1:6" x14ac:dyDescent="0.35">
      <c r="A2044">
        <f t="shared" si="100"/>
        <v>0</v>
      </c>
      <c r="B2044" t="str">
        <f t="shared" si="101"/>
        <v>B2</v>
      </c>
      <c r="C2044" s="14" t="s">
        <v>140</v>
      </c>
      <c r="D2044" s="18">
        <f>VLOOKUP(C2044,'DISTRIBUIÇÃO NF4267'!$E$3:$FQ$75,MATCH(B2044,'DISTRIBUIÇÃO NF4267'!$E$3:$FQ$3,0)+1,0)</f>
        <v>8</v>
      </c>
      <c r="F2044" s="28">
        <f t="shared" si="102"/>
        <v>3</v>
      </c>
    </row>
    <row r="2045" spans="1:6" x14ac:dyDescent="0.35">
      <c r="A2045">
        <f t="shared" si="100"/>
        <v>0</v>
      </c>
      <c r="B2045" t="str">
        <f t="shared" si="101"/>
        <v>B2</v>
      </c>
      <c r="C2045" s="14" t="s">
        <v>141</v>
      </c>
      <c r="D2045" s="18">
        <f>VLOOKUP(C2045,'DISTRIBUIÇÃO NF4267'!$E$3:$FQ$75,MATCH(B2045,'DISTRIBUIÇÃO NF4267'!$E$3:$FQ$3,0)+1,0)</f>
        <v>4</v>
      </c>
      <c r="F2045" s="28">
        <f t="shared" si="102"/>
        <v>3</v>
      </c>
    </row>
    <row r="2046" spans="1:6" x14ac:dyDescent="0.35">
      <c r="A2046">
        <f t="shared" si="100"/>
        <v>0</v>
      </c>
      <c r="B2046" t="str">
        <f t="shared" si="101"/>
        <v>B2</v>
      </c>
      <c r="C2046" s="14" t="s">
        <v>142</v>
      </c>
      <c r="D2046" s="18">
        <f>VLOOKUP(C2046,'DISTRIBUIÇÃO NF4267'!$E$3:$FQ$75,MATCH(B2046,'DISTRIBUIÇÃO NF4267'!$E$3:$FQ$3,0)+1,0)</f>
        <v>4</v>
      </c>
      <c r="F2046" s="28">
        <f t="shared" si="102"/>
        <v>3</v>
      </c>
    </row>
    <row r="2047" spans="1:6" x14ac:dyDescent="0.35">
      <c r="A2047">
        <f t="shared" si="100"/>
        <v>0</v>
      </c>
      <c r="B2047" t="str">
        <f t="shared" si="101"/>
        <v>B2</v>
      </c>
      <c r="C2047" s="14" t="s">
        <v>143</v>
      </c>
      <c r="D2047" s="18">
        <f>VLOOKUP(C2047,'DISTRIBUIÇÃO NF4267'!$E$3:$FQ$75,MATCH(B2047,'DISTRIBUIÇÃO NF4267'!$E$3:$FQ$3,0)+1,0)</f>
        <v>0</v>
      </c>
      <c r="F2047" s="28">
        <f t="shared" si="102"/>
        <v>3</v>
      </c>
    </row>
    <row r="2048" spans="1:6" x14ac:dyDescent="0.35">
      <c r="A2048">
        <f t="shared" si="100"/>
        <v>0</v>
      </c>
      <c r="B2048" t="str">
        <f t="shared" si="101"/>
        <v>B2</v>
      </c>
      <c r="C2048" s="15" t="s">
        <v>145</v>
      </c>
      <c r="D2048" s="18">
        <f>VLOOKUP(C2048,'DISTRIBUIÇÃO NF4267'!$E$3:$FQ$75,MATCH(B2048,'DISTRIBUIÇÃO NF4267'!$E$3:$FQ$3,0)+1,0)</f>
        <v>0</v>
      </c>
      <c r="F2048" s="28">
        <f t="shared" si="102"/>
        <v>3</v>
      </c>
    </row>
    <row r="2049" spans="1:6" x14ac:dyDescent="0.35">
      <c r="A2049">
        <f t="shared" si="100"/>
        <v>0</v>
      </c>
      <c r="B2049" t="str">
        <f t="shared" si="101"/>
        <v>B2</v>
      </c>
      <c r="C2049" s="15" t="s">
        <v>146</v>
      </c>
      <c r="D2049" s="18">
        <f>VLOOKUP(C2049,'DISTRIBUIÇÃO NF4267'!$E$3:$FQ$75,MATCH(B2049,'DISTRIBUIÇÃO NF4267'!$E$3:$FQ$3,0)+1,0)</f>
        <v>2</v>
      </c>
      <c r="F2049" s="28">
        <f t="shared" si="102"/>
        <v>3</v>
      </c>
    </row>
    <row r="2050" spans="1:6" x14ac:dyDescent="0.35">
      <c r="A2050">
        <f t="shared" ref="A2050:A2113" si="103">IF(ISERROR(VLOOKUP(C2050,I:I,1,0)),0,1)</f>
        <v>0</v>
      </c>
      <c r="B2050" t="str">
        <f t="shared" si="101"/>
        <v>B2</v>
      </c>
      <c r="C2050" s="15" t="s">
        <v>147</v>
      </c>
      <c r="D2050" s="18">
        <f>VLOOKUP(C2050,'DISTRIBUIÇÃO NF4267'!$E$3:$FQ$75,MATCH(B2050,'DISTRIBUIÇÃO NF4267'!$E$3:$FQ$3,0)+1,0)</f>
        <v>4</v>
      </c>
      <c r="F2050" s="28">
        <f t="shared" si="102"/>
        <v>3</v>
      </c>
    </row>
    <row r="2051" spans="1:6" x14ac:dyDescent="0.35">
      <c r="A2051">
        <f t="shared" si="103"/>
        <v>0</v>
      </c>
      <c r="B2051" t="str">
        <f t="shared" si="101"/>
        <v>B2</v>
      </c>
      <c r="C2051" s="15" t="s">
        <v>148</v>
      </c>
      <c r="D2051" s="18">
        <f>VLOOKUP(C2051,'DISTRIBUIÇÃO NF4267'!$E$3:$FQ$75,MATCH(B2051,'DISTRIBUIÇÃO NF4267'!$E$3:$FQ$3,0)+1,0)</f>
        <v>2</v>
      </c>
      <c r="F2051" s="28">
        <f t="shared" si="102"/>
        <v>3</v>
      </c>
    </row>
    <row r="2052" spans="1:6" x14ac:dyDescent="0.35">
      <c r="A2052">
        <f t="shared" si="103"/>
        <v>0</v>
      </c>
      <c r="B2052" t="str">
        <f t="shared" si="101"/>
        <v>B2</v>
      </c>
      <c r="C2052" s="15" t="s">
        <v>149</v>
      </c>
      <c r="D2052" s="18">
        <f>VLOOKUP(C2052,'DISTRIBUIÇÃO NF4267'!$E$3:$FQ$75,MATCH(B2052,'DISTRIBUIÇÃO NF4267'!$E$3:$FQ$3,0)+1,0)</f>
        <v>2</v>
      </c>
      <c r="F2052" s="28">
        <f t="shared" si="102"/>
        <v>3</v>
      </c>
    </row>
    <row r="2053" spans="1:6" x14ac:dyDescent="0.35">
      <c r="A2053">
        <f t="shared" si="103"/>
        <v>0</v>
      </c>
      <c r="B2053" t="str">
        <f t="shared" si="101"/>
        <v>B2</v>
      </c>
      <c r="C2053" s="15" t="s">
        <v>150</v>
      </c>
      <c r="D2053" s="18">
        <f>VLOOKUP(C2053,'DISTRIBUIÇÃO NF4267'!$E$3:$FQ$75,MATCH(B2053,'DISTRIBUIÇÃO NF4267'!$E$3:$FQ$3,0)+1,0)</f>
        <v>0</v>
      </c>
      <c r="F2053" s="28">
        <f t="shared" si="102"/>
        <v>3</v>
      </c>
    </row>
    <row r="2054" spans="1:6" x14ac:dyDescent="0.35">
      <c r="A2054">
        <f t="shared" si="103"/>
        <v>0</v>
      </c>
      <c r="B2054">
        <v>65</v>
      </c>
      <c r="C2054" s="7" t="s">
        <v>98</v>
      </c>
      <c r="D2054" s="18">
        <f>VLOOKUP(C2054,'DISTRIBUIÇÃO NF4267'!$E$3:$FQ$75,MATCH(B2054,'DISTRIBUIÇÃO NF4267'!$E$3:$FQ$3,0)+1,0)</f>
        <v>0</v>
      </c>
      <c r="F2054" s="28">
        <f t="shared" si="102"/>
        <v>3</v>
      </c>
    </row>
    <row r="2055" spans="1:6" x14ac:dyDescent="0.35">
      <c r="A2055">
        <f t="shared" si="103"/>
        <v>0</v>
      </c>
      <c r="B2055">
        <f>B2054</f>
        <v>65</v>
      </c>
      <c r="C2055" s="7" t="s">
        <v>99</v>
      </c>
      <c r="D2055" s="18">
        <f>VLOOKUP(C2055,'DISTRIBUIÇÃO NF4267'!$E$3:$FQ$75,MATCH(B2055,'DISTRIBUIÇÃO NF4267'!$E$3:$FQ$3,0)+1,0)</f>
        <v>4</v>
      </c>
      <c r="F2055" s="28">
        <f t="shared" si="102"/>
        <v>3</v>
      </c>
    </row>
    <row r="2056" spans="1:6" x14ac:dyDescent="0.35">
      <c r="A2056">
        <f t="shared" si="103"/>
        <v>0</v>
      </c>
      <c r="B2056">
        <f t="shared" ref="B2056:B2107" si="104">B2055</f>
        <v>65</v>
      </c>
      <c r="C2056" s="7" t="s">
        <v>100</v>
      </c>
      <c r="D2056" s="18">
        <f>VLOOKUP(C2056,'DISTRIBUIÇÃO NF4267'!$E$3:$FQ$75,MATCH(B2056,'DISTRIBUIÇÃO NF4267'!$E$3:$FQ$3,0)+1,0)</f>
        <v>8</v>
      </c>
      <c r="F2056" s="28">
        <f t="shared" si="102"/>
        <v>3</v>
      </c>
    </row>
    <row r="2057" spans="1:6" x14ac:dyDescent="0.35">
      <c r="A2057">
        <f t="shared" si="103"/>
        <v>0</v>
      </c>
      <c r="B2057">
        <f t="shared" si="104"/>
        <v>65</v>
      </c>
      <c r="C2057" s="7" t="s">
        <v>101</v>
      </c>
      <c r="D2057" s="18">
        <f>VLOOKUP(C2057,'DISTRIBUIÇÃO NF4267'!$E$3:$FQ$75,MATCH(B2057,'DISTRIBUIÇÃO NF4267'!$E$3:$FQ$3,0)+1,0)</f>
        <v>4</v>
      </c>
      <c r="F2057" s="28">
        <f t="shared" si="102"/>
        <v>3</v>
      </c>
    </row>
    <row r="2058" spans="1:6" x14ac:dyDescent="0.35">
      <c r="A2058">
        <f t="shared" si="103"/>
        <v>0</v>
      </c>
      <c r="B2058">
        <f t="shared" si="104"/>
        <v>65</v>
      </c>
      <c r="C2058" s="7" t="s">
        <v>102</v>
      </c>
      <c r="D2058" s="18">
        <f>VLOOKUP(C2058,'DISTRIBUIÇÃO NF4267'!$E$3:$FQ$75,MATCH(B2058,'DISTRIBUIÇÃO NF4267'!$E$3:$FQ$3,0)+1,0)</f>
        <v>4</v>
      </c>
      <c r="F2058" s="28">
        <f t="shared" si="102"/>
        <v>3</v>
      </c>
    </row>
    <row r="2059" spans="1:6" x14ac:dyDescent="0.35">
      <c r="A2059">
        <f t="shared" si="103"/>
        <v>0</v>
      </c>
      <c r="B2059">
        <f t="shared" si="104"/>
        <v>65</v>
      </c>
      <c r="C2059" s="7" t="s">
        <v>103</v>
      </c>
      <c r="D2059" s="18">
        <f>VLOOKUP(C2059,'DISTRIBUIÇÃO NF4267'!$E$3:$FQ$75,MATCH(B2059,'DISTRIBUIÇÃO NF4267'!$E$3:$FQ$3,0)+1,0)</f>
        <v>0</v>
      </c>
      <c r="F2059" s="28">
        <f t="shared" si="102"/>
        <v>3</v>
      </c>
    </row>
    <row r="2060" spans="1:6" x14ac:dyDescent="0.35">
      <c r="A2060">
        <f t="shared" si="103"/>
        <v>0</v>
      </c>
      <c r="B2060">
        <f t="shared" si="104"/>
        <v>65</v>
      </c>
      <c r="C2060" s="8" t="s">
        <v>107</v>
      </c>
      <c r="D2060" s="18">
        <f>VLOOKUP(C2060,'DISTRIBUIÇÃO NF4267'!$E$3:$FQ$75,MATCH(B2060,'DISTRIBUIÇÃO NF4267'!$E$3:$FQ$3,0)+1,0)</f>
        <v>0</v>
      </c>
      <c r="F2060" s="28">
        <f t="shared" si="102"/>
        <v>3</v>
      </c>
    </row>
    <row r="2061" spans="1:6" x14ac:dyDescent="0.35">
      <c r="A2061">
        <f t="shared" si="103"/>
        <v>0</v>
      </c>
      <c r="B2061">
        <f t="shared" si="104"/>
        <v>65</v>
      </c>
      <c r="C2061" s="8" t="s">
        <v>108</v>
      </c>
      <c r="D2061" s="18">
        <f>VLOOKUP(C2061,'DISTRIBUIÇÃO NF4267'!$E$3:$FQ$75,MATCH(B2061,'DISTRIBUIÇÃO NF4267'!$E$3:$FQ$3,0)+1,0)</f>
        <v>2</v>
      </c>
      <c r="F2061" s="28">
        <f t="shared" si="102"/>
        <v>3</v>
      </c>
    </row>
    <row r="2062" spans="1:6" x14ac:dyDescent="0.35">
      <c r="A2062">
        <f t="shared" si="103"/>
        <v>0</v>
      </c>
      <c r="B2062">
        <f t="shared" si="104"/>
        <v>65</v>
      </c>
      <c r="C2062" s="8" t="s">
        <v>109</v>
      </c>
      <c r="D2062" s="18">
        <f>VLOOKUP(C2062,'DISTRIBUIÇÃO NF4267'!$E$3:$FQ$75,MATCH(B2062,'DISTRIBUIÇÃO NF4267'!$E$3:$FQ$3,0)+1,0)</f>
        <v>4</v>
      </c>
      <c r="F2062" s="28">
        <f t="shared" si="102"/>
        <v>3</v>
      </c>
    </row>
    <row r="2063" spans="1:6" x14ac:dyDescent="0.35">
      <c r="A2063">
        <f t="shared" si="103"/>
        <v>0</v>
      </c>
      <c r="B2063">
        <f t="shared" si="104"/>
        <v>65</v>
      </c>
      <c r="C2063" s="8" t="s">
        <v>110</v>
      </c>
      <c r="D2063" s="18">
        <f>VLOOKUP(C2063,'DISTRIBUIÇÃO NF4267'!$E$3:$FQ$75,MATCH(B2063,'DISTRIBUIÇÃO NF4267'!$E$3:$FQ$3,0)+1,0)</f>
        <v>2</v>
      </c>
      <c r="F2063" s="28">
        <f t="shared" si="102"/>
        <v>3</v>
      </c>
    </row>
    <row r="2064" spans="1:6" x14ac:dyDescent="0.35">
      <c r="A2064">
        <f t="shared" si="103"/>
        <v>0</v>
      </c>
      <c r="B2064">
        <f t="shared" si="104"/>
        <v>65</v>
      </c>
      <c r="C2064" s="8" t="s">
        <v>111</v>
      </c>
      <c r="D2064" s="18">
        <f>VLOOKUP(C2064,'DISTRIBUIÇÃO NF4267'!$E$3:$FQ$75,MATCH(B2064,'DISTRIBUIÇÃO NF4267'!$E$3:$FQ$3,0)+1,0)</f>
        <v>2</v>
      </c>
      <c r="F2064" s="28">
        <f t="shared" si="102"/>
        <v>3</v>
      </c>
    </row>
    <row r="2065" spans="1:6" x14ac:dyDescent="0.35">
      <c r="A2065">
        <f t="shared" si="103"/>
        <v>0</v>
      </c>
      <c r="B2065">
        <f t="shared" si="104"/>
        <v>65</v>
      </c>
      <c r="C2065" s="8" t="s">
        <v>112</v>
      </c>
      <c r="D2065" s="18">
        <f>VLOOKUP(C2065,'DISTRIBUIÇÃO NF4267'!$E$3:$FQ$75,MATCH(B2065,'DISTRIBUIÇÃO NF4267'!$E$3:$FQ$3,0)+1,0)</f>
        <v>0</v>
      </c>
      <c r="F2065" s="28">
        <f t="shared" si="102"/>
        <v>3</v>
      </c>
    </row>
    <row r="2066" spans="1:6" x14ac:dyDescent="0.35">
      <c r="A2066">
        <f t="shared" si="103"/>
        <v>0</v>
      </c>
      <c r="B2066">
        <f t="shared" si="104"/>
        <v>65</v>
      </c>
      <c r="C2066" s="9" t="s">
        <v>113</v>
      </c>
      <c r="D2066" s="18">
        <f>VLOOKUP(C2066,'DISTRIBUIÇÃO NF4267'!$E$3:$FQ$75,MATCH(B2066,'DISTRIBUIÇÃO NF4267'!$E$3:$FQ$3,0)+1,0)</f>
        <v>0</v>
      </c>
      <c r="F2066" s="28">
        <f t="shared" si="102"/>
        <v>3</v>
      </c>
    </row>
    <row r="2067" spans="1:6" x14ac:dyDescent="0.35">
      <c r="A2067">
        <f t="shared" si="103"/>
        <v>0</v>
      </c>
      <c r="B2067">
        <f t="shared" si="104"/>
        <v>65</v>
      </c>
      <c r="C2067" s="9" t="s">
        <v>114</v>
      </c>
      <c r="D2067" s="18">
        <f>VLOOKUP(C2067,'DISTRIBUIÇÃO NF4267'!$E$3:$FQ$75,MATCH(B2067,'DISTRIBUIÇÃO NF4267'!$E$3:$FQ$3,0)+1,0)</f>
        <v>6</v>
      </c>
      <c r="F2067" s="28">
        <f t="shared" si="102"/>
        <v>3</v>
      </c>
    </row>
    <row r="2068" spans="1:6" x14ac:dyDescent="0.35">
      <c r="A2068">
        <f t="shared" si="103"/>
        <v>0</v>
      </c>
      <c r="B2068">
        <f t="shared" si="104"/>
        <v>65</v>
      </c>
      <c r="C2068" s="9" t="s">
        <v>115</v>
      </c>
      <c r="D2068" s="18">
        <f>VLOOKUP(C2068,'DISTRIBUIÇÃO NF4267'!$E$3:$FQ$75,MATCH(B2068,'DISTRIBUIÇÃO NF4267'!$E$3:$FQ$3,0)+1,0)</f>
        <v>8</v>
      </c>
      <c r="F2068" s="28">
        <f t="shared" si="102"/>
        <v>3</v>
      </c>
    </row>
    <row r="2069" spans="1:6" x14ac:dyDescent="0.35">
      <c r="A2069">
        <f t="shared" si="103"/>
        <v>0</v>
      </c>
      <c r="B2069">
        <f t="shared" si="104"/>
        <v>65</v>
      </c>
      <c r="C2069" s="9" t="s">
        <v>116</v>
      </c>
      <c r="D2069" s="18">
        <f>VLOOKUP(C2069,'DISTRIBUIÇÃO NF4267'!$E$3:$FQ$75,MATCH(B2069,'DISTRIBUIÇÃO NF4267'!$E$3:$FQ$3,0)+1,0)</f>
        <v>4</v>
      </c>
      <c r="F2069" s="28">
        <f t="shared" si="102"/>
        <v>3</v>
      </c>
    </row>
    <row r="2070" spans="1:6" x14ac:dyDescent="0.35">
      <c r="A2070">
        <f t="shared" si="103"/>
        <v>0</v>
      </c>
      <c r="B2070">
        <f t="shared" si="104"/>
        <v>65</v>
      </c>
      <c r="C2070" s="9" t="s">
        <v>117</v>
      </c>
      <c r="D2070" s="18">
        <f>VLOOKUP(C2070,'DISTRIBUIÇÃO NF4267'!$E$3:$FQ$75,MATCH(B2070,'DISTRIBUIÇÃO NF4267'!$E$3:$FQ$3,0)+1,0)</f>
        <v>2</v>
      </c>
      <c r="F2070" s="28">
        <f t="shared" si="102"/>
        <v>3</v>
      </c>
    </row>
    <row r="2071" spans="1:6" x14ac:dyDescent="0.35">
      <c r="A2071">
        <f t="shared" si="103"/>
        <v>0</v>
      </c>
      <c r="B2071">
        <f t="shared" si="104"/>
        <v>65</v>
      </c>
      <c r="C2071" s="9" t="s">
        <v>118</v>
      </c>
      <c r="D2071" s="18">
        <f>VLOOKUP(C2071,'DISTRIBUIÇÃO NF4267'!$E$3:$FQ$75,MATCH(B2071,'DISTRIBUIÇÃO NF4267'!$E$3:$FQ$3,0)+1,0)</f>
        <v>0</v>
      </c>
      <c r="F2071" s="28">
        <f t="shared" si="102"/>
        <v>3</v>
      </c>
    </row>
    <row r="2072" spans="1:6" x14ac:dyDescent="0.35">
      <c r="A2072">
        <f t="shared" si="103"/>
        <v>0</v>
      </c>
      <c r="B2072">
        <f t="shared" si="104"/>
        <v>65</v>
      </c>
      <c r="C2072" s="10" t="s">
        <v>119</v>
      </c>
      <c r="D2072" s="18">
        <f>VLOOKUP(C2072,'DISTRIBUIÇÃO NF4267'!$E$3:$FQ$75,MATCH(B2072,'DISTRIBUIÇÃO NF4267'!$E$3:$FQ$3,0)+1,0)</f>
        <v>0</v>
      </c>
      <c r="F2072" s="28">
        <f t="shared" si="102"/>
        <v>3</v>
      </c>
    </row>
    <row r="2073" spans="1:6" x14ac:dyDescent="0.35">
      <c r="A2073">
        <f t="shared" si="103"/>
        <v>0</v>
      </c>
      <c r="B2073">
        <f t="shared" si="104"/>
        <v>65</v>
      </c>
      <c r="C2073" s="10" t="s">
        <v>120</v>
      </c>
      <c r="D2073" s="18">
        <f>VLOOKUP(C2073,'DISTRIBUIÇÃO NF4267'!$E$3:$FQ$75,MATCH(B2073,'DISTRIBUIÇÃO NF4267'!$E$3:$FQ$3,0)+1,0)</f>
        <v>48</v>
      </c>
      <c r="F2073" s="28">
        <f t="shared" si="102"/>
        <v>3</v>
      </c>
    </row>
    <row r="2074" spans="1:6" x14ac:dyDescent="0.35">
      <c r="A2074">
        <f t="shared" si="103"/>
        <v>0</v>
      </c>
      <c r="B2074">
        <f t="shared" si="104"/>
        <v>65</v>
      </c>
      <c r="C2074" s="10" t="s">
        <v>121</v>
      </c>
      <c r="D2074" s="18">
        <f>VLOOKUP(C2074,'DISTRIBUIÇÃO NF4267'!$E$3:$FQ$75,MATCH(B2074,'DISTRIBUIÇÃO NF4267'!$E$3:$FQ$3,0)+1,0)</f>
        <v>16</v>
      </c>
      <c r="F2074" s="28">
        <f t="shared" si="102"/>
        <v>3</v>
      </c>
    </row>
    <row r="2075" spans="1:6" x14ac:dyDescent="0.35">
      <c r="A2075">
        <f t="shared" si="103"/>
        <v>0</v>
      </c>
      <c r="B2075">
        <f t="shared" si="104"/>
        <v>65</v>
      </c>
      <c r="C2075" s="10" t="s">
        <v>122</v>
      </c>
      <c r="D2075" s="18">
        <f>VLOOKUP(C2075,'DISTRIBUIÇÃO NF4267'!$E$3:$FQ$75,MATCH(B2075,'DISTRIBUIÇÃO NF4267'!$E$3:$FQ$3,0)+1,0)</f>
        <v>16</v>
      </c>
      <c r="F2075" s="28">
        <f t="shared" si="102"/>
        <v>3</v>
      </c>
    </row>
    <row r="2076" spans="1:6" x14ac:dyDescent="0.35">
      <c r="A2076">
        <f t="shared" si="103"/>
        <v>0</v>
      </c>
      <c r="B2076">
        <f t="shared" si="104"/>
        <v>65</v>
      </c>
      <c r="C2076" s="10" t="s">
        <v>123</v>
      </c>
      <c r="D2076" s="18">
        <f>VLOOKUP(C2076,'DISTRIBUIÇÃO NF4267'!$E$3:$FQ$75,MATCH(B2076,'DISTRIBUIÇÃO NF4267'!$E$3:$FQ$3,0)+1,0)</f>
        <v>0</v>
      </c>
      <c r="F2076" s="28">
        <f t="shared" si="102"/>
        <v>3</v>
      </c>
    </row>
    <row r="2077" spans="1:6" x14ac:dyDescent="0.35">
      <c r="A2077">
        <f t="shared" si="103"/>
        <v>0</v>
      </c>
      <c r="B2077">
        <f t="shared" si="104"/>
        <v>65</v>
      </c>
      <c r="C2077" s="10" t="s">
        <v>124</v>
      </c>
      <c r="D2077" s="18">
        <f>VLOOKUP(C2077,'DISTRIBUIÇÃO NF4267'!$E$3:$FQ$75,MATCH(B2077,'DISTRIBUIÇÃO NF4267'!$E$3:$FQ$3,0)+1,0)</f>
        <v>0</v>
      </c>
      <c r="F2077" s="28">
        <f t="shared" si="102"/>
        <v>3</v>
      </c>
    </row>
    <row r="2078" spans="1:6" x14ac:dyDescent="0.35">
      <c r="A2078">
        <f t="shared" si="103"/>
        <v>0</v>
      </c>
      <c r="B2078">
        <f t="shared" si="104"/>
        <v>65</v>
      </c>
      <c r="C2078" s="11" t="s">
        <v>16</v>
      </c>
      <c r="D2078" s="18">
        <f>VLOOKUP(C2078,'DISTRIBUIÇÃO NF4267'!$E$3:$FQ$75,MATCH(B2078,'DISTRIBUIÇÃO NF4267'!$E$3:$FQ$3,0)+1,0)</f>
        <v>0</v>
      </c>
      <c r="F2078" s="28">
        <f t="shared" si="102"/>
        <v>3</v>
      </c>
    </row>
    <row r="2079" spans="1:6" x14ac:dyDescent="0.35">
      <c r="A2079">
        <f t="shared" si="103"/>
        <v>0</v>
      </c>
      <c r="B2079">
        <f t="shared" si="104"/>
        <v>65</v>
      </c>
      <c r="C2079" s="11" t="s">
        <v>17</v>
      </c>
      <c r="D2079" s="18">
        <f>VLOOKUP(C2079,'DISTRIBUIÇÃO NF4267'!$E$3:$FQ$75,MATCH(B2079,'DISTRIBUIÇÃO NF4267'!$E$3:$FQ$3,0)+1,0)</f>
        <v>9</v>
      </c>
      <c r="F2079" s="28">
        <f t="shared" si="102"/>
        <v>3</v>
      </c>
    </row>
    <row r="2080" spans="1:6" x14ac:dyDescent="0.35">
      <c r="A2080">
        <f t="shared" si="103"/>
        <v>0</v>
      </c>
      <c r="B2080">
        <f t="shared" si="104"/>
        <v>65</v>
      </c>
      <c r="C2080" s="11" t="s">
        <v>18</v>
      </c>
      <c r="D2080" s="18">
        <f>VLOOKUP(C2080,'DISTRIBUIÇÃO NF4267'!$E$3:$FQ$75,MATCH(B2080,'DISTRIBUIÇÃO NF4267'!$E$3:$FQ$3,0)+1,0)</f>
        <v>3</v>
      </c>
      <c r="F2080" s="28">
        <f t="shared" si="102"/>
        <v>3</v>
      </c>
    </row>
    <row r="2081" spans="1:6" x14ac:dyDescent="0.35">
      <c r="A2081">
        <f t="shared" si="103"/>
        <v>0</v>
      </c>
      <c r="B2081">
        <f t="shared" si="104"/>
        <v>65</v>
      </c>
      <c r="C2081" s="11" t="s">
        <v>19</v>
      </c>
      <c r="D2081" s="18">
        <f>VLOOKUP(C2081,'DISTRIBUIÇÃO NF4267'!$E$3:$FQ$75,MATCH(B2081,'DISTRIBUIÇÃO NF4267'!$E$3:$FQ$3,0)+1,0)</f>
        <v>3</v>
      </c>
      <c r="F2081" s="28">
        <f t="shared" si="102"/>
        <v>3</v>
      </c>
    </row>
    <row r="2082" spans="1:6" x14ac:dyDescent="0.35">
      <c r="A2082">
        <f t="shared" si="103"/>
        <v>0</v>
      </c>
      <c r="B2082">
        <f t="shared" si="104"/>
        <v>65</v>
      </c>
      <c r="C2082" s="11" t="s">
        <v>20</v>
      </c>
      <c r="D2082" s="18">
        <f>VLOOKUP(C2082,'DISTRIBUIÇÃO NF4267'!$E$3:$FQ$75,MATCH(B2082,'DISTRIBUIÇÃO NF4267'!$E$3:$FQ$3,0)+1,0)</f>
        <v>15</v>
      </c>
      <c r="F2082" s="28">
        <f t="shared" si="102"/>
        <v>3</v>
      </c>
    </row>
    <row r="2083" spans="1:6" x14ac:dyDescent="0.35">
      <c r="A2083">
        <f t="shared" si="103"/>
        <v>0</v>
      </c>
      <c r="B2083">
        <f t="shared" si="104"/>
        <v>65</v>
      </c>
      <c r="C2083" s="11" t="s">
        <v>21</v>
      </c>
      <c r="D2083" s="18">
        <f>VLOOKUP(C2083,'DISTRIBUIÇÃO NF4267'!$E$3:$FQ$75,MATCH(B2083,'DISTRIBUIÇÃO NF4267'!$E$3:$FQ$3,0)+1,0)</f>
        <v>0</v>
      </c>
      <c r="F2083" s="28">
        <f t="shared" si="102"/>
        <v>3</v>
      </c>
    </row>
    <row r="2084" spans="1:6" x14ac:dyDescent="0.35">
      <c r="A2084">
        <f t="shared" si="103"/>
        <v>0</v>
      </c>
      <c r="B2084">
        <f t="shared" si="104"/>
        <v>65</v>
      </c>
      <c r="C2084" s="12" t="s">
        <v>130</v>
      </c>
      <c r="D2084" s="18">
        <f>VLOOKUP(C2084,'DISTRIBUIÇÃO NF4267'!$E$3:$FQ$75,MATCH(B2084,'DISTRIBUIÇÃO NF4267'!$E$3:$FQ$3,0)+1,0)</f>
        <v>0</v>
      </c>
      <c r="F2084" s="28">
        <f t="shared" si="102"/>
        <v>3</v>
      </c>
    </row>
    <row r="2085" spans="1:6" x14ac:dyDescent="0.35">
      <c r="A2085">
        <f t="shared" si="103"/>
        <v>0</v>
      </c>
      <c r="B2085">
        <f t="shared" si="104"/>
        <v>65</v>
      </c>
      <c r="C2085" s="12" t="s">
        <v>131</v>
      </c>
      <c r="D2085" s="18">
        <f>VLOOKUP(C2085,'DISTRIBUIÇÃO NF4267'!$E$3:$FQ$75,MATCH(B2085,'DISTRIBUIÇÃO NF4267'!$E$3:$FQ$3,0)+1,0)</f>
        <v>1</v>
      </c>
      <c r="F2085" s="28">
        <f t="shared" si="102"/>
        <v>3</v>
      </c>
    </row>
    <row r="2086" spans="1:6" x14ac:dyDescent="0.35">
      <c r="A2086">
        <f t="shared" si="103"/>
        <v>0</v>
      </c>
      <c r="B2086">
        <f t="shared" si="104"/>
        <v>65</v>
      </c>
      <c r="C2086" s="12" t="s">
        <v>132</v>
      </c>
      <c r="D2086" s="18">
        <f>VLOOKUP(C2086,'DISTRIBUIÇÃO NF4267'!$E$3:$FQ$75,MATCH(B2086,'DISTRIBUIÇÃO NF4267'!$E$3:$FQ$3,0)+1,0)</f>
        <v>4</v>
      </c>
      <c r="F2086" s="28">
        <f t="shared" si="102"/>
        <v>3</v>
      </c>
    </row>
    <row r="2087" spans="1:6" x14ac:dyDescent="0.35">
      <c r="A2087">
        <f t="shared" si="103"/>
        <v>0</v>
      </c>
      <c r="B2087">
        <f t="shared" si="104"/>
        <v>65</v>
      </c>
      <c r="C2087" s="12" t="s">
        <v>133</v>
      </c>
      <c r="D2087" s="18">
        <f>VLOOKUP(C2087,'DISTRIBUIÇÃO NF4267'!$E$3:$FQ$75,MATCH(B2087,'DISTRIBUIÇÃO NF4267'!$E$3:$FQ$3,0)+1,0)</f>
        <v>3</v>
      </c>
      <c r="F2087" s="28">
        <f t="shared" si="102"/>
        <v>3</v>
      </c>
    </row>
    <row r="2088" spans="1:6" x14ac:dyDescent="0.35">
      <c r="A2088">
        <f t="shared" si="103"/>
        <v>0</v>
      </c>
      <c r="B2088">
        <f t="shared" si="104"/>
        <v>65</v>
      </c>
      <c r="C2088" s="12" t="s">
        <v>134</v>
      </c>
      <c r="D2088" s="18">
        <f>VLOOKUP(C2088,'DISTRIBUIÇÃO NF4267'!$E$3:$FQ$75,MATCH(B2088,'DISTRIBUIÇÃO NF4267'!$E$3:$FQ$3,0)+1,0)</f>
        <v>2</v>
      </c>
      <c r="F2088" s="28">
        <f t="shared" si="102"/>
        <v>3</v>
      </c>
    </row>
    <row r="2089" spans="1:6" x14ac:dyDescent="0.35">
      <c r="A2089">
        <f t="shared" si="103"/>
        <v>0</v>
      </c>
      <c r="B2089">
        <f t="shared" si="104"/>
        <v>65</v>
      </c>
      <c r="C2089" s="12" t="s">
        <v>135</v>
      </c>
      <c r="D2089" s="18">
        <f>VLOOKUP(C2089,'DISTRIBUIÇÃO NF4267'!$E$3:$FQ$75,MATCH(B2089,'DISTRIBUIÇÃO NF4267'!$E$3:$FQ$3,0)+1,0)</f>
        <v>0</v>
      </c>
      <c r="F2089" s="28">
        <f t="shared" si="102"/>
        <v>3</v>
      </c>
    </row>
    <row r="2090" spans="1:6" x14ac:dyDescent="0.35">
      <c r="A2090">
        <f t="shared" si="103"/>
        <v>0</v>
      </c>
      <c r="B2090">
        <f t="shared" si="104"/>
        <v>65</v>
      </c>
      <c r="C2090" s="13" t="s">
        <v>22</v>
      </c>
      <c r="D2090" s="18">
        <f>VLOOKUP(C2090,'DISTRIBUIÇÃO NF4267'!$E$3:$FQ$75,MATCH(B2090,'DISTRIBUIÇÃO NF4267'!$E$3:$FQ$3,0)+1,0)</f>
        <v>0</v>
      </c>
      <c r="F2090" s="28">
        <f t="shared" si="102"/>
        <v>3</v>
      </c>
    </row>
    <row r="2091" spans="1:6" x14ac:dyDescent="0.35">
      <c r="A2091">
        <f t="shared" si="103"/>
        <v>0</v>
      </c>
      <c r="B2091">
        <f t="shared" si="104"/>
        <v>65</v>
      </c>
      <c r="C2091" s="13" t="s">
        <v>23</v>
      </c>
      <c r="D2091" s="18">
        <f>VLOOKUP(C2091,'DISTRIBUIÇÃO NF4267'!$E$3:$FQ$75,MATCH(B2091,'DISTRIBUIÇÃO NF4267'!$E$3:$FQ$3,0)+1,0)</f>
        <v>1</v>
      </c>
      <c r="F2091" s="28">
        <f t="shared" si="102"/>
        <v>3</v>
      </c>
    </row>
    <row r="2092" spans="1:6" x14ac:dyDescent="0.35">
      <c r="A2092">
        <f t="shared" si="103"/>
        <v>0</v>
      </c>
      <c r="B2092">
        <f t="shared" si="104"/>
        <v>65</v>
      </c>
      <c r="C2092" s="13" t="s">
        <v>24</v>
      </c>
      <c r="D2092" s="18">
        <f>VLOOKUP(C2092,'DISTRIBUIÇÃO NF4267'!$E$3:$FQ$75,MATCH(B2092,'DISTRIBUIÇÃO NF4267'!$E$3:$FQ$3,0)+1,0)</f>
        <v>6</v>
      </c>
      <c r="F2092" s="28">
        <f t="shared" si="102"/>
        <v>3</v>
      </c>
    </row>
    <row r="2093" spans="1:6" x14ac:dyDescent="0.35">
      <c r="A2093">
        <f t="shared" si="103"/>
        <v>0</v>
      </c>
      <c r="B2093">
        <f t="shared" si="104"/>
        <v>65</v>
      </c>
      <c r="C2093" s="13" t="s">
        <v>25</v>
      </c>
      <c r="D2093" s="18">
        <f>VLOOKUP(C2093,'DISTRIBUIÇÃO NF4267'!$E$3:$FQ$75,MATCH(B2093,'DISTRIBUIÇÃO NF4267'!$E$3:$FQ$3,0)+1,0)</f>
        <v>2</v>
      </c>
      <c r="F2093" s="28">
        <f t="shared" si="102"/>
        <v>3</v>
      </c>
    </row>
    <row r="2094" spans="1:6" x14ac:dyDescent="0.35">
      <c r="A2094">
        <f t="shared" si="103"/>
        <v>0</v>
      </c>
      <c r="B2094">
        <f t="shared" si="104"/>
        <v>65</v>
      </c>
      <c r="C2094" s="13" t="s">
        <v>26</v>
      </c>
      <c r="D2094" s="18">
        <f>VLOOKUP(C2094,'DISTRIBUIÇÃO NF4267'!$E$3:$FQ$75,MATCH(B2094,'DISTRIBUIÇÃO NF4267'!$E$3:$FQ$3,0)+1,0)</f>
        <v>1</v>
      </c>
      <c r="F2094" s="28">
        <f t="shared" si="102"/>
        <v>3</v>
      </c>
    </row>
    <row r="2095" spans="1:6" x14ac:dyDescent="0.35">
      <c r="A2095">
        <f t="shared" si="103"/>
        <v>0</v>
      </c>
      <c r="B2095">
        <f t="shared" si="104"/>
        <v>65</v>
      </c>
      <c r="C2095" s="13" t="s">
        <v>27</v>
      </c>
      <c r="D2095" s="18">
        <f>VLOOKUP(C2095,'DISTRIBUIÇÃO NF4267'!$E$3:$FQ$75,MATCH(B2095,'DISTRIBUIÇÃO NF4267'!$E$3:$FQ$3,0)+1,0)</f>
        <v>0</v>
      </c>
      <c r="F2095" s="28">
        <f t="shared" si="102"/>
        <v>3</v>
      </c>
    </row>
    <row r="2096" spans="1:6" x14ac:dyDescent="0.35">
      <c r="A2096">
        <f t="shared" si="103"/>
        <v>0</v>
      </c>
      <c r="B2096">
        <f t="shared" si="104"/>
        <v>65</v>
      </c>
      <c r="C2096" s="14" t="s">
        <v>138</v>
      </c>
      <c r="D2096" s="18">
        <f>VLOOKUP(C2096,'DISTRIBUIÇÃO NF4267'!$E$3:$FQ$75,MATCH(B2096,'DISTRIBUIÇÃO NF4267'!$E$3:$FQ$3,0)+1,0)</f>
        <v>0</v>
      </c>
      <c r="F2096" s="28">
        <f t="shared" si="102"/>
        <v>3</v>
      </c>
    </row>
    <row r="2097" spans="1:6" x14ac:dyDescent="0.35">
      <c r="A2097">
        <f t="shared" si="103"/>
        <v>0</v>
      </c>
      <c r="B2097">
        <f t="shared" si="104"/>
        <v>65</v>
      </c>
      <c r="C2097" s="14" t="s">
        <v>139</v>
      </c>
      <c r="D2097" s="18">
        <f>VLOOKUP(C2097,'DISTRIBUIÇÃO NF4267'!$E$3:$FQ$75,MATCH(B2097,'DISTRIBUIÇÃO NF4267'!$E$3:$FQ$3,0)+1,0)</f>
        <v>4</v>
      </c>
      <c r="F2097" s="28">
        <f t="shared" si="102"/>
        <v>3</v>
      </c>
    </row>
    <row r="2098" spans="1:6" x14ac:dyDescent="0.35">
      <c r="A2098">
        <f t="shared" si="103"/>
        <v>0</v>
      </c>
      <c r="B2098">
        <f t="shared" si="104"/>
        <v>65</v>
      </c>
      <c r="C2098" s="14" t="s">
        <v>140</v>
      </c>
      <c r="D2098" s="18">
        <f>VLOOKUP(C2098,'DISTRIBUIÇÃO NF4267'!$E$3:$FQ$75,MATCH(B2098,'DISTRIBUIÇÃO NF4267'!$E$3:$FQ$3,0)+1,0)</f>
        <v>8</v>
      </c>
      <c r="F2098" s="28">
        <f t="shared" si="102"/>
        <v>3</v>
      </c>
    </row>
    <row r="2099" spans="1:6" x14ac:dyDescent="0.35">
      <c r="A2099">
        <f t="shared" si="103"/>
        <v>0</v>
      </c>
      <c r="B2099">
        <f t="shared" si="104"/>
        <v>65</v>
      </c>
      <c r="C2099" s="14" t="s">
        <v>141</v>
      </c>
      <c r="D2099" s="18">
        <f>VLOOKUP(C2099,'DISTRIBUIÇÃO NF4267'!$E$3:$FQ$75,MATCH(B2099,'DISTRIBUIÇÃO NF4267'!$E$3:$FQ$3,0)+1,0)</f>
        <v>4</v>
      </c>
      <c r="F2099" s="28">
        <f t="shared" si="102"/>
        <v>3</v>
      </c>
    </row>
    <row r="2100" spans="1:6" x14ac:dyDescent="0.35">
      <c r="A2100">
        <f t="shared" si="103"/>
        <v>0</v>
      </c>
      <c r="B2100">
        <f t="shared" si="104"/>
        <v>65</v>
      </c>
      <c r="C2100" s="14" t="s">
        <v>142</v>
      </c>
      <c r="D2100" s="18">
        <f>VLOOKUP(C2100,'DISTRIBUIÇÃO NF4267'!$E$3:$FQ$75,MATCH(B2100,'DISTRIBUIÇÃO NF4267'!$E$3:$FQ$3,0)+1,0)</f>
        <v>4</v>
      </c>
      <c r="F2100" s="28">
        <f t="shared" si="102"/>
        <v>3</v>
      </c>
    </row>
    <row r="2101" spans="1:6" x14ac:dyDescent="0.35">
      <c r="A2101">
        <f t="shared" si="103"/>
        <v>0</v>
      </c>
      <c r="B2101">
        <f t="shared" si="104"/>
        <v>65</v>
      </c>
      <c r="C2101" s="14" t="s">
        <v>143</v>
      </c>
      <c r="D2101" s="18">
        <f>VLOOKUP(C2101,'DISTRIBUIÇÃO NF4267'!$E$3:$FQ$75,MATCH(B2101,'DISTRIBUIÇÃO NF4267'!$E$3:$FQ$3,0)+1,0)</f>
        <v>0</v>
      </c>
      <c r="F2101" s="28">
        <f t="shared" si="102"/>
        <v>3</v>
      </c>
    </row>
    <row r="2102" spans="1:6" x14ac:dyDescent="0.35">
      <c r="A2102">
        <f t="shared" si="103"/>
        <v>0</v>
      </c>
      <c r="B2102">
        <f t="shared" si="104"/>
        <v>65</v>
      </c>
      <c r="C2102" s="15" t="s">
        <v>145</v>
      </c>
      <c r="D2102" s="18">
        <f>VLOOKUP(C2102,'DISTRIBUIÇÃO NF4267'!$E$3:$FQ$75,MATCH(B2102,'DISTRIBUIÇÃO NF4267'!$E$3:$FQ$3,0)+1,0)</f>
        <v>0</v>
      </c>
      <c r="F2102" s="28">
        <f t="shared" si="102"/>
        <v>3</v>
      </c>
    </row>
    <row r="2103" spans="1:6" x14ac:dyDescent="0.35">
      <c r="A2103">
        <f t="shared" si="103"/>
        <v>0</v>
      </c>
      <c r="B2103">
        <f t="shared" si="104"/>
        <v>65</v>
      </c>
      <c r="C2103" s="15" t="s">
        <v>146</v>
      </c>
      <c r="D2103" s="18">
        <f>VLOOKUP(C2103,'DISTRIBUIÇÃO NF4267'!$E$3:$FQ$75,MATCH(B2103,'DISTRIBUIÇÃO NF4267'!$E$3:$FQ$3,0)+1,0)</f>
        <v>2</v>
      </c>
      <c r="F2103" s="28">
        <f t="shared" si="102"/>
        <v>3</v>
      </c>
    </row>
    <row r="2104" spans="1:6" x14ac:dyDescent="0.35">
      <c r="A2104">
        <f t="shared" si="103"/>
        <v>0</v>
      </c>
      <c r="B2104">
        <f t="shared" si="104"/>
        <v>65</v>
      </c>
      <c r="C2104" s="15" t="s">
        <v>147</v>
      </c>
      <c r="D2104" s="18">
        <f>VLOOKUP(C2104,'DISTRIBUIÇÃO NF4267'!$E$3:$FQ$75,MATCH(B2104,'DISTRIBUIÇÃO NF4267'!$E$3:$FQ$3,0)+1,0)</f>
        <v>4</v>
      </c>
      <c r="F2104" s="28">
        <f t="shared" ref="F2104:F2167" si="105">ROUNDUP(SUMIFS(D:D,B:B,B2104)/80,0)</f>
        <v>3</v>
      </c>
    </row>
    <row r="2105" spans="1:6" x14ac:dyDescent="0.35">
      <c r="A2105">
        <f t="shared" si="103"/>
        <v>0</v>
      </c>
      <c r="B2105">
        <f t="shared" si="104"/>
        <v>65</v>
      </c>
      <c r="C2105" s="15" t="s">
        <v>148</v>
      </c>
      <c r="D2105" s="18">
        <f>VLOOKUP(C2105,'DISTRIBUIÇÃO NF4267'!$E$3:$FQ$75,MATCH(B2105,'DISTRIBUIÇÃO NF4267'!$E$3:$FQ$3,0)+1,0)</f>
        <v>2</v>
      </c>
      <c r="F2105" s="28">
        <f t="shared" si="105"/>
        <v>3</v>
      </c>
    </row>
    <row r="2106" spans="1:6" x14ac:dyDescent="0.35">
      <c r="A2106">
        <f t="shared" si="103"/>
        <v>0</v>
      </c>
      <c r="B2106">
        <f t="shared" si="104"/>
        <v>65</v>
      </c>
      <c r="C2106" s="15" t="s">
        <v>149</v>
      </c>
      <c r="D2106" s="18">
        <f>VLOOKUP(C2106,'DISTRIBUIÇÃO NF4267'!$E$3:$FQ$75,MATCH(B2106,'DISTRIBUIÇÃO NF4267'!$E$3:$FQ$3,0)+1,0)</f>
        <v>2</v>
      </c>
      <c r="F2106" s="28">
        <f t="shared" si="105"/>
        <v>3</v>
      </c>
    </row>
    <row r="2107" spans="1:6" x14ac:dyDescent="0.35">
      <c r="A2107">
        <f t="shared" si="103"/>
        <v>0</v>
      </c>
      <c r="B2107">
        <f t="shared" si="104"/>
        <v>65</v>
      </c>
      <c r="C2107" s="15" t="s">
        <v>150</v>
      </c>
      <c r="D2107" s="18">
        <f>VLOOKUP(C2107,'DISTRIBUIÇÃO NF4267'!$E$3:$FQ$75,MATCH(B2107,'DISTRIBUIÇÃO NF4267'!$E$3:$FQ$3,0)+1,0)</f>
        <v>0</v>
      </c>
      <c r="F2107" s="28">
        <f t="shared" si="105"/>
        <v>3</v>
      </c>
    </row>
    <row r="2108" spans="1:6" x14ac:dyDescent="0.35">
      <c r="A2108">
        <f t="shared" si="103"/>
        <v>0</v>
      </c>
      <c r="B2108">
        <v>66</v>
      </c>
      <c r="C2108" s="7" t="s">
        <v>98</v>
      </c>
      <c r="D2108" s="18">
        <f>VLOOKUP(C2108,'DISTRIBUIÇÃO NF4267'!$E$3:$FQ$75,MATCH(B2108,'DISTRIBUIÇÃO NF4267'!$E$3:$FQ$3,0)+1,0)</f>
        <v>0</v>
      </c>
      <c r="F2108" s="28">
        <f t="shared" si="105"/>
        <v>3</v>
      </c>
    </row>
    <row r="2109" spans="1:6" x14ac:dyDescent="0.35">
      <c r="A2109">
        <f t="shared" si="103"/>
        <v>0</v>
      </c>
      <c r="B2109">
        <f>B2108</f>
        <v>66</v>
      </c>
      <c r="C2109" s="7" t="s">
        <v>99</v>
      </c>
      <c r="D2109" s="18">
        <f>VLOOKUP(C2109,'DISTRIBUIÇÃO NF4267'!$E$3:$FQ$75,MATCH(B2109,'DISTRIBUIÇÃO NF4267'!$E$3:$FQ$3,0)+1,0)</f>
        <v>4</v>
      </c>
      <c r="F2109" s="28">
        <f t="shared" si="105"/>
        <v>3</v>
      </c>
    </row>
    <row r="2110" spans="1:6" x14ac:dyDescent="0.35">
      <c r="A2110">
        <f t="shared" si="103"/>
        <v>0</v>
      </c>
      <c r="B2110">
        <f t="shared" ref="B2110:B2161" si="106">B2109</f>
        <v>66</v>
      </c>
      <c r="C2110" s="7" t="s">
        <v>100</v>
      </c>
      <c r="D2110" s="18">
        <f>VLOOKUP(C2110,'DISTRIBUIÇÃO NF4267'!$E$3:$FQ$75,MATCH(B2110,'DISTRIBUIÇÃO NF4267'!$E$3:$FQ$3,0)+1,0)</f>
        <v>8</v>
      </c>
      <c r="F2110" s="28">
        <f t="shared" si="105"/>
        <v>3</v>
      </c>
    </row>
    <row r="2111" spans="1:6" x14ac:dyDescent="0.35">
      <c r="A2111">
        <f t="shared" si="103"/>
        <v>0</v>
      </c>
      <c r="B2111">
        <f t="shared" si="106"/>
        <v>66</v>
      </c>
      <c r="C2111" s="7" t="s">
        <v>101</v>
      </c>
      <c r="D2111" s="18">
        <f>VLOOKUP(C2111,'DISTRIBUIÇÃO NF4267'!$E$3:$FQ$75,MATCH(B2111,'DISTRIBUIÇÃO NF4267'!$E$3:$FQ$3,0)+1,0)</f>
        <v>4</v>
      </c>
      <c r="F2111" s="28">
        <f t="shared" si="105"/>
        <v>3</v>
      </c>
    </row>
    <row r="2112" spans="1:6" x14ac:dyDescent="0.35">
      <c r="A2112">
        <f t="shared" si="103"/>
        <v>0</v>
      </c>
      <c r="B2112">
        <f t="shared" si="106"/>
        <v>66</v>
      </c>
      <c r="C2112" s="7" t="s">
        <v>102</v>
      </c>
      <c r="D2112" s="18">
        <f>VLOOKUP(C2112,'DISTRIBUIÇÃO NF4267'!$E$3:$FQ$75,MATCH(B2112,'DISTRIBUIÇÃO NF4267'!$E$3:$FQ$3,0)+1,0)</f>
        <v>4</v>
      </c>
      <c r="F2112" s="28">
        <f t="shared" si="105"/>
        <v>3</v>
      </c>
    </row>
    <row r="2113" spans="1:6" x14ac:dyDescent="0.35">
      <c r="A2113">
        <f t="shared" si="103"/>
        <v>0</v>
      </c>
      <c r="B2113">
        <f t="shared" si="106"/>
        <v>66</v>
      </c>
      <c r="C2113" s="7" t="s">
        <v>103</v>
      </c>
      <c r="D2113" s="18">
        <f>VLOOKUP(C2113,'DISTRIBUIÇÃO NF4267'!$E$3:$FQ$75,MATCH(B2113,'DISTRIBUIÇÃO NF4267'!$E$3:$FQ$3,0)+1,0)</f>
        <v>0</v>
      </c>
      <c r="F2113" s="28">
        <f t="shared" si="105"/>
        <v>3</v>
      </c>
    </row>
    <row r="2114" spans="1:6" x14ac:dyDescent="0.35">
      <c r="A2114">
        <f t="shared" ref="A2114:A2177" si="107">IF(ISERROR(VLOOKUP(C2114,I:I,1,0)),0,1)</f>
        <v>0</v>
      </c>
      <c r="B2114">
        <f t="shared" si="106"/>
        <v>66</v>
      </c>
      <c r="C2114" s="8" t="s">
        <v>107</v>
      </c>
      <c r="D2114" s="18">
        <f>VLOOKUP(C2114,'DISTRIBUIÇÃO NF4267'!$E$3:$FQ$75,MATCH(B2114,'DISTRIBUIÇÃO NF4267'!$E$3:$FQ$3,0)+1,0)</f>
        <v>0</v>
      </c>
      <c r="F2114" s="28">
        <f t="shared" si="105"/>
        <v>3</v>
      </c>
    </row>
    <row r="2115" spans="1:6" x14ac:dyDescent="0.35">
      <c r="A2115">
        <f t="shared" si="107"/>
        <v>0</v>
      </c>
      <c r="B2115">
        <f t="shared" si="106"/>
        <v>66</v>
      </c>
      <c r="C2115" s="8" t="s">
        <v>108</v>
      </c>
      <c r="D2115" s="18">
        <f>VLOOKUP(C2115,'DISTRIBUIÇÃO NF4267'!$E$3:$FQ$75,MATCH(B2115,'DISTRIBUIÇÃO NF4267'!$E$3:$FQ$3,0)+1,0)</f>
        <v>2</v>
      </c>
      <c r="F2115" s="28">
        <f t="shared" si="105"/>
        <v>3</v>
      </c>
    </row>
    <row r="2116" spans="1:6" x14ac:dyDescent="0.35">
      <c r="A2116">
        <f t="shared" si="107"/>
        <v>0</v>
      </c>
      <c r="B2116">
        <f t="shared" si="106"/>
        <v>66</v>
      </c>
      <c r="C2116" s="8" t="s">
        <v>109</v>
      </c>
      <c r="D2116" s="18">
        <f>VLOOKUP(C2116,'DISTRIBUIÇÃO NF4267'!$E$3:$FQ$75,MATCH(B2116,'DISTRIBUIÇÃO NF4267'!$E$3:$FQ$3,0)+1,0)</f>
        <v>4</v>
      </c>
      <c r="F2116" s="28">
        <f t="shared" si="105"/>
        <v>3</v>
      </c>
    </row>
    <row r="2117" spans="1:6" x14ac:dyDescent="0.35">
      <c r="A2117">
        <f t="shared" si="107"/>
        <v>0</v>
      </c>
      <c r="B2117">
        <f t="shared" si="106"/>
        <v>66</v>
      </c>
      <c r="C2117" s="8" t="s">
        <v>110</v>
      </c>
      <c r="D2117" s="18">
        <f>VLOOKUP(C2117,'DISTRIBUIÇÃO NF4267'!$E$3:$FQ$75,MATCH(B2117,'DISTRIBUIÇÃO NF4267'!$E$3:$FQ$3,0)+1,0)</f>
        <v>2</v>
      </c>
      <c r="F2117" s="28">
        <f t="shared" si="105"/>
        <v>3</v>
      </c>
    </row>
    <row r="2118" spans="1:6" x14ac:dyDescent="0.35">
      <c r="A2118">
        <f t="shared" si="107"/>
        <v>0</v>
      </c>
      <c r="B2118">
        <f t="shared" si="106"/>
        <v>66</v>
      </c>
      <c r="C2118" s="8" t="s">
        <v>111</v>
      </c>
      <c r="D2118" s="18">
        <f>VLOOKUP(C2118,'DISTRIBUIÇÃO NF4267'!$E$3:$FQ$75,MATCH(B2118,'DISTRIBUIÇÃO NF4267'!$E$3:$FQ$3,0)+1,0)</f>
        <v>2</v>
      </c>
      <c r="F2118" s="28">
        <f t="shared" si="105"/>
        <v>3</v>
      </c>
    </row>
    <row r="2119" spans="1:6" x14ac:dyDescent="0.35">
      <c r="A2119">
        <f t="shared" si="107"/>
        <v>0</v>
      </c>
      <c r="B2119">
        <f t="shared" si="106"/>
        <v>66</v>
      </c>
      <c r="C2119" s="8" t="s">
        <v>112</v>
      </c>
      <c r="D2119" s="18">
        <f>VLOOKUP(C2119,'DISTRIBUIÇÃO NF4267'!$E$3:$FQ$75,MATCH(B2119,'DISTRIBUIÇÃO NF4267'!$E$3:$FQ$3,0)+1,0)</f>
        <v>0</v>
      </c>
      <c r="F2119" s="28">
        <f t="shared" si="105"/>
        <v>3</v>
      </c>
    </row>
    <row r="2120" spans="1:6" x14ac:dyDescent="0.35">
      <c r="A2120">
        <f t="shared" si="107"/>
        <v>0</v>
      </c>
      <c r="B2120">
        <f t="shared" si="106"/>
        <v>66</v>
      </c>
      <c r="C2120" s="9" t="s">
        <v>113</v>
      </c>
      <c r="D2120" s="18">
        <f>VLOOKUP(C2120,'DISTRIBUIÇÃO NF4267'!$E$3:$FQ$75,MATCH(B2120,'DISTRIBUIÇÃO NF4267'!$E$3:$FQ$3,0)+1,0)</f>
        <v>0</v>
      </c>
      <c r="F2120" s="28">
        <f t="shared" si="105"/>
        <v>3</v>
      </c>
    </row>
    <row r="2121" spans="1:6" x14ac:dyDescent="0.35">
      <c r="A2121">
        <f t="shared" si="107"/>
        <v>0</v>
      </c>
      <c r="B2121">
        <f t="shared" si="106"/>
        <v>66</v>
      </c>
      <c r="C2121" s="9" t="s">
        <v>114</v>
      </c>
      <c r="D2121" s="18">
        <f>VLOOKUP(C2121,'DISTRIBUIÇÃO NF4267'!$E$3:$FQ$75,MATCH(B2121,'DISTRIBUIÇÃO NF4267'!$E$3:$FQ$3,0)+1,0)</f>
        <v>3</v>
      </c>
      <c r="F2121" s="28">
        <f t="shared" si="105"/>
        <v>3</v>
      </c>
    </row>
    <row r="2122" spans="1:6" x14ac:dyDescent="0.35">
      <c r="A2122">
        <f t="shared" si="107"/>
        <v>0</v>
      </c>
      <c r="B2122">
        <f t="shared" si="106"/>
        <v>66</v>
      </c>
      <c r="C2122" s="9" t="s">
        <v>115</v>
      </c>
      <c r="D2122" s="18">
        <f>VLOOKUP(C2122,'DISTRIBUIÇÃO NF4267'!$E$3:$FQ$75,MATCH(B2122,'DISTRIBUIÇÃO NF4267'!$E$3:$FQ$3,0)+1,0)</f>
        <v>4</v>
      </c>
      <c r="F2122" s="28">
        <f t="shared" si="105"/>
        <v>3</v>
      </c>
    </row>
    <row r="2123" spans="1:6" x14ac:dyDescent="0.35">
      <c r="A2123">
        <f t="shared" si="107"/>
        <v>0</v>
      </c>
      <c r="B2123">
        <f t="shared" si="106"/>
        <v>66</v>
      </c>
      <c r="C2123" s="9" t="s">
        <v>116</v>
      </c>
      <c r="D2123" s="18">
        <f>VLOOKUP(C2123,'DISTRIBUIÇÃO NF4267'!$E$3:$FQ$75,MATCH(B2123,'DISTRIBUIÇÃO NF4267'!$E$3:$FQ$3,0)+1,0)</f>
        <v>2</v>
      </c>
      <c r="F2123" s="28">
        <f t="shared" si="105"/>
        <v>3</v>
      </c>
    </row>
    <row r="2124" spans="1:6" x14ac:dyDescent="0.35">
      <c r="A2124">
        <f t="shared" si="107"/>
        <v>0</v>
      </c>
      <c r="B2124">
        <f t="shared" si="106"/>
        <v>66</v>
      </c>
      <c r="C2124" s="9" t="s">
        <v>117</v>
      </c>
      <c r="D2124" s="18">
        <f>VLOOKUP(C2124,'DISTRIBUIÇÃO NF4267'!$E$3:$FQ$75,MATCH(B2124,'DISTRIBUIÇÃO NF4267'!$E$3:$FQ$3,0)+1,0)</f>
        <v>1</v>
      </c>
      <c r="F2124" s="28">
        <f t="shared" si="105"/>
        <v>3</v>
      </c>
    </row>
    <row r="2125" spans="1:6" x14ac:dyDescent="0.35">
      <c r="A2125">
        <f t="shared" si="107"/>
        <v>0</v>
      </c>
      <c r="B2125">
        <f t="shared" si="106"/>
        <v>66</v>
      </c>
      <c r="C2125" s="9" t="s">
        <v>118</v>
      </c>
      <c r="D2125" s="18">
        <f>VLOOKUP(C2125,'DISTRIBUIÇÃO NF4267'!$E$3:$FQ$75,MATCH(B2125,'DISTRIBUIÇÃO NF4267'!$E$3:$FQ$3,0)+1,0)</f>
        <v>0</v>
      </c>
      <c r="F2125" s="28">
        <f t="shared" si="105"/>
        <v>3</v>
      </c>
    </row>
    <row r="2126" spans="1:6" x14ac:dyDescent="0.35">
      <c r="A2126">
        <f t="shared" si="107"/>
        <v>0</v>
      </c>
      <c r="B2126">
        <f t="shared" si="106"/>
        <v>66</v>
      </c>
      <c r="C2126" s="10" t="s">
        <v>119</v>
      </c>
      <c r="D2126" s="18">
        <f>VLOOKUP(C2126,'DISTRIBUIÇÃO NF4267'!$E$3:$FQ$75,MATCH(B2126,'DISTRIBUIÇÃO NF4267'!$E$3:$FQ$3,0)+1,0)</f>
        <v>0</v>
      </c>
      <c r="F2126" s="28">
        <f t="shared" si="105"/>
        <v>3</v>
      </c>
    </row>
    <row r="2127" spans="1:6" x14ac:dyDescent="0.35">
      <c r="A2127">
        <f t="shared" si="107"/>
        <v>0</v>
      </c>
      <c r="B2127">
        <f t="shared" si="106"/>
        <v>66</v>
      </c>
      <c r="C2127" s="10" t="s">
        <v>120</v>
      </c>
      <c r="D2127" s="18">
        <f>VLOOKUP(C2127,'DISTRIBUIÇÃO NF4267'!$E$3:$FQ$75,MATCH(B2127,'DISTRIBUIÇÃO NF4267'!$E$3:$FQ$3,0)+1,0)</f>
        <v>48</v>
      </c>
      <c r="F2127" s="28">
        <f t="shared" si="105"/>
        <v>3</v>
      </c>
    </row>
    <row r="2128" spans="1:6" x14ac:dyDescent="0.35">
      <c r="A2128">
        <f t="shared" si="107"/>
        <v>0</v>
      </c>
      <c r="B2128">
        <f t="shared" si="106"/>
        <v>66</v>
      </c>
      <c r="C2128" s="10" t="s">
        <v>121</v>
      </c>
      <c r="D2128" s="18">
        <f>VLOOKUP(C2128,'DISTRIBUIÇÃO NF4267'!$E$3:$FQ$75,MATCH(B2128,'DISTRIBUIÇÃO NF4267'!$E$3:$FQ$3,0)+1,0)</f>
        <v>16</v>
      </c>
      <c r="F2128" s="28">
        <f t="shared" si="105"/>
        <v>3</v>
      </c>
    </row>
    <row r="2129" spans="1:6" x14ac:dyDescent="0.35">
      <c r="A2129">
        <f t="shared" si="107"/>
        <v>0</v>
      </c>
      <c r="B2129">
        <f t="shared" si="106"/>
        <v>66</v>
      </c>
      <c r="C2129" s="10" t="s">
        <v>122</v>
      </c>
      <c r="D2129" s="18">
        <f>VLOOKUP(C2129,'DISTRIBUIÇÃO NF4267'!$E$3:$FQ$75,MATCH(B2129,'DISTRIBUIÇÃO NF4267'!$E$3:$FQ$3,0)+1,0)</f>
        <v>16</v>
      </c>
      <c r="F2129" s="28">
        <f t="shared" si="105"/>
        <v>3</v>
      </c>
    </row>
    <row r="2130" spans="1:6" x14ac:dyDescent="0.35">
      <c r="A2130">
        <f t="shared" si="107"/>
        <v>0</v>
      </c>
      <c r="B2130">
        <f t="shared" si="106"/>
        <v>66</v>
      </c>
      <c r="C2130" s="10" t="s">
        <v>123</v>
      </c>
      <c r="D2130" s="18">
        <f>VLOOKUP(C2130,'DISTRIBUIÇÃO NF4267'!$E$3:$FQ$75,MATCH(B2130,'DISTRIBUIÇÃO NF4267'!$E$3:$FQ$3,0)+1,0)</f>
        <v>0</v>
      </c>
      <c r="F2130" s="28">
        <f t="shared" si="105"/>
        <v>3</v>
      </c>
    </row>
    <row r="2131" spans="1:6" x14ac:dyDescent="0.35">
      <c r="A2131">
        <f t="shared" si="107"/>
        <v>0</v>
      </c>
      <c r="B2131">
        <f t="shared" si="106"/>
        <v>66</v>
      </c>
      <c r="C2131" s="10" t="s">
        <v>124</v>
      </c>
      <c r="D2131" s="18">
        <f>VLOOKUP(C2131,'DISTRIBUIÇÃO NF4267'!$E$3:$FQ$75,MATCH(B2131,'DISTRIBUIÇÃO NF4267'!$E$3:$FQ$3,0)+1,0)</f>
        <v>0</v>
      </c>
      <c r="F2131" s="28">
        <f t="shared" si="105"/>
        <v>3</v>
      </c>
    </row>
    <row r="2132" spans="1:6" x14ac:dyDescent="0.35">
      <c r="A2132">
        <f t="shared" si="107"/>
        <v>0</v>
      </c>
      <c r="B2132">
        <f t="shared" si="106"/>
        <v>66</v>
      </c>
      <c r="C2132" s="11" t="s">
        <v>16</v>
      </c>
      <c r="D2132" s="18">
        <f>VLOOKUP(C2132,'DISTRIBUIÇÃO NF4267'!$E$3:$FQ$75,MATCH(B2132,'DISTRIBUIÇÃO NF4267'!$E$3:$FQ$3,0)+1,0)</f>
        <v>0</v>
      </c>
      <c r="F2132" s="28">
        <f t="shared" si="105"/>
        <v>3</v>
      </c>
    </row>
    <row r="2133" spans="1:6" x14ac:dyDescent="0.35">
      <c r="A2133">
        <f t="shared" si="107"/>
        <v>0</v>
      </c>
      <c r="B2133">
        <f t="shared" si="106"/>
        <v>66</v>
      </c>
      <c r="C2133" s="11" t="s">
        <v>17</v>
      </c>
      <c r="D2133" s="18">
        <f>VLOOKUP(C2133,'DISTRIBUIÇÃO NF4267'!$E$3:$FQ$75,MATCH(B2133,'DISTRIBUIÇÃO NF4267'!$E$3:$FQ$3,0)+1,0)</f>
        <v>9</v>
      </c>
      <c r="F2133" s="28">
        <f t="shared" si="105"/>
        <v>3</v>
      </c>
    </row>
    <row r="2134" spans="1:6" x14ac:dyDescent="0.35">
      <c r="A2134">
        <f t="shared" si="107"/>
        <v>0</v>
      </c>
      <c r="B2134">
        <f t="shared" si="106"/>
        <v>66</v>
      </c>
      <c r="C2134" s="11" t="s">
        <v>18</v>
      </c>
      <c r="D2134" s="18">
        <f>VLOOKUP(C2134,'DISTRIBUIÇÃO NF4267'!$E$3:$FQ$75,MATCH(B2134,'DISTRIBUIÇÃO NF4267'!$E$3:$FQ$3,0)+1,0)</f>
        <v>3</v>
      </c>
      <c r="F2134" s="28">
        <f t="shared" si="105"/>
        <v>3</v>
      </c>
    </row>
    <row r="2135" spans="1:6" x14ac:dyDescent="0.35">
      <c r="A2135">
        <f t="shared" si="107"/>
        <v>0</v>
      </c>
      <c r="B2135">
        <f t="shared" si="106"/>
        <v>66</v>
      </c>
      <c r="C2135" s="11" t="s">
        <v>19</v>
      </c>
      <c r="D2135" s="18">
        <f>VLOOKUP(C2135,'DISTRIBUIÇÃO NF4267'!$E$3:$FQ$75,MATCH(B2135,'DISTRIBUIÇÃO NF4267'!$E$3:$FQ$3,0)+1,0)</f>
        <v>3</v>
      </c>
      <c r="F2135" s="28">
        <f t="shared" si="105"/>
        <v>3</v>
      </c>
    </row>
    <row r="2136" spans="1:6" x14ac:dyDescent="0.35">
      <c r="A2136">
        <f t="shared" si="107"/>
        <v>0</v>
      </c>
      <c r="B2136">
        <f t="shared" si="106"/>
        <v>66</v>
      </c>
      <c r="C2136" s="11" t="s">
        <v>20</v>
      </c>
      <c r="D2136" s="18">
        <f>VLOOKUP(C2136,'DISTRIBUIÇÃO NF4267'!$E$3:$FQ$75,MATCH(B2136,'DISTRIBUIÇÃO NF4267'!$E$3:$FQ$3,0)+1,0)</f>
        <v>15</v>
      </c>
      <c r="F2136" s="28">
        <f t="shared" si="105"/>
        <v>3</v>
      </c>
    </row>
    <row r="2137" spans="1:6" x14ac:dyDescent="0.35">
      <c r="A2137">
        <f t="shared" si="107"/>
        <v>0</v>
      </c>
      <c r="B2137">
        <f t="shared" si="106"/>
        <v>66</v>
      </c>
      <c r="C2137" s="11" t="s">
        <v>21</v>
      </c>
      <c r="D2137" s="18">
        <f>VLOOKUP(C2137,'DISTRIBUIÇÃO NF4267'!$E$3:$FQ$75,MATCH(B2137,'DISTRIBUIÇÃO NF4267'!$E$3:$FQ$3,0)+1,0)</f>
        <v>0</v>
      </c>
      <c r="F2137" s="28">
        <f t="shared" si="105"/>
        <v>3</v>
      </c>
    </row>
    <row r="2138" spans="1:6" x14ac:dyDescent="0.35">
      <c r="A2138">
        <f t="shared" si="107"/>
        <v>0</v>
      </c>
      <c r="B2138">
        <f t="shared" si="106"/>
        <v>66</v>
      </c>
      <c r="C2138" s="12" t="s">
        <v>130</v>
      </c>
      <c r="D2138" s="18">
        <f>VLOOKUP(C2138,'DISTRIBUIÇÃO NF4267'!$E$3:$FQ$75,MATCH(B2138,'DISTRIBUIÇÃO NF4267'!$E$3:$FQ$3,0)+1,0)</f>
        <v>0</v>
      </c>
      <c r="F2138" s="28">
        <f t="shared" si="105"/>
        <v>3</v>
      </c>
    </row>
    <row r="2139" spans="1:6" x14ac:dyDescent="0.35">
      <c r="A2139">
        <f t="shared" si="107"/>
        <v>0</v>
      </c>
      <c r="B2139">
        <f t="shared" si="106"/>
        <v>66</v>
      </c>
      <c r="C2139" s="12" t="s">
        <v>131</v>
      </c>
      <c r="D2139" s="18">
        <f>VLOOKUP(C2139,'DISTRIBUIÇÃO NF4267'!$E$3:$FQ$75,MATCH(B2139,'DISTRIBUIÇÃO NF4267'!$E$3:$FQ$3,0)+1,0)</f>
        <v>0</v>
      </c>
      <c r="F2139" s="28">
        <f t="shared" si="105"/>
        <v>3</v>
      </c>
    </row>
    <row r="2140" spans="1:6" x14ac:dyDescent="0.35">
      <c r="A2140">
        <f t="shared" si="107"/>
        <v>0</v>
      </c>
      <c r="B2140">
        <f t="shared" si="106"/>
        <v>66</v>
      </c>
      <c r="C2140" s="12" t="s">
        <v>132</v>
      </c>
      <c r="D2140" s="18">
        <f>VLOOKUP(C2140,'DISTRIBUIÇÃO NF4267'!$E$3:$FQ$75,MATCH(B2140,'DISTRIBUIÇÃO NF4267'!$E$3:$FQ$3,0)+1,0)</f>
        <v>0</v>
      </c>
      <c r="F2140" s="28">
        <f t="shared" si="105"/>
        <v>3</v>
      </c>
    </row>
    <row r="2141" spans="1:6" x14ac:dyDescent="0.35">
      <c r="A2141">
        <f t="shared" si="107"/>
        <v>0</v>
      </c>
      <c r="B2141">
        <f t="shared" si="106"/>
        <v>66</v>
      </c>
      <c r="C2141" s="12" t="s">
        <v>133</v>
      </c>
      <c r="D2141" s="18">
        <f>VLOOKUP(C2141,'DISTRIBUIÇÃO NF4267'!$E$3:$FQ$75,MATCH(B2141,'DISTRIBUIÇÃO NF4267'!$E$3:$FQ$3,0)+1,0)</f>
        <v>0</v>
      </c>
      <c r="F2141" s="28">
        <f t="shared" si="105"/>
        <v>3</v>
      </c>
    </row>
    <row r="2142" spans="1:6" x14ac:dyDescent="0.35">
      <c r="A2142">
        <f t="shared" si="107"/>
        <v>0</v>
      </c>
      <c r="B2142">
        <f t="shared" si="106"/>
        <v>66</v>
      </c>
      <c r="C2142" s="12" t="s">
        <v>134</v>
      </c>
      <c r="D2142" s="18">
        <f>VLOOKUP(C2142,'DISTRIBUIÇÃO NF4267'!$E$3:$FQ$75,MATCH(B2142,'DISTRIBUIÇÃO NF4267'!$E$3:$FQ$3,0)+1,0)</f>
        <v>0</v>
      </c>
      <c r="F2142" s="28">
        <f t="shared" si="105"/>
        <v>3</v>
      </c>
    </row>
    <row r="2143" spans="1:6" x14ac:dyDescent="0.35">
      <c r="A2143">
        <f t="shared" si="107"/>
        <v>0</v>
      </c>
      <c r="B2143">
        <f t="shared" si="106"/>
        <v>66</v>
      </c>
      <c r="C2143" s="12" t="s">
        <v>135</v>
      </c>
      <c r="D2143" s="18">
        <f>VLOOKUP(C2143,'DISTRIBUIÇÃO NF4267'!$E$3:$FQ$75,MATCH(B2143,'DISTRIBUIÇÃO NF4267'!$E$3:$FQ$3,0)+1,0)</f>
        <v>0</v>
      </c>
      <c r="F2143" s="28">
        <f t="shared" si="105"/>
        <v>3</v>
      </c>
    </row>
    <row r="2144" spans="1:6" x14ac:dyDescent="0.35">
      <c r="A2144">
        <f t="shared" si="107"/>
        <v>0</v>
      </c>
      <c r="B2144">
        <f t="shared" si="106"/>
        <v>66</v>
      </c>
      <c r="C2144" s="13" t="s">
        <v>22</v>
      </c>
      <c r="D2144" s="18">
        <f>VLOOKUP(C2144,'DISTRIBUIÇÃO NF4267'!$E$3:$FQ$75,MATCH(B2144,'DISTRIBUIÇÃO NF4267'!$E$3:$FQ$3,0)+1,0)</f>
        <v>0</v>
      </c>
      <c r="F2144" s="28">
        <f t="shared" si="105"/>
        <v>3</v>
      </c>
    </row>
    <row r="2145" spans="1:6" x14ac:dyDescent="0.35">
      <c r="A2145">
        <f t="shared" si="107"/>
        <v>0</v>
      </c>
      <c r="B2145">
        <f t="shared" si="106"/>
        <v>66</v>
      </c>
      <c r="C2145" s="13" t="s">
        <v>23</v>
      </c>
      <c r="D2145" s="18">
        <f>VLOOKUP(C2145,'DISTRIBUIÇÃO NF4267'!$E$3:$FQ$75,MATCH(B2145,'DISTRIBUIÇÃO NF4267'!$E$3:$FQ$3,0)+1,0)</f>
        <v>0</v>
      </c>
      <c r="F2145" s="28">
        <f t="shared" si="105"/>
        <v>3</v>
      </c>
    </row>
    <row r="2146" spans="1:6" x14ac:dyDescent="0.35">
      <c r="A2146">
        <f t="shared" si="107"/>
        <v>0</v>
      </c>
      <c r="B2146">
        <f t="shared" si="106"/>
        <v>66</v>
      </c>
      <c r="C2146" s="13" t="s">
        <v>24</v>
      </c>
      <c r="D2146" s="18">
        <f>VLOOKUP(C2146,'DISTRIBUIÇÃO NF4267'!$E$3:$FQ$75,MATCH(B2146,'DISTRIBUIÇÃO NF4267'!$E$3:$FQ$3,0)+1,0)</f>
        <v>0</v>
      </c>
      <c r="F2146" s="28">
        <f t="shared" si="105"/>
        <v>3</v>
      </c>
    </row>
    <row r="2147" spans="1:6" x14ac:dyDescent="0.35">
      <c r="A2147">
        <f t="shared" si="107"/>
        <v>0</v>
      </c>
      <c r="B2147">
        <f t="shared" si="106"/>
        <v>66</v>
      </c>
      <c r="C2147" s="13" t="s">
        <v>25</v>
      </c>
      <c r="D2147" s="18">
        <f>VLOOKUP(C2147,'DISTRIBUIÇÃO NF4267'!$E$3:$FQ$75,MATCH(B2147,'DISTRIBUIÇÃO NF4267'!$E$3:$FQ$3,0)+1,0)</f>
        <v>0</v>
      </c>
      <c r="F2147" s="28">
        <f t="shared" si="105"/>
        <v>3</v>
      </c>
    </row>
    <row r="2148" spans="1:6" x14ac:dyDescent="0.35">
      <c r="A2148">
        <f t="shared" si="107"/>
        <v>0</v>
      </c>
      <c r="B2148">
        <f t="shared" si="106"/>
        <v>66</v>
      </c>
      <c r="C2148" s="13" t="s">
        <v>26</v>
      </c>
      <c r="D2148" s="18">
        <f>VLOOKUP(C2148,'DISTRIBUIÇÃO NF4267'!$E$3:$FQ$75,MATCH(B2148,'DISTRIBUIÇÃO NF4267'!$E$3:$FQ$3,0)+1,0)</f>
        <v>0</v>
      </c>
      <c r="F2148" s="28">
        <f t="shared" si="105"/>
        <v>3</v>
      </c>
    </row>
    <row r="2149" spans="1:6" x14ac:dyDescent="0.35">
      <c r="A2149">
        <f t="shared" si="107"/>
        <v>0</v>
      </c>
      <c r="B2149">
        <f t="shared" si="106"/>
        <v>66</v>
      </c>
      <c r="C2149" s="13" t="s">
        <v>27</v>
      </c>
      <c r="D2149" s="18">
        <f>VLOOKUP(C2149,'DISTRIBUIÇÃO NF4267'!$E$3:$FQ$75,MATCH(B2149,'DISTRIBUIÇÃO NF4267'!$E$3:$FQ$3,0)+1,0)</f>
        <v>0</v>
      </c>
      <c r="F2149" s="28">
        <f t="shared" si="105"/>
        <v>3</v>
      </c>
    </row>
    <row r="2150" spans="1:6" x14ac:dyDescent="0.35">
      <c r="A2150">
        <f t="shared" si="107"/>
        <v>0</v>
      </c>
      <c r="B2150">
        <f t="shared" si="106"/>
        <v>66</v>
      </c>
      <c r="C2150" s="14" t="s">
        <v>138</v>
      </c>
      <c r="D2150" s="18">
        <f>VLOOKUP(C2150,'DISTRIBUIÇÃO NF4267'!$E$3:$FQ$75,MATCH(B2150,'DISTRIBUIÇÃO NF4267'!$E$3:$FQ$3,0)+1,0)</f>
        <v>0</v>
      </c>
      <c r="F2150" s="28">
        <f t="shared" si="105"/>
        <v>3</v>
      </c>
    </row>
    <row r="2151" spans="1:6" x14ac:dyDescent="0.35">
      <c r="A2151">
        <f t="shared" si="107"/>
        <v>0</v>
      </c>
      <c r="B2151">
        <f t="shared" si="106"/>
        <v>66</v>
      </c>
      <c r="C2151" s="14" t="s">
        <v>139</v>
      </c>
      <c r="D2151" s="18">
        <f>VLOOKUP(C2151,'DISTRIBUIÇÃO NF4267'!$E$3:$FQ$75,MATCH(B2151,'DISTRIBUIÇÃO NF4267'!$E$3:$FQ$3,0)+1,0)</f>
        <v>4</v>
      </c>
      <c r="F2151" s="28">
        <f t="shared" si="105"/>
        <v>3</v>
      </c>
    </row>
    <row r="2152" spans="1:6" x14ac:dyDescent="0.35">
      <c r="A2152">
        <f t="shared" si="107"/>
        <v>0</v>
      </c>
      <c r="B2152">
        <f t="shared" si="106"/>
        <v>66</v>
      </c>
      <c r="C2152" s="14" t="s">
        <v>140</v>
      </c>
      <c r="D2152" s="18">
        <f>VLOOKUP(C2152,'DISTRIBUIÇÃO NF4267'!$E$3:$FQ$75,MATCH(B2152,'DISTRIBUIÇÃO NF4267'!$E$3:$FQ$3,0)+1,0)</f>
        <v>8</v>
      </c>
      <c r="F2152" s="28">
        <f t="shared" si="105"/>
        <v>3</v>
      </c>
    </row>
    <row r="2153" spans="1:6" x14ac:dyDescent="0.35">
      <c r="A2153">
        <f t="shared" si="107"/>
        <v>0</v>
      </c>
      <c r="B2153">
        <f t="shared" si="106"/>
        <v>66</v>
      </c>
      <c r="C2153" s="14" t="s">
        <v>141</v>
      </c>
      <c r="D2153" s="18">
        <f>VLOOKUP(C2153,'DISTRIBUIÇÃO NF4267'!$E$3:$FQ$75,MATCH(B2153,'DISTRIBUIÇÃO NF4267'!$E$3:$FQ$3,0)+1,0)</f>
        <v>4</v>
      </c>
      <c r="F2153" s="28">
        <f t="shared" si="105"/>
        <v>3</v>
      </c>
    </row>
    <row r="2154" spans="1:6" x14ac:dyDescent="0.35">
      <c r="A2154">
        <f t="shared" si="107"/>
        <v>0</v>
      </c>
      <c r="B2154">
        <f t="shared" si="106"/>
        <v>66</v>
      </c>
      <c r="C2154" s="14" t="s">
        <v>142</v>
      </c>
      <c r="D2154" s="18">
        <f>VLOOKUP(C2154,'DISTRIBUIÇÃO NF4267'!$E$3:$FQ$75,MATCH(B2154,'DISTRIBUIÇÃO NF4267'!$E$3:$FQ$3,0)+1,0)</f>
        <v>4</v>
      </c>
      <c r="F2154" s="28">
        <f t="shared" si="105"/>
        <v>3</v>
      </c>
    </row>
    <row r="2155" spans="1:6" x14ac:dyDescent="0.35">
      <c r="A2155">
        <f t="shared" si="107"/>
        <v>0</v>
      </c>
      <c r="B2155">
        <f t="shared" si="106"/>
        <v>66</v>
      </c>
      <c r="C2155" s="14" t="s">
        <v>143</v>
      </c>
      <c r="D2155" s="18">
        <f>VLOOKUP(C2155,'DISTRIBUIÇÃO NF4267'!$E$3:$FQ$75,MATCH(B2155,'DISTRIBUIÇÃO NF4267'!$E$3:$FQ$3,0)+1,0)</f>
        <v>0</v>
      </c>
      <c r="F2155" s="28">
        <f t="shared" si="105"/>
        <v>3</v>
      </c>
    </row>
    <row r="2156" spans="1:6" x14ac:dyDescent="0.35">
      <c r="A2156">
        <f t="shared" si="107"/>
        <v>0</v>
      </c>
      <c r="B2156">
        <f t="shared" si="106"/>
        <v>66</v>
      </c>
      <c r="C2156" s="15" t="s">
        <v>145</v>
      </c>
      <c r="D2156" s="18">
        <f>VLOOKUP(C2156,'DISTRIBUIÇÃO NF4267'!$E$3:$FQ$75,MATCH(B2156,'DISTRIBUIÇÃO NF4267'!$E$3:$FQ$3,0)+1,0)</f>
        <v>0</v>
      </c>
      <c r="F2156" s="28">
        <f t="shared" si="105"/>
        <v>3</v>
      </c>
    </row>
    <row r="2157" spans="1:6" x14ac:dyDescent="0.35">
      <c r="A2157">
        <f t="shared" si="107"/>
        <v>0</v>
      </c>
      <c r="B2157">
        <f t="shared" si="106"/>
        <v>66</v>
      </c>
      <c r="C2157" s="15" t="s">
        <v>146</v>
      </c>
      <c r="D2157" s="18">
        <f>VLOOKUP(C2157,'DISTRIBUIÇÃO NF4267'!$E$3:$FQ$75,MATCH(B2157,'DISTRIBUIÇÃO NF4267'!$E$3:$FQ$3,0)+1,0)</f>
        <v>2</v>
      </c>
      <c r="F2157" s="28">
        <f t="shared" si="105"/>
        <v>3</v>
      </c>
    </row>
    <row r="2158" spans="1:6" x14ac:dyDescent="0.35">
      <c r="A2158">
        <f t="shared" si="107"/>
        <v>0</v>
      </c>
      <c r="B2158">
        <f t="shared" si="106"/>
        <v>66</v>
      </c>
      <c r="C2158" s="15" t="s">
        <v>147</v>
      </c>
      <c r="D2158" s="18">
        <f>VLOOKUP(C2158,'DISTRIBUIÇÃO NF4267'!$E$3:$FQ$75,MATCH(B2158,'DISTRIBUIÇÃO NF4267'!$E$3:$FQ$3,0)+1,0)</f>
        <v>4</v>
      </c>
      <c r="F2158" s="28">
        <f t="shared" si="105"/>
        <v>3</v>
      </c>
    </row>
    <row r="2159" spans="1:6" x14ac:dyDescent="0.35">
      <c r="A2159">
        <f t="shared" si="107"/>
        <v>0</v>
      </c>
      <c r="B2159">
        <f t="shared" si="106"/>
        <v>66</v>
      </c>
      <c r="C2159" s="15" t="s">
        <v>148</v>
      </c>
      <c r="D2159" s="18">
        <f>VLOOKUP(C2159,'DISTRIBUIÇÃO NF4267'!$E$3:$FQ$75,MATCH(B2159,'DISTRIBUIÇÃO NF4267'!$E$3:$FQ$3,0)+1,0)</f>
        <v>2</v>
      </c>
      <c r="F2159" s="28">
        <f t="shared" si="105"/>
        <v>3</v>
      </c>
    </row>
    <row r="2160" spans="1:6" x14ac:dyDescent="0.35">
      <c r="A2160">
        <f t="shared" si="107"/>
        <v>0</v>
      </c>
      <c r="B2160">
        <f t="shared" si="106"/>
        <v>66</v>
      </c>
      <c r="C2160" s="15" t="s">
        <v>149</v>
      </c>
      <c r="D2160" s="18">
        <f>VLOOKUP(C2160,'DISTRIBUIÇÃO NF4267'!$E$3:$FQ$75,MATCH(B2160,'DISTRIBUIÇÃO NF4267'!$E$3:$FQ$3,0)+1,0)</f>
        <v>2</v>
      </c>
      <c r="F2160" s="28">
        <f t="shared" si="105"/>
        <v>3</v>
      </c>
    </row>
    <row r="2161" spans="1:6" x14ac:dyDescent="0.35">
      <c r="A2161">
        <f t="shared" si="107"/>
        <v>0</v>
      </c>
      <c r="B2161">
        <f t="shared" si="106"/>
        <v>66</v>
      </c>
      <c r="C2161" s="15" t="s">
        <v>150</v>
      </c>
      <c r="D2161" s="18">
        <f>VLOOKUP(C2161,'DISTRIBUIÇÃO NF4267'!$E$3:$FQ$75,MATCH(B2161,'DISTRIBUIÇÃO NF4267'!$E$3:$FQ$3,0)+1,0)</f>
        <v>0</v>
      </c>
      <c r="F2161" s="28">
        <f t="shared" si="105"/>
        <v>3</v>
      </c>
    </row>
    <row r="2162" spans="1:6" x14ac:dyDescent="0.35">
      <c r="A2162">
        <f t="shared" si="107"/>
        <v>0</v>
      </c>
      <c r="B2162" t="s">
        <v>55</v>
      </c>
      <c r="C2162" s="7" t="s">
        <v>98</v>
      </c>
      <c r="D2162" s="18">
        <f>VLOOKUP(C2162,'DISTRIBUIÇÃO NF4267'!$E$3:$FQ$75,MATCH(B2162,'DISTRIBUIÇÃO NF4267'!$E$3:$FQ$3,0)+1,0)</f>
        <v>0</v>
      </c>
      <c r="F2162" s="28">
        <f t="shared" si="105"/>
        <v>3</v>
      </c>
    </row>
    <row r="2163" spans="1:6" x14ac:dyDescent="0.35">
      <c r="A2163">
        <f t="shared" si="107"/>
        <v>0</v>
      </c>
      <c r="B2163" t="str">
        <f>B2162</f>
        <v>AQ</v>
      </c>
      <c r="C2163" s="7" t="s">
        <v>99</v>
      </c>
      <c r="D2163" s="18">
        <f>VLOOKUP(C2163,'DISTRIBUIÇÃO NF4267'!$E$3:$FQ$75,MATCH(B2163,'DISTRIBUIÇÃO NF4267'!$E$3:$FQ$3,0)+1,0)</f>
        <v>4</v>
      </c>
      <c r="F2163" s="28">
        <f t="shared" si="105"/>
        <v>3</v>
      </c>
    </row>
    <row r="2164" spans="1:6" x14ac:dyDescent="0.35">
      <c r="A2164">
        <f t="shared" si="107"/>
        <v>0</v>
      </c>
      <c r="B2164" t="str">
        <f t="shared" ref="B2164:B2215" si="108">B2163</f>
        <v>AQ</v>
      </c>
      <c r="C2164" s="7" t="s">
        <v>100</v>
      </c>
      <c r="D2164" s="18">
        <f>VLOOKUP(C2164,'DISTRIBUIÇÃO NF4267'!$E$3:$FQ$75,MATCH(B2164,'DISTRIBUIÇÃO NF4267'!$E$3:$FQ$3,0)+1,0)</f>
        <v>8</v>
      </c>
      <c r="F2164" s="28">
        <f t="shared" si="105"/>
        <v>3</v>
      </c>
    </row>
    <row r="2165" spans="1:6" x14ac:dyDescent="0.35">
      <c r="A2165">
        <f t="shared" si="107"/>
        <v>0</v>
      </c>
      <c r="B2165" t="str">
        <f t="shared" si="108"/>
        <v>AQ</v>
      </c>
      <c r="C2165" s="7" t="s">
        <v>101</v>
      </c>
      <c r="D2165" s="18">
        <f>VLOOKUP(C2165,'DISTRIBUIÇÃO NF4267'!$E$3:$FQ$75,MATCH(B2165,'DISTRIBUIÇÃO NF4267'!$E$3:$FQ$3,0)+1,0)</f>
        <v>4</v>
      </c>
      <c r="F2165" s="28">
        <f t="shared" si="105"/>
        <v>3</v>
      </c>
    </row>
    <row r="2166" spans="1:6" x14ac:dyDescent="0.35">
      <c r="A2166">
        <f t="shared" si="107"/>
        <v>0</v>
      </c>
      <c r="B2166" t="str">
        <f t="shared" si="108"/>
        <v>AQ</v>
      </c>
      <c r="C2166" s="7" t="s">
        <v>102</v>
      </c>
      <c r="D2166" s="18">
        <f>VLOOKUP(C2166,'DISTRIBUIÇÃO NF4267'!$E$3:$FQ$75,MATCH(B2166,'DISTRIBUIÇÃO NF4267'!$E$3:$FQ$3,0)+1,0)</f>
        <v>4</v>
      </c>
      <c r="F2166" s="28">
        <f t="shared" si="105"/>
        <v>3</v>
      </c>
    </row>
    <row r="2167" spans="1:6" x14ac:dyDescent="0.35">
      <c r="A2167">
        <f t="shared" si="107"/>
        <v>0</v>
      </c>
      <c r="B2167" t="str">
        <f t="shared" si="108"/>
        <v>AQ</v>
      </c>
      <c r="C2167" s="7" t="s">
        <v>103</v>
      </c>
      <c r="D2167" s="18">
        <f>VLOOKUP(C2167,'DISTRIBUIÇÃO NF4267'!$E$3:$FQ$75,MATCH(B2167,'DISTRIBUIÇÃO NF4267'!$E$3:$FQ$3,0)+1,0)</f>
        <v>0</v>
      </c>
      <c r="F2167" s="28">
        <f t="shared" si="105"/>
        <v>3</v>
      </c>
    </row>
    <row r="2168" spans="1:6" x14ac:dyDescent="0.35">
      <c r="A2168">
        <f t="shared" si="107"/>
        <v>0</v>
      </c>
      <c r="B2168" t="str">
        <f t="shared" si="108"/>
        <v>AQ</v>
      </c>
      <c r="C2168" s="8" t="s">
        <v>107</v>
      </c>
      <c r="D2168" s="18">
        <f>VLOOKUP(C2168,'DISTRIBUIÇÃO NF4267'!$E$3:$FQ$75,MATCH(B2168,'DISTRIBUIÇÃO NF4267'!$E$3:$FQ$3,0)+1,0)</f>
        <v>0</v>
      </c>
      <c r="F2168" s="28">
        <f t="shared" ref="F2168:F2231" si="109">ROUNDUP(SUMIFS(D:D,B:B,B2168)/80,0)</f>
        <v>3</v>
      </c>
    </row>
    <row r="2169" spans="1:6" x14ac:dyDescent="0.35">
      <c r="A2169">
        <f t="shared" si="107"/>
        <v>0</v>
      </c>
      <c r="B2169" t="str">
        <f t="shared" si="108"/>
        <v>AQ</v>
      </c>
      <c r="C2169" s="8" t="s">
        <v>108</v>
      </c>
      <c r="D2169" s="18">
        <f>VLOOKUP(C2169,'DISTRIBUIÇÃO NF4267'!$E$3:$FQ$75,MATCH(B2169,'DISTRIBUIÇÃO NF4267'!$E$3:$FQ$3,0)+1,0)</f>
        <v>2</v>
      </c>
      <c r="F2169" s="28">
        <f t="shared" si="109"/>
        <v>3</v>
      </c>
    </row>
    <row r="2170" spans="1:6" x14ac:dyDescent="0.35">
      <c r="A2170">
        <f t="shared" si="107"/>
        <v>0</v>
      </c>
      <c r="B2170" t="str">
        <f t="shared" si="108"/>
        <v>AQ</v>
      </c>
      <c r="C2170" s="8" t="s">
        <v>109</v>
      </c>
      <c r="D2170" s="18">
        <f>VLOOKUP(C2170,'DISTRIBUIÇÃO NF4267'!$E$3:$FQ$75,MATCH(B2170,'DISTRIBUIÇÃO NF4267'!$E$3:$FQ$3,0)+1,0)</f>
        <v>4</v>
      </c>
      <c r="F2170" s="28">
        <f t="shared" si="109"/>
        <v>3</v>
      </c>
    </row>
    <row r="2171" spans="1:6" x14ac:dyDescent="0.35">
      <c r="A2171">
        <f t="shared" si="107"/>
        <v>0</v>
      </c>
      <c r="B2171" t="str">
        <f t="shared" si="108"/>
        <v>AQ</v>
      </c>
      <c r="C2171" s="8" t="s">
        <v>110</v>
      </c>
      <c r="D2171" s="18">
        <f>VLOOKUP(C2171,'DISTRIBUIÇÃO NF4267'!$E$3:$FQ$75,MATCH(B2171,'DISTRIBUIÇÃO NF4267'!$E$3:$FQ$3,0)+1,0)</f>
        <v>2</v>
      </c>
      <c r="F2171" s="28">
        <f t="shared" si="109"/>
        <v>3</v>
      </c>
    </row>
    <row r="2172" spans="1:6" x14ac:dyDescent="0.35">
      <c r="A2172">
        <f t="shared" si="107"/>
        <v>0</v>
      </c>
      <c r="B2172" t="str">
        <f t="shared" si="108"/>
        <v>AQ</v>
      </c>
      <c r="C2172" s="8" t="s">
        <v>111</v>
      </c>
      <c r="D2172" s="18">
        <f>VLOOKUP(C2172,'DISTRIBUIÇÃO NF4267'!$E$3:$FQ$75,MATCH(B2172,'DISTRIBUIÇÃO NF4267'!$E$3:$FQ$3,0)+1,0)</f>
        <v>2</v>
      </c>
      <c r="F2172" s="28">
        <f t="shared" si="109"/>
        <v>3</v>
      </c>
    </row>
    <row r="2173" spans="1:6" x14ac:dyDescent="0.35">
      <c r="A2173">
        <f t="shared" si="107"/>
        <v>0</v>
      </c>
      <c r="B2173" t="str">
        <f t="shared" si="108"/>
        <v>AQ</v>
      </c>
      <c r="C2173" s="8" t="s">
        <v>112</v>
      </c>
      <c r="D2173" s="18">
        <f>VLOOKUP(C2173,'DISTRIBUIÇÃO NF4267'!$E$3:$FQ$75,MATCH(B2173,'DISTRIBUIÇÃO NF4267'!$E$3:$FQ$3,0)+1,0)</f>
        <v>0</v>
      </c>
      <c r="F2173" s="28">
        <f t="shared" si="109"/>
        <v>3</v>
      </c>
    </row>
    <row r="2174" spans="1:6" x14ac:dyDescent="0.35">
      <c r="A2174">
        <f t="shared" si="107"/>
        <v>0</v>
      </c>
      <c r="B2174" t="str">
        <f t="shared" si="108"/>
        <v>AQ</v>
      </c>
      <c r="C2174" s="9" t="s">
        <v>113</v>
      </c>
      <c r="D2174" s="18">
        <f>VLOOKUP(C2174,'DISTRIBUIÇÃO NF4267'!$E$3:$FQ$75,MATCH(B2174,'DISTRIBUIÇÃO NF4267'!$E$3:$FQ$3,0)+1,0)</f>
        <v>0</v>
      </c>
      <c r="F2174" s="28">
        <f t="shared" si="109"/>
        <v>3</v>
      </c>
    </row>
    <row r="2175" spans="1:6" x14ac:dyDescent="0.35">
      <c r="A2175">
        <f t="shared" si="107"/>
        <v>0</v>
      </c>
      <c r="B2175" t="str">
        <f t="shared" si="108"/>
        <v>AQ</v>
      </c>
      <c r="C2175" s="9" t="s">
        <v>114</v>
      </c>
      <c r="D2175" s="18">
        <f>VLOOKUP(C2175,'DISTRIBUIÇÃO NF4267'!$E$3:$FQ$75,MATCH(B2175,'DISTRIBUIÇÃO NF4267'!$E$3:$FQ$3,0)+1,0)</f>
        <v>3</v>
      </c>
      <c r="F2175" s="28">
        <f t="shared" si="109"/>
        <v>3</v>
      </c>
    </row>
    <row r="2176" spans="1:6" x14ac:dyDescent="0.35">
      <c r="A2176">
        <f t="shared" si="107"/>
        <v>0</v>
      </c>
      <c r="B2176" t="str">
        <f t="shared" si="108"/>
        <v>AQ</v>
      </c>
      <c r="C2176" s="9" t="s">
        <v>115</v>
      </c>
      <c r="D2176" s="18">
        <f>VLOOKUP(C2176,'DISTRIBUIÇÃO NF4267'!$E$3:$FQ$75,MATCH(B2176,'DISTRIBUIÇÃO NF4267'!$E$3:$FQ$3,0)+1,0)</f>
        <v>4</v>
      </c>
      <c r="F2176" s="28">
        <f t="shared" si="109"/>
        <v>3</v>
      </c>
    </row>
    <row r="2177" spans="1:6" x14ac:dyDescent="0.35">
      <c r="A2177">
        <f t="shared" si="107"/>
        <v>0</v>
      </c>
      <c r="B2177" t="str">
        <f t="shared" si="108"/>
        <v>AQ</v>
      </c>
      <c r="C2177" s="9" t="s">
        <v>116</v>
      </c>
      <c r="D2177" s="18">
        <f>VLOOKUP(C2177,'DISTRIBUIÇÃO NF4267'!$E$3:$FQ$75,MATCH(B2177,'DISTRIBUIÇÃO NF4267'!$E$3:$FQ$3,0)+1,0)</f>
        <v>2</v>
      </c>
      <c r="F2177" s="28">
        <f t="shared" si="109"/>
        <v>3</v>
      </c>
    </row>
    <row r="2178" spans="1:6" x14ac:dyDescent="0.35">
      <c r="A2178">
        <f t="shared" ref="A2178:A2241" si="110">IF(ISERROR(VLOOKUP(C2178,I:I,1,0)),0,1)</f>
        <v>0</v>
      </c>
      <c r="B2178" t="str">
        <f t="shared" si="108"/>
        <v>AQ</v>
      </c>
      <c r="C2178" s="9" t="s">
        <v>117</v>
      </c>
      <c r="D2178" s="18">
        <f>VLOOKUP(C2178,'DISTRIBUIÇÃO NF4267'!$E$3:$FQ$75,MATCH(B2178,'DISTRIBUIÇÃO NF4267'!$E$3:$FQ$3,0)+1,0)</f>
        <v>1</v>
      </c>
      <c r="F2178" s="28">
        <f t="shared" si="109"/>
        <v>3</v>
      </c>
    </row>
    <row r="2179" spans="1:6" x14ac:dyDescent="0.35">
      <c r="A2179">
        <f t="shared" si="110"/>
        <v>0</v>
      </c>
      <c r="B2179" t="str">
        <f t="shared" si="108"/>
        <v>AQ</v>
      </c>
      <c r="C2179" s="9" t="s">
        <v>118</v>
      </c>
      <c r="D2179" s="18">
        <f>VLOOKUP(C2179,'DISTRIBUIÇÃO NF4267'!$E$3:$FQ$75,MATCH(B2179,'DISTRIBUIÇÃO NF4267'!$E$3:$FQ$3,0)+1,0)</f>
        <v>0</v>
      </c>
      <c r="F2179" s="28">
        <f t="shared" si="109"/>
        <v>3</v>
      </c>
    </row>
    <row r="2180" spans="1:6" x14ac:dyDescent="0.35">
      <c r="A2180">
        <f t="shared" si="110"/>
        <v>0</v>
      </c>
      <c r="B2180" t="str">
        <f t="shared" si="108"/>
        <v>AQ</v>
      </c>
      <c r="C2180" s="10" t="s">
        <v>119</v>
      </c>
      <c r="D2180" s="18">
        <f>VLOOKUP(C2180,'DISTRIBUIÇÃO NF4267'!$E$3:$FQ$75,MATCH(B2180,'DISTRIBUIÇÃO NF4267'!$E$3:$FQ$3,0)+1,0)</f>
        <v>0</v>
      </c>
      <c r="F2180" s="28">
        <f t="shared" si="109"/>
        <v>3</v>
      </c>
    </row>
    <row r="2181" spans="1:6" x14ac:dyDescent="0.35">
      <c r="A2181">
        <f t="shared" si="110"/>
        <v>0</v>
      </c>
      <c r="B2181" t="str">
        <f t="shared" si="108"/>
        <v>AQ</v>
      </c>
      <c r="C2181" s="10" t="s">
        <v>120</v>
      </c>
      <c r="D2181" s="18">
        <f>VLOOKUP(C2181,'DISTRIBUIÇÃO NF4267'!$E$3:$FQ$75,MATCH(B2181,'DISTRIBUIÇÃO NF4267'!$E$3:$FQ$3,0)+1,0)</f>
        <v>48</v>
      </c>
      <c r="F2181" s="28">
        <f t="shared" si="109"/>
        <v>3</v>
      </c>
    </row>
    <row r="2182" spans="1:6" x14ac:dyDescent="0.35">
      <c r="A2182">
        <f t="shared" si="110"/>
        <v>0</v>
      </c>
      <c r="B2182" t="str">
        <f t="shared" si="108"/>
        <v>AQ</v>
      </c>
      <c r="C2182" s="10" t="s">
        <v>121</v>
      </c>
      <c r="D2182" s="18">
        <f>VLOOKUP(C2182,'DISTRIBUIÇÃO NF4267'!$E$3:$FQ$75,MATCH(B2182,'DISTRIBUIÇÃO NF4267'!$E$3:$FQ$3,0)+1,0)</f>
        <v>16</v>
      </c>
      <c r="F2182" s="28">
        <f t="shared" si="109"/>
        <v>3</v>
      </c>
    </row>
    <row r="2183" spans="1:6" x14ac:dyDescent="0.35">
      <c r="A2183">
        <f t="shared" si="110"/>
        <v>0</v>
      </c>
      <c r="B2183" t="str">
        <f t="shared" si="108"/>
        <v>AQ</v>
      </c>
      <c r="C2183" s="10" t="s">
        <v>122</v>
      </c>
      <c r="D2183" s="18">
        <f>VLOOKUP(C2183,'DISTRIBUIÇÃO NF4267'!$E$3:$FQ$75,MATCH(B2183,'DISTRIBUIÇÃO NF4267'!$E$3:$FQ$3,0)+1,0)</f>
        <v>16</v>
      </c>
      <c r="F2183" s="28">
        <f t="shared" si="109"/>
        <v>3</v>
      </c>
    </row>
    <row r="2184" spans="1:6" x14ac:dyDescent="0.35">
      <c r="A2184">
        <f t="shared" si="110"/>
        <v>0</v>
      </c>
      <c r="B2184" t="str">
        <f t="shared" si="108"/>
        <v>AQ</v>
      </c>
      <c r="C2184" s="10" t="s">
        <v>123</v>
      </c>
      <c r="D2184" s="18">
        <f>VLOOKUP(C2184,'DISTRIBUIÇÃO NF4267'!$E$3:$FQ$75,MATCH(B2184,'DISTRIBUIÇÃO NF4267'!$E$3:$FQ$3,0)+1,0)</f>
        <v>0</v>
      </c>
      <c r="F2184" s="28">
        <f t="shared" si="109"/>
        <v>3</v>
      </c>
    </row>
    <row r="2185" spans="1:6" x14ac:dyDescent="0.35">
      <c r="A2185">
        <f t="shared" si="110"/>
        <v>0</v>
      </c>
      <c r="B2185" t="str">
        <f t="shared" si="108"/>
        <v>AQ</v>
      </c>
      <c r="C2185" s="10" t="s">
        <v>124</v>
      </c>
      <c r="D2185" s="18">
        <f>VLOOKUP(C2185,'DISTRIBUIÇÃO NF4267'!$E$3:$FQ$75,MATCH(B2185,'DISTRIBUIÇÃO NF4267'!$E$3:$FQ$3,0)+1,0)</f>
        <v>0</v>
      </c>
      <c r="F2185" s="28">
        <f t="shared" si="109"/>
        <v>3</v>
      </c>
    </row>
    <row r="2186" spans="1:6" x14ac:dyDescent="0.35">
      <c r="A2186">
        <f t="shared" si="110"/>
        <v>0</v>
      </c>
      <c r="B2186" t="str">
        <f t="shared" si="108"/>
        <v>AQ</v>
      </c>
      <c r="C2186" s="11" t="s">
        <v>16</v>
      </c>
      <c r="D2186" s="18">
        <f>VLOOKUP(C2186,'DISTRIBUIÇÃO NF4267'!$E$3:$FQ$75,MATCH(B2186,'DISTRIBUIÇÃO NF4267'!$E$3:$FQ$3,0)+1,0)</f>
        <v>0</v>
      </c>
      <c r="F2186" s="28">
        <f t="shared" si="109"/>
        <v>3</v>
      </c>
    </row>
    <row r="2187" spans="1:6" x14ac:dyDescent="0.35">
      <c r="A2187">
        <f t="shared" si="110"/>
        <v>0</v>
      </c>
      <c r="B2187" t="str">
        <f t="shared" si="108"/>
        <v>AQ</v>
      </c>
      <c r="C2187" s="11" t="s">
        <v>17</v>
      </c>
      <c r="D2187" s="18">
        <f>VLOOKUP(C2187,'DISTRIBUIÇÃO NF4267'!$E$3:$FQ$75,MATCH(B2187,'DISTRIBUIÇÃO NF4267'!$E$3:$FQ$3,0)+1,0)</f>
        <v>9</v>
      </c>
      <c r="F2187" s="28">
        <f t="shared" si="109"/>
        <v>3</v>
      </c>
    </row>
    <row r="2188" spans="1:6" x14ac:dyDescent="0.35">
      <c r="A2188">
        <f t="shared" si="110"/>
        <v>0</v>
      </c>
      <c r="B2188" t="str">
        <f t="shared" si="108"/>
        <v>AQ</v>
      </c>
      <c r="C2188" s="11" t="s">
        <v>18</v>
      </c>
      <c r="D2188" s="18">
        <f>VLOOKUP(C2188,'DISTRIBUIÇÃO NF4267'!$E$3:$FQ$75,MATCH(B2188,'DISTRIBUIÇÃO NF4267'!$E$3:$FQ$3,0)+1,0)</f>
        <v>3</v>
      </c>
      <c r="F2188" s="28">
        <f t="shared" si="109"/>
        <v>3</v>
      </c>
    </row>
    <row r="2189" spans="1:6" x14ac:dyDescent="0.35">
      <c r="A2189">
        <f t="shared" si="110"/>
        <v>0</v>
      </c>
      <c r="B2189" t="str">
        <f t="shared" si="108"/>
        <v>AQ</v>
      </c>
      <c r="C2189" s="11" t="s">
        <v>19</v>
      </c>
      <c r="D2189" s="18">
        <f>VLOOKUP(C2189,'DISTRIBUIÇÃO NF4267'!$E$3:$FQ$75,MATCH(B2189,'DISTRIBUIÇÃO NF4267'!$E$3:$FQ$3,0)+1,0)</f>
        <v>3</v>
      </c>
      <c r="F2189" s="28">
        <f t="shared" si="109"/>
        <v>3</v>
      </c>
    </row>
    <row r="2190" spans="1:6" x14ac:dyDescent="0.35">
      <c r="A2190">
        <f t="shared" si="110"/>
        <v>0</v>
      </c>
      <c r="B2190" t="str">
        <f t="shared" si="108"/>
        <v>AQ</v>
      </c>
      <c r="C2190" s="11" t="s">
        <v>20</v>
      </c>
      <c r="D2190" s="18">
        <f>VLOOKUP(C2190,'DISTRIBUIÇÃO NF4267'!$E$3:$FQ$75,MATCH(B2190,'DISTRIBUIÇÃO NF4267'!$E$3:$FQ$3,0)+1,0)</f>
        <v>15</v>
      </c>
      <c r="F2190" s="28">
        <f t="shared" si="109"/>
        <v>3</v>
      </c>
    </row>
    <row r="2191" spans="1:6" x14ac:dyDescent="0.35">
      <c r="A2191">
        <f t="shared" si="110"/>
        <v>0</v>
      </c>
      <c r="B2191" t="str">
        <f t="shared" si="108"/>
        <v>AQ</v>
      </c>
      <c r="C2191" s="11" t="s">
        <v>21</v>
      </c>
      <c r="D2191" s="18">
        <f>VLOOKUP(C2191,'DISTRIBUIÇÃO NF4267'!$E$3:$FQ$75,MATCH(B2191,'DISTRIBUIÇÃO NF4267'!$E$3:$FQ$3,0)+1,0)</f>
        <v>0</v>
      </c>
      <c r="F2191" s="28">
        <f t="shared" si="109"/>
        <v>3</v>
      </c>
    </row>
    <row r="2192" spans="1:6" x14ac:dyDescent="0.35">
      <c r="A2192">
        <f t="shared" si="110"/>
        <v>0</v>
      </c>
      <c r="B2192" t="str">
        <f t="shared" si="108"/>
        <v>AQ</v>
      </c>
      <c r="C2192" s="12" t="s">
        <v>130</v>
      </c>
      <c r="D2192" s="18">
        <f>VLOOKUP(C2192,'DISTRIBUIÇÃO NF4267'!$E$3:$FQ$75,MATCH(B2192,'DISTRIBUIÇÃO NF4267'!$E$3:$FQ$3,0)+1,0)</f>
        <v>0</v>
      </c>
      <c r="F2192" s="28">
        <f t="shared" si="109"/>
        <v>3</v>
      </c>
    </row>
    <row r="2193" spans="1:6" x14ac:dyDescent="0.35">
      <c r="A2193">
        <f t="shared" si="110"/>
        <v>0</v>
      </c>
      <c r="B2193" t="str">
        <f t="shared" si="108"/>
        <v>AQ</v>
      </c>
      <c r="C2193" s="12" t="s">
        <v>131</v>
      </c>
      <c r="D2193" s="18">
        <f>VLOOKUP(C2193,'DISTRIBUIÇÃO NF4267'!$E$3:$FQ$75,MATCH(B2193,'DISTRIBUIÇÃO NF4267'!$E$3:$FQ$3,0)+1,0)</f>
        <v>0</v>
      </c>
      <c r="F2193" s="28">
        <f t="shared" si="109"/>
        <v>3</v>
      </c>
    </row>
    <row r="2194" spans="1:6" x14ac:dyDescent="0.35">
      <c r="A2194">
        <f t="shared" si="110"/>
        <v>0</v>
      </c>
      <c r="B2194" t="str">
        <f t="shared" si="108"/>
        <v>AQ</v>
      </c>
      <c r="C2194" s="12" t="s">
        <v>132</v>
      </c>
      <c r="D2194" s="18">
        <f>VLOOKUP(C2194,'DISTRIBUIÇÃO NF4267'!$E$3:$FQ$75,MATCH(B2194,'DISTRIBUIÇÃO NF4267'!$E$3:$FQ$3,0)+1,0)</f>
        <v>0</v>
      </c>
      <c r="F2194" s="28">
        <f t="shared" si="109"/>
        <v>3</v>
      </c>
    </row>
    <row r="2195" spans="1:6" x14ac:dyDescent="0.35">
      <c r="A2195">
        <f t="shared" si="110"/>
        <v>0</v>
      </c>
      <c r="B2195" t="str">
        <f t="shared" si="108"/>
        <v>AQ</v>
      </c>
      <c r="C2195" s="12" t="s">
        <v>133</v>
      </c>
      <c r="D2195" s="18">
        <f>VLOOKUP(C2195,'DISTRIBUIÇÃO NF4267'!$E$3:$FQ$75,MATCH(B2195,'DISTRIBUIÇÃO NF4267'!$E$3:$FQ$3,0)+1,0)</f>
        <v>0</v>
      </c>
      <c r="F2195" s="28">
        <f t="shared" si="109"/>
        <v>3</v>
      </c>
    </row>
    <row r="2196" spans="1:6" x14ac:dyDescent="0.35">
      <c r="A2196">
        <f t="shared" si="110"/>
        <v>0</v>
      </c>
      <c r="B2196" t="str">
        <f t="shared" si="108"/>
        <v>AQ</v>
      </c>
      <c r="C2196" s="12" t="s">
        <v>134</v>
      </c>
      <c r="D2196" s="18">
        <f>VLOOKUP(C2196,'DISTRIBUIÇÃO NF4267'!$E$3:$FQ$75,MATCH(B2196,'DISTRIBUIÇÃO NF4267'!$E$3:$FQ$3,0)+1,0)</f>
        <v>0</v>
      </c>
      <c r="F2196" s="28">
        <f t="shared" si="109"/>
        <v>3</v>
      </c>
    </row>
    <row r="2197" spans="1:6" x14ac:dyDescent="0.35">
      <c r="A2197">
        <f t="shared" si="110"/>
        <v>0</v>
      </c>
      <c r="B2197" t="str">
        <f t="shared" si="108"/>
        <v>AQ</v>
      </c>
      <c r="C2197" s="12" t="s">
        <v>135</v>
      </c>
      <c r="D2197" s="18">
        <f>VLOOKUP(C2197,'DISTRIBUIÇÃO NF4267'!$E$3:$FQ$75,MATCH(B2197,'DISTRIBUIÇÃO NF4267'!$E$3:$FQ$3,0)+1,0)</f>
        <v>0</v>
      </c>
      <c r="F2197" s="28">
        <f t="shared" si="109"/>
        <v>3</v>
      </c>
    </row>
    <row r="2198" spans="1:6" x14ac:dyDescent="0.35">
      <c r="A2198">
        <f t="shared" si="110"/>
        <v>0</v>
      </c>
      <c r="B2198" t="str">
        <f t="shared" si="108"/>
        <v>AQ</v>
      </c>
      <c r="C2198" s="13" t="s">
        <v>22</v>
      </c>
      <c r="D2198" s="18">
        <f>VLOOKUP(C2198,'DISTRIBUIÇÃO NF4267'!$E$3:$FQ$75,MATCH(B2198,'DISTRIBUIÇÃO NF4267'!$E$3:$FQ$3,0)+1,0)</f>
        <v>0</v>
      </c>
      <c r="F2198" s="28">
        <f t="shared" si="109"/>
        <v>3</v>
      </c>
    </row>
    <row r="2199" spans="1:6" x14ac:dyDescent="0.35">
      <c r="A2199">
        <f t="shared" si="110"/>
        <v>0</v>
      </c>
      <c r="B2199" t="str">
        <f t="shared" si="108"/>
        <v>AQ</v>
      </c>
      <c r="C2199" s="13" t="s">
        <v>23</v>
      </c>
      <c r="D2199" s="18">
        <f>VLOOKUP(C2199,'DISTRIBUIÇÃO NF4267'!$E$3:$FQ$75,MATCH(B2199,'DISTRIBUIÇÃO NF4267'!$E$3:$FQ$3,0)+1,0)</f>
        <v>0</v>
      </c>
      <c r="F2199" s="28">
        <f t="shared" si="109"/>
        <v>3</v>
      </c>
    </row>
    <row r="2200" spans="1:6" x14ac:dyDescent="0.35">
      <c r="A2200">
        <f t="shared" si="110"/>
        <v>0</v>
      </c>
      <c r="B2200" t="str">
        <f t="shared" si="108"/>
        <v>AQ</v>
      </c>
      <c r="C2200" s="13" t="s">
        <v>24</v>
      </c>
      <c r="D2200" s="18">
        <f>VLOOKUP(C2200,'DISTRIBUIÇÃO NF4267'!$E$3:$FQ$75,MATCH(B2200,'DISTRIBUIÇÃO NF4267'!$E$3:$FQ$3,0)+1,0)</f>
        <v>0</v>
      </c>
      <c r="F2200" s="28">
        <f t="shared" si="109"/>
        <v>3</v>
      </c>
    </row>
    <row r="2201" spans="1:6" x14ac:dyDescent="0.35">
      <c r="A2201">
        <f t="shared" si="110"/>
        <v>0</v>
      </c>
      <c r="B2201" t="str">
        <f t="shared" si="108"/>
        <v>AQ</v>
      </c>
      <c r="C2201" s="13" t="s">
        <v>25</v>
      </c>
      <c r="D2201" s="18">
        <f>VLOOKUP(C2201,'DISTRIBUIÇÃO NF4267'!$E$3:$FQ$75,MATCH(B2201,'DISTRIBUIÇÃO NF4267'!$E$3:$FQ$3,0)+1,0)</f>
        <v>0</v>
      </c>
      <c r="F2201" s="28">
        <f t="shared" si="109"/>
        <v>3</v>
      </c>
    </row>
    <row r="2202" spans="1:6" x14ac:dyDescent="0.35">
      <c r="A2202">
        <f t="shared" si="110"/>
        <v>0</v>
      </c>
      <c r="B2202" t="str">
        <f t="shared" si="108"/>
        <v>AQ</v>
      </c>
      <c r="C2202" s="13" t="s">
        <v>26</v>
      </c>
      <c r="D2202" s="18">
        <f>VLOOKUP(C2202,'DISTRIBUIÇÃO NF4267'!$E$3:$FQ$75,MATCH(B2202,'DISTRIBUIÇÃO NF4267'!$E$3:$FQ$3,0)+1,0)</f>
        <v>0</v>
      </c>
      <c r="F2202" s="28">
        <f t="shared" si="109"/>
        <v>3</v>
      </c>
    </row>
    <row r="2203" spans="1:6" x14ac:dyDescent="0.35">
      <c r="A2203">
        <f t="shared" si="110"/>
        <v>0</v>
      </c>
      <c r="B2203" t="str">
        <f t="shared" si="108"/>
        <v>AQ</v>
      </c>
      <c r="C2203" s="13" t="s">
        <v>27</v>
      </c>
      <c r="D2203" s="18">
        <f>VLOOKUP(C2203,'DISTRIBUIÇÃO NF4267'!$E$3:$FQ$75,MATCH(B2203,'DISTRIBUIÇÃO NF4267'!$E$3:$FQ$3,0)+1,0)</f>
        <v>0</v>
      </c>
      <c r="F2203" s="28">
        <f t="shared" si="109"/>
        <v>3</v>
      </c>
    </row>
    <row r="2204" spans="1:6" x14ac:dyDescent="0.35">
      <c r="A2204">
        <f t="shared" si="110"/>
        <v>0</v>
      </c>
      <c r="B2204" t="str">
        <f t="shared" si="108"/>
        <v>AQ</v>
      </c>
      <c r="C2204" s="14" t="s">
        <v>138</v>
      </c>
      <c r="D2204" s="18">
        <f>VLOOKUP(C2204,'DISTRIBUIÇÃO NF4267'!$E$3:$FQ$75,MATCH(B2204,'DISTRIBUIÇÃO NF4267'!$E$3:$FQ$3,0)+1,0)</f>
        <v>0</v>
      </c>
      <c r="F2204" s="28">
        <f t="shared" si="109"/>
        <v>3</v>
      </c>
    </row>
    <row r="2205" spans="1:6" x14ac:dyDescent="0.35">
      <c r="A2205">
        <f t="shared" si="110"/>
        <v>0</v>
      </c>
      <c r="B2205" t="str">
        <f t="shared" si="108"/>
        <v>AQ</v>
      </c>
      <c r="C2205" s="14" t="s">
        <v>139</v>
      </c>
      <c r="D2205" s="18">
        <f>VLOOKUP(C2205,'DISTRIBUIÇÃO NF4267'!$E$3:$FQ$75,MATCH(B2205,'DISTRIBUIÇÃO NF4267'!$E$3:$FQ$3,0)+1,0)</f>
        <v>2</v>
      </c>
      <c r="F2205" s="28">
        <f t="shared" si="109"/>
        <v>3</v>
      </c>
    </row>
    <row r="2206" spans="1:6" x14ac:dyDescent="0.35">
      <c r="A2206">
        <f t="shared" si="110"/>
        <v>0</v>
      </c>
      <c r="B2206" t="str">
        <f t="shared" si="108"/>
        <v>AQ</v>
      </c>
      <c r="C2206" s="14" t="s">
        <v>140</v>
      </c>
      <c r="D2206" s="18">
        <f>VLOOKUP(C2206,'DISTRIBUIÇÃO NF4267'!$E$3:$FQ$75,MATCH(B2206,'DISTRIBUIÇÃO NF4267'!$E$3:$FQ$3,0)+1,0)</f>
        <v>4</v>
      </c>
      <c r="F2206" s="28">
        <f t="shared" si="109"/>
        <v>3</v>
      </c>
    </row>
    <row r="2207" spans="1:6" x14ac:dyDescent="0.35">
      <c r="A2207">
        <f t="shared" si="110"/>
        <v>0</v>
      </c>
      <c r="B2207" t="str">
        <f t="shared" si="108"/>
        <v>AQ</v>
      </c>
      <c r="C2207" s="14" t="s">
        <v>141</v>
      </c>
      <c r="D2207" s="18">
        <f>VLOOKUP(C2207,'DISTRIBUIÇÃO NF4267'!$E$3:$FQ$75,MATCH(B2207,'DISTRIBUIÇÃO NF4267'!$E$3:$FQ$3,0)+1,0)</f>
        <v>2</v>
      </c>
      <c r="F2207" s="28">
        <f t="shared" si="109"/>
        <v>3</v>
      </c>
    </row>
    <row r="2208" spans="1:6" x14ac:dyDescent="0.35">
      <c r="A2208">
        <f t="shared" si="110"/>
        <v>0</v>
      </c>
      <c r="B2208" t="str">
        <f t="shared" si="108"/>
        <v>AQ</v>
      </c>
      <c r="C2208" s="14" t="s">
        <v>142</v>
      </c>
      <c r="D2208" s="18">
        <f>VLOOKUP(C2208,'DISTRIBUIÇÃO NF4267'!$E$3:$FQ$75,MATCH(B2208,'DISTRIBUIÇÃO NF4267'!$E$3:$FQ$3,0)+1,0)</f>
        <v>2</v>
      </c>
      <c r="F2208" s="28">
        <f t="shared" si="109"/>
        <v>3</v>
      </c>
    </row>
    <row r="2209" spans="1:6" x14ac:dyDescent="0.35">
      <c r="A2209">
        <f t="shared" si="110"/>
        <v>0</v>
      </c>
      <c r="B2209" t="str">
        <f t="shared" si="108"/>
        <v>AQ</v>
      </c>
      <c r="C2209" s="14" t="s">
        <v>143</v>
      </c>
      <c r="D2209" s="18">
        <f>VLOOKUP(C2209,'DISTRIBUIÇÃO NF4267'!$E$3:$FQ$75,MATCH(B2209,'DISTRIBUIÇÃO NF4267'!$E$3:$FQ$3,0)+1,0)</f>
        <v>0</v>
      </c>
      <c r="F2209" s="28">
        <f t="shared" si="109"/>
        <v>3</v>
      </c>
    </row>
    <row r="2210" spans="1:6" x14ac:dyDescent="0.35">
      <c r="A2210">
        <f t="shared" si="110"/>
        <v>0</v>
      </c>
      <c r="B2210" t="str">
        <f t="shared" si="108"/>
        <v>AQ</v>
      </c>
      <c r="C2210" s="15" t="s">
        <v>145</v>
      </c>
      <c r="D2210" s="18">
        <f>VLOOKUP(C2210,'DISTRIBUIÇÃO NF4267'!$E$3:$FQ$75,MATCH(B2210,'DISTRIBUIÇÃO NF4267'!$E$3:$FQ$3,0)+1,0)</f>
        <v>0</v>
      </c>
      <c r="F2210" s="28">
        <f t="shared" si="109"/>
        <v>3</v>
      </c>
    </row>
    <row r="2211" spans="1:6" x14ac:dyDescent="0.35">
      <c r="A2211">
        <f t="shared" si="110"/>
        <v>0</v>
      </c>
      <c r="B2211" t="str">
        <f t="shared" si="108"/>
        <v>AQ</v>
      </c>
      <c r="C2211" s="15" t="s">
        <v>146</v>
      </c>
      <c r="D2211" s="18">
        <f>VLOOKUP(C2211,'DISTRIBUIÇÃO NF4267'!$E$3:$FQ$75,MATCH(B2211,'DISTRIBUIÇÃO NF4267'!$E$3:$FQ$3,0)+1,0)</f>
        <v>2</v>
      </c>
      <c r="F2211" s="28">
        <f t="shared" si="109"/>
        <v>3</v>
      </c>
    </row>
    <row r="2212" spans="1:6" x14ac:dyDescent="0.35">
      <c r="A2212">
        <f t="shared" si="110"/>
        <v>0</v>
      </c>
      <c r="B2212" t="str">
        <f t="shared" si="108"/>
        <v>AQ</v>
      </c>
      <c r="C2212" s="15" t="s">
        <v>147</v>
      </c>
      <c r="D2212" s="18">
        <f>VLOOKUP(C2212,'DISTRIBUIÇÃO NF4267'!$E$3:$FQ$75,MATCH(B2212,'DISTRIBUIÇÃO NF4267'!$E$3:$FQ$3,0)+1,0)</f>
        <v>4</v>
      </c>
      <c r="F2212" s="28">
        <f t="shared" si="109"/>
        <v>3</v>
      </c>
    </row>
    <row r="2213" spans="1:6" x14ac:dyDescent="0.35">
      <c r="A2213">
        <f t="shared" si="110"/>
        <v>0</v>
      </c>
      <c r="B2213" t="str">
        <f t="shared" si="108"/>
        <v>AQ</v>
      </c>
      <c r="C2213" s="15" t="s">
        <v>148</v>
      </c>
      <c r="D2213" s="18">
        <f>VLOOKUP(C2213,'DISTRIBUIÇÃO NF4267'!$E$3:$FQ$75,MATCH(B2213,'DISTRIBUIÇÃO NF4267'!$E$3:$FQ$3,0)+1,0)</f>
        <v>2</v>
      </c>
      <c r="F2213" s="28">
        <f t="shared" si="109"/>
        <v>3</v>
      </c>
    </row>
    <row r="2214" spans="1:6" x14ac:dyDescent="0.35">
      <c r="A2214">
        <f t="shared" si="110"/>
        <v>0</v>
      </c>
      <c r="B2214" t="str">
        <f t="shared" si="108"/>
        <v>AQ</v>
      </c>
      <c r="C2214" s="15" t="s">
        <v>149</v>
      </c>
      <c r="D2214" s="18">
        <f>VLOOKUP(C2214,'DISTRIBUIÇÃO NF4267'!$E$3:$FQ$75,MATCH(B2214,'DISTRIBUIÇÃO NF4267'!$E$3:$FQ$3,0)+1,0)</f>
        <v>2</v>
      </c>
      <c r="F2214" s="28">
        <f t="shared" si="109"/>
        <v>3</v>
      </c>
    </row>
    <row r="2215" spans="1:6" x14ac:dyDescent="0.35">
      <c r="A2215">
        <f t="shared" si="110"/>
        <v>0</v>
      </c>
      <c r="B2215" t="str">
        <f t="shared" si="108"/>
        <v>AQ</v>
      </c>
      <c r="C2215" s="15" t="s">
        <v>150</v>
      </c>
      <c r="D2215" s="18">
        <f>VLOOKUP(C2215,'DISTRIBUIÇÃO NF4267'!$E$3:$FQ$75,MATCH(B2215,'DISTRIBUIÇÃO NF4267'!$E$3:$FQ$3,0)+1,0)</f>
        <v>0</v>
      </c>
      <c r="F2215" s="28">
        <f t="shared" si="109"/>
        <v>3</v>
      </c>
    </row>
    <row r="2216" spans="1:6" x14ac:dyDescent="0.35">
      <c r="A2216">
        <f t="shared" si="110"/>
        <v>0</v>
      </c>
      <c r="B2216" t="s">
        <v>56</v>
      </c>
      <c r="C2216" s="7" t="s">
        <v>98</v>
      </c>
      <c r="D2216" s="18">
        <f>VLOOKUP(C2216,'DISTRIBUIÇÃO NF4267'!$E$3:$FQ$75,MATCH(B2216,'DISTRIBUIÇÃO NF4267'!$E$3:$FQ$3,0)+1,0)</f>
        <v>0</v>
      </c>
      <c r="F2216" s="28">
        <f t="shared" si="109"/>
        <v>3</v>
      </c>
    </row>
    <row r="2217" spans="1:6" x14ac:dyDescent="0.35">
      <c r="A2217">
        <f t="shared" si="110"/>
        <v>0</v>
      </c>
      <c r="B2217" t="str">
        <f>B2216</f>
        <v>EX</v>
      </c>
      <c r="C2217" s="7" t="s">
        <v>99</v>
      </c>
      <c r="D2217" s="18">
        <f>VLOOKUP(C2217,'DISTRIBUIÇÃO NF4267'!$E$3:$FQ$75,MATCH(B2217,'DISTRIBUIÇÃO NF4267'!$E$3:$FQ$3,0)+1,0)</f>
        <v>4</v>
      </c>
      <c r="F2217" s="28">
        <f t="shared" si="109"/>
        <v>3</v>
      </c>
    </row>
    <row r="2218" spans="1:6" x14ac:dyDescent="0.35">
      <c r="A2218">
        <f t="shared" si="110"/>
        <v>0</v>
      </c>
      <c r="B2218" t="str">
        <f t="shared" ref="B2218:B2269" si="111">B2217</f>
        <v>EX</v>
      </c>
      <c r="C2218" s="7" t="s">
        <v>100</v>
      </c>
      <c r="D2218" s="18">
        <f>VLOOKUP(C2218,'DISTRIBUIÇÃO NF4267'!$E$3:$FQ$75,MATCH(B2218,'DISTRIBUIÇÃO NF4267'!$E$3:$FQ$3,0)+1,0)</f>
        <v>8</v>
      </c>
      <c r="F2218" s="28">
        <f t="shared" si="109"/>
        <v>3</v>
      </c>
    </row>
    <row r="2219" spans="1:6" x14ac:dyDescent="0.35">
      <c r="A2219">
        <f t="shared" si="110"/>
        <v>0</v>
      </c>
      <c r="B2219" t="str">
        <f t="shared" si="111"/>
        <v>EX</v>
      </c>
      <c r="C2219" s="7" t="s">
        <v>101</v>
      </c>
      <c r="D2219" s="18">
        <f>VLOOKUP(C2219,'DISTRIBUIÇÃO NF4267'!$E$3:$FQ$75,MATCH(B2219,'DISTRIBUIÇÃO NF4267'!$E$3:$FQ$3,0)+1,0)</f>
        <v>4</v>
      </c>
      <c r="F2219" s="28">
        <f t="shared" si="109"/>
        <v>3</v>
      </c>
    </row>
    <row r="2220" spans="1:6" x14ac:dyDescent="0.35">
      <c r="A2220">
        <f t="shared" si="110"/>
        <v>0</v>
      </c>
      <c r="B2220" t="str">
        <f t="shared" si="111"/>
        <v>EX</v>
      </c>
      <c r="C2220" s="7" t="s">
        <v>102</v>
      </c>
      <c r="D2220" s="18">
        <f>VLOOKUP(C2220,'DISTRIBUIÇÃO NF4267'!$E$3:$FQ$75,MATCH(B2220,'DISTRIBUIÇÃO NF4267'!$E$3:$FQ$3,0)+1,0)</f>
        <v>4</v>
      </c>
      <c r="F2220" s="28">
        <f t="shared" si="109"/>
        <v>3</v>
      </c>
    </row>
    <row r="2221" spans="1:6" x14ac:dyDescent="0.35">
      <c r="A2221">
        <f t="shared" si="110"/>
        <v>0</v>
      </c>
      <c r="B2221" t="str">
        <f t="shared" si="111"/>
        <v>EX</v>
      </c>
      <c r="C2221" s="7" t="s">
        <v>103</v>
      </c>
      <c r="D2221" s="18">
        <f>VLOOKUP(C2221,'DISTRIBUIÇÃO NF4267'!$E$3:$FQ$75,MATCH(B2221,'DISTRIBUIÇÃO NF4267'!$E$3:$FQ$3,0)+1,0)</f>
        <v>0</v>
      </c>
      <c r="F2221" s="28">
        <f t="shared" si="109"/>
        <v>3</v>
      </c>
    </row>
    <row r="2222" spans="1:6" x14ac:dyDescent="0.35">
      <c r="A2222">
        <f t="shared" si="110"/>
        <v>0</v>
      </c>
      <c r="B2222" t="str">
        <f t="shared" si="111"/>
        <v>EX</v>
      </c>
      <c r="C2222" s="8" t="s">
        <v>107</v>
      </c>
      <c r="D2222" s="18">
        <f>VLOOKUP(C2222,'DISTRIBUIÇÃO NF4267'!$E$3:$FQ$75,MATCH(B2222,'DISTRIBUIÇÃO NF4267'!$E$3:$FQ$3,0)+1,0)</f>
        <v>0</v>
      </c>
      <c r="F2222" s="28">
        <f t="shared" si="109"/>
        <v>3</v>
      </c>
    </row>
    <row r="2223" spans="1:6" x14ac:dyDescent="0.35">
      <c r="A2223">
        <f t="shared" si="110"/>
        <v>0</v>
      </c>
      <c r="B2223" t="str">
        <f t="shared" si="111"/>
        <v>EX</v>
      </c>
      <c r="C2223" s="8" t="s">
        <v>108</v>
      </c>
      <c r="D2223" s="18">
        <f>VLOOKUP(C2223,'DISTRIBUIÇÃO NF4267'!$E$3:$FQ$75,MATCH(B2223,'DISTRIBUIÇÃO NF4267'!$E$3:$FQ$3,0)+1,0)</f>
        <v>2</v>
      </c>
      <c r="F2223" s="28">
        <f t="shared" si="109"/>
        <v>3</v>
      </c>
    </row>
    <row r="2224" spans="1:6" x14ac:dyDescent="0.35">
      <c r="A2224">
        <f t="shared" si="110"/>
        <v>0</v>
      </c>
      <c r="B2224" t="str">
        <f t="shared" si="111"/>
        <v>EX</v>
      </c>
      <c r="C2224" s="8" t="s">
        <v>109</v>
      </c>
      <c r="D2224" s="18">
        <f>VLOOKUP(C2224,'DISTRIBUIÇÃO NF4267'!$E$3:$FQ$75,MATCH(B2224,'DISTRIBUIÇÃO NF4267'!$E$3:$FQ$3,0)+1,0)</f>
        <v>4</v>
      </c>
      <c r="F2224" s="28">
        <f t="shared" si="109"/>
        <v>3</v>
      </c>
    </row>
    <row r="2225" spans="1:6" x14ac:dyDescent="0.35">
      <c r="A2225">
        <f t="shared" si="110"/>
        <v>0</v>
      </c>
      <c r="B2225" t="str">
        <f t="shared" si="111"/>
        <v>EX</v>
      </c>
      <c r="C2225" s="8" t="s">
        <v>110</v>
      </c>
      <c r="D2225" s="18">
        <f>VLOOKUP(C2225,'DISTRIBUIÇÃO NF4267'!$E$3:$FQ$75,MATCH(B2225,'DISTRIBUIÇÃO NF4267'!$E$3:$FQ$3,0)+1,0)</f>
        <v>2</v>
      </c>
      <c r="F2225" s="28">
        <f t="shared" si="109"/>
        <v>3</v>
      </c>
    </row>
    <row r="2226" spans="1:6" x14ac:dyDescent="0.35">
      <c r="A2226">
        <f t="shared" si="110"/>
        <v>0</v>
      </c>
      <c r="B2226" t="str">
        <f t="shared" si="111"/>
        <v>EX</v>
      </c>
      <c r="C2226" s="8" t="s">
        <v>111</v>
      </c>
      <c r="D2226" s="18">
        <f>VLOOKUP(C2226,'DISTRIBUIÇÃO NF4267'!$E$3:$FQ$75,MATCH(B2226,'DISTRIBUIÇÃO NF4267'!$E$3:$FQ$3,0)+1,0)</f>
        <v>2</v>
      </c>
      <c r="F2226" s="28">
        <f t="shared" si="109"/>
        <v>3</v>
      </c>
    </row>
    <row r="2227" spans="1:6" x14ac:dyDescent="0.35">
      <c r="A2227">
        <f t="shared" si="110"/>
        <v>0</v>
      </c>
      <c r="B2227" t="str">
        <f t="shared" si="111"/>
        <v>EX</v>
      </c>
      <c r="C2227" s="8" t="s">
        <v>112</v>
      </c>
      <c r="D2227" s="18">
        <f>VLOOKUP(C2227,'DISTRIBUIÇÃO NF4267'!$E$3:$FQ$75,MATCH(B2227,'DISTRIBUIÇÃO NF4267'!$E$3:$FQ$3,0)+1,0)</f>
        <v>0</v>
      </c>
      <c r="F2227" s="28">
        <f t="shared" si="109"/>
        <v>3</v>
      </c>
    </row>
    <row r="2228" spans="1:6" x14ac:dyDescent="0.35">
      <c r="A2228">
        <f t="shared" si="110"/>
        <v>0</v>
      </c>
      <c r="B2228" t="str">
        <f t="shared" si="111"/>
        <v>EX</v>
      </c>
      <c r="C2228" s="9" t="s">
        <v>113</v>
      </c>
      <c r="D2228" s="18">
        <f>VLOOKUP(C2228,'DISTRIBUIÇÃO NF4267'!$E$3:$FQ$75,MATCH(B2228,'DISTRIBUIÇÃO NF4267'!$E$3:$FQ$3,0)+1,0)</f>
        <v>0</v>
      </c>
      <c r="F2228" s="28">
        <f t="shared" si="109"/>
        <v>3</v>
      </c>
    </row>
    <row r="2229" spans="1:6" x14ac:dyDescent="0.35">
      <c r="A2229">
        <f t="shared" si="110"/>
        <v>0</v>
      </c>
      <c r="B2229" t="str">
        <f t="shared" si="111"/>
        <v>EX</v>
      </c>
      <c r="C2229" s="9" t="s">
        <v>114</v>
      </c>
      <c r="D2229" s="18">
        <f>VLOOKUP(C2229,'DISTRIBUIÇÃO NF4267'!$E$3:$FQ$75,MATCH(B2229,'DISTRIBUIÇÃO NF4267'!$E$3:$FQ$3,0)+1,0)</f>
        <v>3</v>
      </c>
      <c r="F2229" s="28">
        <f t="shared" si="109"/>
        <v>3</v>
      </c>
    </row>
    <row r="2230" spans="1:6" x14ac:dyDescent="0.35">
      <c r="A2230">
        <f t="shared" si="110"/>
        <v>0</v>
      </c>
      <c r="B2230" t="str">
        <f t="shared" si="111"/>
        <v>EX</v>
      </c>
      <c r="C2230" s="9" t="s">
        <v>115</v>
      </c>
      <c r="D2230" s="18">
        <f>VLOOKUP(C2230,'DISTRIBUIÇÃO NF4267'!$E$3:$FQ$75,MATCH(B2230,'DISTRIBUIÇÃO NF4267'!$E$3:$FQ$3,0)+1,0)</f>
        <v>4</v>
      </c>
      <c r="F2230" s="28">
        <f t="shared" si="109"/>
        <v>3</v>
      </c>
    </row>
    <row r="2231" spans="1:6" x14ac:dyDescent="0.35">
      <c r="A2231">
        <f t="shared" si="110"/>
        <v>0</v>
      </c>
      <c r="B2231" t="str">
        <f t="shared" si="111"/>
        <v>EX</v>
      </c>
      <c r="C2231" s="9" t="s">
        <v>116</v>
      </c>
      <c r="D2231" s="18">
        <f>VLOOKUP(C2231,'DISTRIBUIÇÃO NF4267'!$E$3:$FQ$75,MATCH(B2231,'DISTRIBUIÇÃO NF4267'!$E$3:$FQ$3,0)+1,0)</f>
        <v>2</v>
      </c>
      <c r="F2231" s="28">
        <f t="shared" si="109"/>
        <v>3</v>
      </c>
    </row>
    <row r="2232" spans="1:6" x14ac:dyDescent="0.35">
      <c r="A2232">
        <f t="shared" si="110"/>
        <v>0</v>
      </c>
      <c r="B2232" t="str">
        <f t="shared" si="111"/>
        <v>EX</v>
      </c>
      <c r="C2232" s="9" t="s">
        <v>117</v>
      </c>
      <c r="D2232" s="18">
        <f>VLOOKUP(C2232,'DISTRIBUIÇÃO NF4267'!$E$3:$FQ$75,MATCH(B2232,'DISTRIBUIÇÃO NF4267'!$E$3:$FQ$3,0)+1,0)</f>
        <v>1</v>
      </c>
      <c r="F2232" s="28">
        <f t="shared" ref="F2232:F2295" si="112">ROUNDUP(SUMIFS(D:D,B:B,B2232)/80,0)</f>
        <v>3</v>
      </c>
    </row>
    <row r="2233" spans="1:6" x14ac:dyDescent="0.35">
      <c r="A2233">
        <f t="shared" si="110"/>
        <v>0</v>
      </c>
      <c r="B2233" t="str">
        <f t="shared" si="111"/>
        <v>EX</v>
      </c>
      <c r="C2233" s="9" t="s">
        <v>118</v>
      </c>
      <c r="D2233" s="18">
        <f>VLOOKUP(C2233,'DISTRIBUIÇÃO NF4267'!$E$3:$FQ$75,MATCH(B2233,'DISTRIBUIÇÃO NF4267'!$E$3:$FQ$3,0)+1,0)</f>
        <v>0</v>
      </c>
      <c r="F2233" s="28">
        <f t="shared" si="112"/>
        <v>3</v>
      </c>
    </row>
    <row r="2234" spans="1:6" x14ac:dyDescent="0.35">
      <c r="A2234">
        <f t="shared" si="110"/>
        <v>0</v>
      </c>
      <c r="B2234" t="str">
        <f t="shared" si="111"/>
        <v>EX</v>
      </c>
      <c r="C2234" s="10" t="s">
        <v>119</v>
      </c>
      <c r="D2234" s="18">
        <f>VLOOKUP(C2234,'DISTRIBUIÇÃO NF4267'!$E$3:$FQ$75,MATCH(B2234,'DISTRIBUIÇÃO NF4267'!$E$3:$FQ$3,0)+1,0)</f>
        <v>0</v>
      </c>
      <c r="F2234" s="28">
        <f t="shared" si="112"/>
        <v>3</v>
      </c>
    </row>
    <row r="2235" spans="1:6" x14ac:dyDescent="0.35">
      <c r="A2235">
        <f t="shared" si="110"/>
        <v>0</v>
      </c>
      <c r="B2235" t="str">
        <f t="shared" si="111"/>
        <v>EX</v>
      </c>
      <c r="C2235" s="10" t="s">
        <v>120</v>
      </c>
      <c r="D2235" s="18">
        <f>VLOOKUP(C2235,'DISTRIBUIÇÃO NF4267'!$E$3:$FQ$75,MATCH(B2235,'DISTRIBUIÇÃO NF4267'!$E$3:$FQ$3,0)+1,0)</f>
        <v>48</v>
      </c>
      <c r="F2235" s="28">
        <f t="shared" si="112"/>
        <v>3</v>
      </c>
    </row>
    <row r="2236" spans="1:6" x14ac:dyDescent="0.35">
      <c r="A2236">
        <f t="shared" si="110"/>
        <v>0</v>
      </c>
      <c r="B2236" t="str">
        <f t="shared" si="111"/>
        <v>EX</v>
      </c>
      <c r="C2236" s="10" t="s">
        <v>121</v>
      </c>
      <c r="D2236" s="18">
        <f>VLOOKUP(C2236,'DISTRIBUIÇÃO NF4267'!$E$3:$FQ$75,MATCH(B2236,'DISTRIBUIÇÃO NF4267'!$E$3:$FQ$3,0)+1,0)</f>
        <v>16</v>
      </c>
      <c r="F2236" s="28">
        <f t="shared" si="112"/>
        <v>3</v>
      </c>
    </row>
    <row r="2237" spans="1:6" x14ac:dyDescent="0.35">
      <c r="A2237">
        <f t="shared" si="110"/>
        <v>0</v>
      </c>
      <c r="B2237" t="str">
        <f t="shared" si="111"/>
        <v>EX</v>
      </c>
      <c r="C2237" s="10" t="s">
        <v>122</v>
      </c>
      <c r="D2237" s="18">
        <f>VLOOKUP(C2237,'DISTRIBUIÇÃO NF4267'!$E$3:$FQ$75,MATCH(B2237,'DISTRIBUIÇÃO NF4267'!$E$3:$FQ$3,0)+1,0)</f>
        <v>16</v>
      </c>
      <c r="F2237" s="28">
        <f t="shared" si="112"/>
        <v>3</v>
      </c>
    </row>
    <row r="2238" spans="1:6" x14ac:dyDescent="0.35">
      <c r="A2238">
        <f t="shared" si="110"/>
        <v>0</v>
      </c>
      <c r="B2238" t="str">
        <f t="shared" si="111"/>
        <v>EX</v>
      </c>
      <c r="C2238" s="10" t="s">
        <v>123</v>
      </c>
      <c r="D2238" s="18">
        <f>VLOOKUP(C2238,'DISTRIBUIÇÃO NF4267'!$E$3:$FQ$75,MATCH(B2238,'DISTRIBUIÇÃO NF4267'!$E$3:$FQ$3,0)+1,0)</f>
        <v>0</v>
      </c>
      <c r="F2238" s="28">
        <f t="shared" si="112"/>
        <v>3</v>
      </c>
    </row>
    <row r="2239" spans="1:6" x14ac:dyDescent="0.35">
      <c r="A2239">
        <f t="shared" si="110"/>
        <v>0</v>
      </c>
      <c r="B2239" t="str">
        <f t="shared" si="111"/>
        <v>EX</v>
      </c>
      <c r="C2239" s="10" t="s">
        <v>124</v>
      </c>
      <c r="D2239" s="18">
        <f>VLOOKUP(C2239,'DISTRIBUIÇÃO NF4267'!$E$3:$FQ$75,MATCH(B2239,'DISTRIBUIÇÃO NF4267'!$E$3:$FQ$3,0)+1,0)</f>
        <v>0</v>
      </c>
      <c r="F2239" s="28">
        <f t="shared" si="112"/>
        <v>3</v>
      </c>
    </row>
    <row r="2240" spans="1:6" x14ac:dyDescent="0.35">
      <c r="A2240">
        <f t="shared" si="110"/>
        <v>0</v>
      </c>
      <c r="B2240" t="str">
        <f t="shared" si="111"/>
        <v>EX</v>
      </c>
      <c r="C2240" s="11" t="s">
        <v>16</v>
      </c>
      <c r="D2240" s="18">
        <f>VLOOKUP(C2240,'DISTRIBUIÇÃO NF4267'!$E$3:$FQ$75,MATCH(B2240,'DISTRIBUIÇÃO NF4267'!$E$3:$FQ$3,0)+1,0)</f>
        <v>0</v>
      </c>
      <c r="F2240" s="28">
        <f t="shared" si="112"/>
        <v>3</v>
      </c>
    </row>
    <row r="2241" spans="1:6" x14ac:dyDescent="0.35">
      <c r="A2241">
        <f t="shared" si="110"/>
        <v>0</v>
      </c>
      <c r="B2241" t="str">
        <f t="shared" si="111"/>
        <v>EX</v>
      </c>
      <c r="C2241" s="11" t="s">
        <v>17</v>
      </c>
      <c r="D2241" s="18">
        <f>VLOOKUP(C2241,'DISTRIBUIÇÃO NF4267'!$E$3:$FQ$75,MATCH(B2241,'DISTRIBUIÇÃO NF4267'!$E$3:$FQ$3,0)+1,0)</f>
        <v>9</v>
      </c>
      <c r="F2241" s="28">
        <f t="shared" si="112"/>
        <v>3</v>
      </c>
    </row>
    <row r="2242" spans="1:6" x14ac:dyDescent="0.35">
      <c r="A2242">
        <f t="shared" ref="A2242:A2305" si="113">IF(ISERROR(VLOOKUP(C2242,I:I,1,0)),0,1)</f>
        <v>0</v>
      </c>
      <c r="B2242" t="str">
        <f t="shared" si="111"/>
        <v>EX</v>
      </c>
      <c r="C2242" s="11" t="s">
        <v>18</v>
      </c>
      <c r="D2242" s="18">
        <f>VLOOKUP(C2242,'DISTRIBUIÇÃO NF4267'!$E$3:$FQ$75,MATCH(B2242,'DISTRIBUIÇÃO NF4267'!$E$3:$FQ$3,0)+1,0)</f>
        <v>3</v>
      </c>
      <c r="F2242" s="28">
        <f t="shared" si="112"/>
        <v>3</v>
      </c>
    </row>
    <row r="2243" spans="1:6" x14ac:dyDescent="0.35">
      <c r="A2243">
        <f t="shared" si="113"/>
        <v>0</v>
      </c>
      <c r="B2243" t="str">
        <f t="shared" si="111"/>
        <v>EX</v>
      </c>
      <c r="C2243" s="11" t="s">
        <v>19</v>
      </c>
      <c r="D2243" s="18">
        <f>VLOOKUP(C2243,'DISTRIBUIÇÃO NF4267'!$E$3:$FQ$75,MATCH(B2243,'DISTRIBUIÇÃO NF4267'!$E$3:$FQ$3,0)+1,0)</f>
        <v>3</v>
      </c>
      <c r="F2243" s="28">
        <f t="shared" si="112"/>
        <v>3</v>
      </c>
    </row>
    <row r="2244" spans="1:6" x14ac:dyDescent="0.35">
      <c r="A2244">
        <f t="shared" si="113"/>
        <v>0</v>
      </c>
      <c r="B2244" t="str">
        <f t="shared" si="111"/>
        <v>EX</v>
      </c>
      <c r="C2244" s="11" t="s">
        <v>20</v>
      </c>
      <c r="D2244" s="18">
        <f>VLOOKUP(C2244,'DISTRIBUIÇÃO NF4267'!$E$3:$FQ$75,MATCH(B2244,'DISTRIBUIÇÃO NF4267'!$E$3:$FQ$3,0)+1,0)</f>
        <v>15</v>
      </c>
      <c r="F2244" s="28">
        <f t="shared" si="112"/>
        <v>3</v>
      </c>
    </row>
    <row r="2245" spans="1:6" x14ac:dyDescent="0.35">
      <c r="A2245">
        <f t="shared" si="113"/>
        <v>0</v>
      </c>
      <c r="B2245" t="str">
        <f t="shared" si="111"/>
        <v>EX</v>
      </c>
      <c r="C2245" s="11" t="s">
        <v>21</v>
      </c>
      <c r="D2245" s="18">
        <f>VLOOKUP(C2245,'DISTRIBUIÇÃO NF4267'!$E$3:$FQ$75,MATCH(B2245,'DISTRIBUIÇÃO NF4267'!$E$3:$FQ$3,0)+1,0)</f>
        <v>0</v>
      </c>
      <c r="F2245" s="28">
        <f t="shared" si="112"/>
        <v>3</v>
      </c>
    </row>
    <row r="2246" spans="1:6" x14ac:dyDescent="0.35">
      <c r="A2246">
        <f t="shared" si="113"/>
        <v>0</v>
      </c>
      <c r="B2246" t="str">
        <f t="shared" si="111"/>
        <v>EX</v>
      </c>
      <c r="C2246" s="12" t="s">
        <v>130</v>
      </c>
      <c r="D2246" s="18">
        <f>VLOOKUP(C2246,'DISTRIBUIÇÃO NF4267'!$E$3:$FQ$75,MATCH(B2246,'DISTRIBUIÇÃO NF4267'!$E$3:$FQ$3,0)+1,0)</f>
        <v>0</v>
      </c>
      <c r="F2246" s="28">
        <f t="shared" si="112"/>
        <v>3</v>
      </c>
    </row>
    <row r="2247" spans="1:6" x14ac:dyDescent="0.35">
      <c r="A2247">
        <f t="shared" si="113"/>
        <v>0</v>
      </c>
      <c r="B2247" t="str">
        <f t="shared" si="111"/>
        <v>EX</v>
      </c>
      <c r="C2247" s="12" t="s">
        <v>131</v>
      </c>
      <c r="D2247" s="18">
        <f>VLOOKUP(C2247,'DISTRIBUIÇÃO NF4267'!$E$3:$FQ$75,MATCH(B2247,'DISTRIBUIÇÃO NF4267'!$E$3:$FQ$3,0)+1,0)</f>
        <v>0</v>
      </c>
      <c r="F2247" s="28">
        <f t="shared" si="112"/>
        <v>3</v>
      </c>
    </row>
    <row r="2248" spans="1:6" x14ac:dyDescent="0.35">
      <c r="A2248">
        <f t="shared" si="113"/>
        <v>0</v>
      </c>
      <c r="B2248" t="str">
        <f t="shared" si="111"/>
        <v>EX</v>
      </c>
      <c r="C2248" s="12" t="s">
        <v>132</v>
      </c>
      <c r="D2248" s="18">
        <f>VLOOKUP(C2248,'DISTRIBUIÇÃO NF4267'!$E$3:$FQ$75,MATCH(B2248,'DISTRIBUIÇÃO NF4267'!$E$3:$FQ$3,0)+1,0)</f>
        <v>0</v>
      </c>
      <c r="F2248" s="28">
        <f t="shared" si="112"/>
        <v>3</v>
      </c>
    </row>
    <row r="2249" spans="1:6" x14ac:dyDescent="0.35">
      <c r="A2249">
        <f t="shared" si="113"/>
        <v>0</v>
      </c>
      <c r="B2249" t="str">
        <f t="shared" si="111"/>
        <v>EX</v>
      </c>
      <c r="C2249" s="12" t="s">
        <v>133</v>
      </c>
      <c r="D2249" s="18">
        <f>VLOOKUP(C2249,'DISTRIBUIÇÃO NF4267'!$E$3:$FQ$75,MATCH(B2249,'DISTRIBUIÇÃO NF4267'!$E$3:$FQ$3,0)+1,0)</f>
        <v>0</v>
      </c>
      <c r="F2249" s="28">
        <f t="shared" si="112"/>
        <v>3</v>
      </c>
    </row>
    <row r="2250" spans="1:6" x14ac:dyDescent="0.35">
      <c r="A2250">
        <f t="shared" si="113"/>
        <v>0</v>
      </c>
      <c r="B2250" t="str">
        <f t="shared" si="111"/>
        <v>EX</v>
      </c>
      <c r="C2250" s="12" t="s">
        <v>134</v>
      </c>
      <c r="D2250" s="18">
        <f>VLOOKUP(C2250,'DISTRIBUIÇÃO NF4267'!$E$3:$FQ$75,MATCH(B2250,'DISTRIBUIÇÃO NF4267'!$E$3:$FQ$3,0)+1,0)</f>
        <v>0</v>
      </c>
      <c r="F2250" s="28">
        <f t="shared" si="112"/>
        <v>3</v>
      </c>
    </row>
    <row r="2251" spans="1:6" x14ac:dyDescent="0.35">
      <c r="A2251">
        <f t="shared" si="113"/>
        <v>0</v>
      </c>
      <c r="B2251" t="str">
        <f t="shared" si="111"/>
        <v>EX</v>
      </c>
      <c r="C2251" s="12" t="s">
        <v>135</v>
      </c>
      <c r="D2251" s="18">
        <f>VLOOKUP(C2251,'DISTRIBUIÇÃO NF4267'!$E$3:$FQ$75,MATCH(B2251,'DISTRIBUIÇÃO NF4267'!$E$3:$FQ$3,0)+1,0)</f>
        <v>0</v>
      </c>
      <c r="F2251" s="28">
        <f t="shared" si="112"/>
        <v>3</v>
      </c>
    </row>
    <row r="2252" spans="1:6" x14ac:dyDescent="0.35">
      <c r="A2252">
        <f t="shared" si="113"/>
        <v>0</v>
      </c>
      <c r="B2252" t="str">
        <f t="shared" si="111"/>
        <v>EX</v>
      </c>
      <c r="C2252" s="13" t="s">
        <v>22</v>
      </c>
      <c r="D2252" s="18">
        <f>VLOOKUP(C2252,'DISTRIBUIÇÃO NF4267'!$E$3:$FQ$75,MATCH(B2252,'DISTRIBUIÇÃO NF4267'!$E$3:$FQ$3,0)+1,0)</f>
        <v>0</v>
      </c>
      <c r="F2252" s="28">
        <f t="shared" si="112"/>
        <v>3</v>
      </c>
    </row>
    <row r="2253" spans="1:6" x14ac:dyDescent="0.35">
      <c r="A2253">
        <f t="shared" si="113"/>
        <v>0</v>
      </c>
      <c r="B2253" t="str">
        <f t="shared" si="111"/>
        <v>EX</v>
      </c>
      <c r="C2253" s="13" t="s">
        <v>23</v>
      </c>
      <c r="D2253" s="18">
        <f>VLOOKUP(C2253,'DISTRIBUIÇÃO NF4267'!$E$3:$FQ$75,MATCH(B2253,'DISTRIBUIÇÃO NF4267'!$E$3:$FQ$3,0)+1,0)</f>
        <v>0</v>
      </c>
      <c r="F2253" s="28">
        <f t="shared" si="112"/>
        <v>3</v>
      </c>
    </row>
    <row r="2254" spans="1:6" x14ac:dyDescent="0.35">
      <c r="A2254">
        <f t="shared" si="113"/>
        <v>0</v>
      </c>
      <c r="B2254" t="str">
        <f t="shared" si="111"/>
        <v>EX</v>
      </c>
      <c r="C2254" s="13" t="s">
        <v>24</v>
      </c>
      <c r="D2254" s="18">
        <f>VLOOKUP(C2254,'DISTRIBUIÇÃO NF4267'!$E$3:$FQ$75,MATCH(B2254,'DISTRIBUIÇÃO NF4267'!$E$3:$FQ$3,0)+1,0)</f>
        <v>0</v>
      </c>
      <c r="F2254" s="28">
        <f t="shared" si="112"/>
        <v>3</v>
      </c>
    </row>
    <row r="2255" spans="1:6" x14ac:dyDescent="0.35">
      <c r="A2255">
        <f t="shared" si="113"/>
        <v>0</v>
      </c>
      <c r="B2255" t="str">
        <f t="shared" si="111"/>
        <v>EX</v>
      </c>
      <c r="C2255" s="13" t="s">
        <v>25</v>
      </c>
      <c r="D2255" s="18">
        <f>VLOOKUP(C2255,'DISTRIBUIÇÃO NF4267'!$E$3:$FQ$75,MATCH(B2255,'DISTRIBUIÇÃO NF4267'!$E$3:$FQ$3,0)+1,0)</f>
        <v>0</v>
      </c>
      <c r="F2255" s="28">
        <f t="shared" si="112"/>
        <v>3</v>
      </c>
    </row>
    <row r="2256" spans="1:6" x14ac:dyDescent="0.35">
      <c r="A2256">
        <f t="shared" si="113"/>
        <v>0</v>
      </c>
      <c r="B2256" t="str">
        <f t="shared" si="111"/>
        <v>EX</v>
      </c>
      <c r="C2256" s="13" t="s">
        <v>26</v>
      </c>
      <c r="D2256" s="18">
        <f>VLOOKUP(C2256,'DISTRIBUIÇÃO NF4267'!$E$3:$FQ$75,MATCH(B2256,'DISTRIBUIÇÃO NF4267'!$E$3:$FQ$3,0)+1,0)</f>
        <v>0</v>
      </c>
      <c r="F2256" s="28">
        <f t="shared" si="112"/>
        <v>3</v>
      </c>
    </row>
    <row r="2257" spans="1:6" x14ac:dyDescent="0.35">
      <c r="A2257">
        <f t="shared" si="113"/>
        <v>0</v>
      </c>
      <c r="B2257" t="str">
        <f t="shared" si="111"/>
        <v>EX</v>
      </c>
      <c r="C2257" s="13" t="s">
        <v>27</v>
      </c>
      <c r="D2257" s="18">
        <f>VLOOKUP(C2257,'DISTRIBUIÇÃO NF4267'!$E$3:$FQ$75,MATCH(B2257,'DISTRIBUIÇÃO NF4267'!$E$3:$FQ$3,0)+1,0)</f>
        <v>0</v>
      </c>
      <c r="F2257" s="28">
        <f t="shared" si="112"/>
        <v>3</v>
      </c>
    </row>
    <row r="2258" spans="1:6" x14ac:dyDescent="0.35">
      <c r="A2258">
        <f t="shared" si="113"/>
        <v>0</v>
      </c>
      <c r="B2258" t="str">
        <f t="shared" si="111"/>
        <v>EX</v>
      </c>
      <c r="C2258" s="14" t="s">
        <v>138</v>
      </c>
      <c r="D2258" s="18">
        <f>VLOOKUP(C2258,'DISTRIBUIÇÃO NF4267'!$E$3:$FQ$75,MATCH(B2258,'DISTRIBUIÇÃO NF4267'!$E$3:$FQ$3,0)+1,0)</f>
        <v>0</v>
      </c>
      <c r="F2258" s="28">
        <f t="shared" si="112"/>
        <v>3</v>
      </c>
    </row>
    <row r="2259" spans="1:6" x14ac:dyDescent="0.35">
      <c r="A2259">
        <f t="shared" si="113"/>
        <v>0</v>
      </c>
      <c r="B2259" t="str">
        <f t="shared" si="111"/>
        <v>EX</v>
      </c>
      <c r="C2259" s="14" t="s">
        <v>139</v>
      </c>
      <c r="D2259" s="18">
        <f>VLOOKUP(C2259,'DISTRIBUIÇÃO NF4267'!$E$3:$FQ$75,MATCH(B2259,'DISTRIBUIÇÃO NF4267'!$E$3:$FQ$3,0)+1,0)</f>
        <v>2</v>
      </c>
      <c r="F2259" s="28">
        <f t="shared" si="112"/>
        <v>3</v>
      </c>
    </row>
    <row r="2260" spans="1:6" x14ac:dyDescent="0.35">
      <c r="A2260">
        <f t="shared" si="113"/>
        <v>0</v>
      </c>
      <c r="B2260" t="str">
        <f t="shared" si="111"/>
        <v>EX</v>
      </c>
      <c r="C2260" s="14" t="s">
        <v>140</v>
      </c>
      <c r="D2260" s="18">
        <f>VLOOKUP(C2260,'DISTRIBUIÇÃO NF4267'!$E$3:$FQ$75,MATCH(B2260,'DISTRIBUIÇÃO NF4267'!$E$3:$FQ$3,0)+1,0)</f>
        <v>4</v>
      </c>
      <c r="F2260" s="28">
        <f t="shared" si="112"/>
        <v>3</v>
      </c>
    </row>
    <row r="2261" spans="1:6" x14ac:dyDescent="0.35">
      <c r="A2261">
        <f t="shared" si="113"/>
        <v>0</v>
      </c>
      <c r="B2261" t="str">
        <f t="shared" si="111"/>
        <v>EX</v>
      </c>
      <c r="C2261" s="14" t="s">
        <v>141</v>
      </c>
      <c r="D2261" s="18">
        <f>VLOOKUP(C2261,'DISTRIBUIÇÃO NF4267'!$E$3:$FQ$75,MATCH(B2261,'DISTRIBUIÇÃO NF4267'!$E$3:$FQ$3,0)+1,0)</f>
        <v>2</v>
      </c>
      <c r="F2261" s="28">
        <f t="shared" si="112"/>
        <v>3</v>
      </c>
    </row>
    <row r="2262" spans="1:6" x14ac:dyDescent="0.35">
      <c r="A2262">
        <f t="shared" si="113"/>
        <v>0</v>
      </c>
      <c r="B2262" t="str">
        <f t="shared" si="111"/>
        <v>EX</v>
      </c>
      <c r="C2262" s="14" t="s">
        <v>142</v>
      </c>
      <c r="D2262" s="18">
        <f>VLOOKUP(C2262,'DISTRIBUIÇÃO NF4267'!$E$3:$FQ$75,MATCH(B2262,'DISTRIBUIÇÃO NF4267'!$E$3:$FQ$3,0)+1,0)</f>
        <v>2</v>
      </c>
      <c r="F2262" s="28">
        <f t="shared" si="112"/>
        <v>3</v>
      </c>
    </row>
    <row r="2263" spans="1:6" x14ac:dyDescent="0.35">
      <c r="A2263">
        <f t="shared" si="113"/>
        <v>0</v>
      </c>
      <c r="B2263" t="str">
        <f t="shared" si="111"/>
        <v>EX</v>
      </c>
      <c r="C2263" s="14" t="s">
        <v>143</v>
      </c>
      <c r="D2263" s="18">
        <f>VLOOKUP(C2263,'DISTRIBUIÇÃO NF4267'!$E$3:$FQ$75,MATCH(B2263,'DISTRIBUIÇÃO NF4267'!$E$3:$FQ$3,0)+1,0)</f>
        <v>0</v>
      </c>
      <c r="F2263" s="28">
        <f t="shared" si="112"/>
        <v>3</v>
      </c>
    </row>
    <row r="2264" spans="1:6" x14ac:dyDescent="0.35">
      <c r="A2264">
        <f t="shared" si="113"/>
        <v>0</v>
      </c>
      <c r="B2264" t="str">
        <f t="shared" si="111"/>
        <v>EX</v>
      </c>
      <c r="C2264" s="15" t="s">
        <v>145</v>
      </c>
      <c r="D2264" s="18">
        <f>VLOOKUP(C2264,'DISTRIBUIÇÃO NF4267'!$E$3:$FQ$75,MATCH(B2264,'DISTRIBUIÇÃO NF4267'!$E$3:$FQ$3,0)+1,0)</f>
        <v>0</v>
      </c>
      <c r="F2264" s="28">
        <f t="shared" si="112"/>
        <v>3</v>
      </c>
    </row>
    <row r="2265" spans="1:6" x14ac:dyDescent="0.35">
      <c r="A2265">
        <f t="shared" si="113"/>
        <v>0</v>
      </c>
      <c r="B2265" t="str">
        <f t="shared" si="111"/>
        <v>EX</v>
      </c>
      <c r="C2265" s="15" t="s">
        <v>146</v>
      </c>
      <c r="D2265" s="18">
        <f>VLOOKUP(C2265,'DISTRIBUIÇÃO NF4267'!$E$3:$FQ$75,MATCH(B2265,'DISTRIBUIÇÃO NF4267'!$E$3:$FQ$3,0)+1,0)</f>
        <v>2</v>
      </c>
      <c r="F2265" s="28">
        <f t="shared" si="112"/>
        <v>3</v>
      </c>
    </row>
    <row r="2266" spans="1:6" x14ac:dyDescent="0.35">
      <c r="A2266">
        <f t="shared" si="113"/>
        <v>0</v>
      </c>
      <c r="B2266" t="str">
        <f t="shared" si="111"/>
        <v>EX</v>
      </c>
      <c r="C2266" s="15" t="s">
        <v>147</v>
      </c>
      <c r="D2266" s="18">
        <f>VLOOKUP(C2266,'DISTRIBUIÇÃO NF4267'!$E$3:$FQ$75,MATCH(B2266,'DISTRIBUIÇÃO NF4267'!$E$3:$FQ$3,0)+1,0)</f>
        <v>4</v>
      </c>
      <c r="F2266" s="28">
        <f t="shared" si="112"/>
        <v>3</v>
      </c>
    </row>
    <row r="2267" spans="1:6" x14ac:dyDescent="0.35">
      <c r="A2267">
        <f t="shared" si="113"/>
        <v>0</v>
      </c>
      <c r="B2267" t="str">
        <f t="shared" si="111"/>
        <v>EX</v>
      </c>
      <c r="C2267" s="15" t="s">
        <v>148</v>
      </c>
      <c r="D2267" s="18">
        <f>VLOOKUP(C2267,'DISTRIBUIÇÃO NF4267'!$E$3:$FQ$75,MATCH(B2267,'DISTRIBUIÇÃO NF4267'!$E$3:$FQ$3,0)+1,0)</f>
        <v>2</v>
      </c>
      <c r="F2267" s="28">
        <f t="shared" si="112"/>
        <v>3</v>
      </c>
    </row>
    <row r="2268" spans="1:6" x14ac:dyDescent="0.35">
      <c r="A2268">
        <f t="shared" si="113"/>
        <v>0</v>
      </c>
      <c r="B2268" t="str">
        <f t="shared" si="111"/>
        <v>EX</v>
      </c>
      <c r="C2268" s="15" t="s">
        <v>149</v>
      </c>
      <c r="D2268" s="18">
        <f>VLOOKUP(C2268,'DISTRIBUIÇÃO NF4267'!$E$3:$FQ$75,MATCH(B2268,'DISTRIBUIÇÃO NF4267'!$E$3:$FQ$3,0)+1,0)</f>
        <v>2</v>
      </c>
      <c r="F2268" s="28">
        <f t="shared" si="112"/>
        <v>3</v>
      </c>
    </row>
    <row r="2269" spans="1:6" x14ac:dyDescent="0.35">
      <c r="A2269">
        <f t="shared" si="113"/>
        <v>0</v>
      </c>
      <c r="B2269" t="str">
        <f t="shared" si="111"/>
        <v>EX</v>
      </c>
      <c r="C2269" s="15" t="s">
        <v>150</v>
      </c>
      <c r="D2269" s="18">
        <f>VLOOKUP(C2269,'DISTRIBUIÇÃO NF4267'!$E$3:$FQ$75,MATCH(B2269,'DISTRIBUIÇÃO NF4267'!$E$3:$FQ$3,0)+1,0)</f>
        <v>0</v>
      </c>
      <c r="F2269" s="28">
        <f t="shared" si="112"/>
        <v>3</v>
      </c>
    </row>
    <row r="2270" spans="1:6" x14ac:dyDescent="0.35">
      <c r="A2270">
        <f t="shared" si="113"/>
        <v>0</v>
      </c>
      <c r="B2270">
        <v>10</v>
      </c>
      <c r="C2270" s="7" t="s">
        <v>98</v>
      </c>
      <c r="D2270" s="18">
        <f>VLOOKUP(C2270,'DISTRIBUIÇÃO NF4267'!$E$3:$FQ$75,MATCH(B2270,'DISTRIBUIÇÃO NF4267'!$E$3:$FQ$3,0)+1,0)</f>
        <v>0</v>
      </c>
      <c r="F2270" s="28">
        <f t="shared" si="112"/>
        <v>3</v>
      </c>
    </row>
    <row r="2271" spans="1:6" x14ac:dyDescent="0.35">
      <c r="A2271">
        <f t="shared" si="113"/>
        <v>0</v>
      </c>
      <c r="B2271">
        <f>B2270</f>
        <v>10</v>
      </c>
      <c r="C2271" s="7" t="s">
        <v>99</v>
      </c>
      <c r="D2271" s="18">
        <f>VLOOKUP(C2271,'DISTRIBUIÇÃO NF4267'!$E$3:$FQ$75,MATCH(B2271,'DISTRIBUIÇÃO NF4267'!$E$3:$FQ$3,0)+1,0)</f>
        <v>4</v>
      </c>
      <c r="F2271" s="28">
        <f t="shared" si="112"/>
        <v>3</v>
      </c>
    </row>
    <row r="2272" spans="1:6" x14ac:dyDescent="0.35">
      <c r="A2272">
        <f t="shared" si="113"/>
        <v>0</v>
      </c>
      <c r="B2272">
        <f t="shared" ref="B2272:B2323" si="114">B2271</f>
        <v>10</v>
      </c>
      <c r="C2272" s="7" t="s">
        <v>100</v>
      </c>
      <c r="D2272" s="18">
        <f>VLOOKUP(C2272,'DISTRIBUIÇÃO NF4267'!$E$3:$FQ$75,MATCH(B2272,'DISTRIBUIÇÃO NF4267'!$E$3:$FQ$3,0)+1,0)</f>
        <v>8</v>
      </c>
      <c r="F2272" s="28">
        <f t="shared" si="112"/>
        <v>3</v>
      </c>
    </row>
    <row r="2273" spans="1:6" x14ac:dyDescent="0.35">
      <c r="A2273">
        <f t="shared" si="113"/>
        <v>0</v>
      </c>
      <c r="B2273">
        <f t="shared" si="114"/>
        <v>10</v>
      </c>
      <c r="C2273" s="7" t="s">
        <v>101</v>
      </c>
      <c r="D2273" s="18">
        <f>VLOOKUP(C2273,'DISTRIBUIÇÃO NF4267'!$E$3:$FQ$75,MATCH(B2273,'DISTRIBUIÇÃO NF4267'!$E$3:$FQ$3,0)+1,0)</f>
        <v>4</v>
      </c>
      <c r="F2273" s="28">
        <f t="shared" si="112"/>
        <v>3</v>
      </c>
    </row>
    <row r="2274" spans="1:6" x14ac:dyDescent="0.35">
      <c r="A2274">
        <f t="shared" si="113"/>
        <v>0</v>
      </c>
      <c r="B2274">
        <f t="shared" si="114"/>
        <v>10</v>
      </c>
      <c r="C2274" s="7" t="s">
        <v>102</v>
      </c>
      <c r="D2274" s="18">
        <f>VLOOKUP(C2274,'DISTRIBUIÇÃO NF4267'!$E$3:$FQ$75,MATCH(B2274,'DISTRIBUIÇÃO NF4267'!$E$3:$FQ$3,0)+1,0)</f>
        <v>4</v>
      </c>
      <c r="F2274" s="28">
        <f t="shared" si="112"/>
        <v>3</v>
      </c>
    </row>
    <row r="2275" spans="1:6" x14ac:dyDescent="0.35">
      <c r="A2275">
        <f t="shared" si="113"/>
        <v>0</v>
      </c>
      <c r="B2275">
        <f t="shared" si="114"/>
        <v>10</v>
      </c>
      <c r="C2275" s="7" t="s">
        <v>103</v>
      </c>
      <c r="D2275" s="18">
        <f>VLOOKUP(C2275,'DISTRIBUIÇÃO NF4267'!$E$3:$FQ$75,MATCH(B2275,'DISTRIBUIÇÃO NF4267'!$E$3:$FQ$3,0)+1,0)</f>
        <v>0</v>
      </c>
      <c r="F2275" s="28">
        <f t="shared" si="112"/>
        <v>3</v>
      </c>
    </row>
    <row r="2276" spans="1:6" x14ac:dyDescent="0.35">
      <c r="A2276">
        <f t="shared" si="113"/>
        <v>0</v>
      </c>
      <c r="B2276">
        <f t="shared" si="114"/>
        <v>10</v>
      </c>
      <c r="C2276" s="8" t="s">
        <v>107</v>
      </c>
      <c r="D2276" s="18">
        <f>VLOOKUP(C2276,'DISTRIBUIÇÃO NF4267'!$E$3:$FQ$75,MATCH(B2276,'DISTRIBUIÇÃO NF4267'!$E$3:$FQ$3,0)+1,0)</f>
        <v>0</v>
      </c>
      <c r="F2276" s="28">
        <f t="shared" si="112"/>
        <v>3</v>
      </c>
    </row>
    <row r="2277" spans="1:6" x14ac:dyDescent="0.35">
      <c r="A2277">
        <f t="shared" si="113"/>
        <v>0</v>
      </c>
      <c r="B2277">
        <f t="shared" si="114"/>
        <v>10</v>
      </c>
      <c r="C2277" s="8" t="s">
        <v>108</v>
      </c>
      <c r="D2277" s="18">
        <f>VLOOKUP(C2277,'DISTRIBUIÇÃO NF4267'!$E$3:$FQ$75,MATCH(B2277,'DISTRIBUIÇÃO NF4267'!$E$3:$FQ$3,0)+1,0)</f>
        <v>2</v>
      </c>
      <c r="F2277" s="28">
        <f t="shared" si="112"/>
        <v>3</v>
      </c>
    </row>
    <row r="2278" spans="1:6" x14ac:dyDescent="0.35">
      <c r="A2278">
        <f t="shared" si="113"/>
        <v>0</v>
      </c>
      <c r="B2278">
        <f t="shared" si="114"/>
        <v>10</v>
      </c>
      <c r="C2278" s="8" t="s">
        <v>109</v>
      </c>
      <c r="D2278" s="18">
        <f>VLOOKUP(C2278,'DISTRIBUIÇÃO NF4267'!$E$3:$FQ$75,MATCH(B2278,'DISTRIBUIÇÃO NF4267'!$E$3:$FQ$3,0)+1,0)</f>
        <v>4</v>
      </c>
      <c r="F2278" s="28">
        <f t="shared" si="112"/>
        <v>3</v>
      </c>
    </row>
    <row r="2279" spans="1:6" x14ac:dyDescent="0.35">
      <c r="A2279">
        <f t="shared" si="113"/>
        <v>0</v>
      </c>
      <c r="B2279">
        <f t="shared" si="114"/>
        <v>10</v>
      </c>
      <c r="C2279" s="8" t="s">
        <v>110</v>
      </c>
      <c r="D2279" s="18">
        <f>VLOOKUP(C2279,'DISTRIBUIÇÃO NF4267'!$E$3:$FQ$75,MATCH(B2279,'DISTRIBUIÇÃO NF4267'!$E$3:$FQ$3,0)+1,0)</f>
        <v>2</v>
      </c>
      <c r="F2279" s="28">
        <f t="shared" si="112"/>
        <v>3</v>
      </c>
    </row>
    <row r="2280" spans="1:6" x14ac:dyDescent="0.35">
      <c r="A2280">
        <f t="shared" si="113"/>
        <v>0</v>
      </c>
      <c r="B2280">
        <f t="shared" si="114"/>
        <v>10</v>
      </c>
      <c r="C2280" s="8" t="s">
        <v>111</v>
      </c>
      <c r="D2280" s="18">
        <f>VLOOKUP(C2280,'DISTRIBUIÇÃO NF4267'!$E$3:$FQ$75,MATCH(B2280,'DISTRIBUIÇÃO NF4267'!$E$3:$FQ$3,0)+1,0)</f>
        <v>2</v>
      </c>
      <c r="F2280" s="28">
        <f t="shared" si="112"/>
        <v>3</v>
      </c>
    </row>
    <row r="2281" spans="1:6" x14ac:dyDescent="0.35">
      <c r="A2281">
        <f t="shared" si="113"/>
        <v>0</v>
      </c>
      <c r="B2281">
        <f t="shared" si="114"/>
        <v>10</v>
      </c>
      <c r="C2281" s="8" t="s">
        <v>112</v>
      </c>
      <c r="D2281" s="18">
        <f>VLOOKUP(C2281,'DISTRIBUIÇÃO NF4267'!$E$3:$FQ$75,MATCH(B2281,'DISTRIBUIÇÃO NF4267'!$E$3:$FQ$3,0)+1,0)</f>
        <v>0</v>
      </c>
      <c r="F2281" s="28">
        <f t="shared" si="112"/>
        <v>3</v>
      </c>
    </row>
    <row r="2282" spans="1:6" x14ac:dyDescent="0.35">
      <c r="A2282">
        <f t="shared" si="113"/>
        <v>0</v>
      </c>
      <c r="B2282">
        <f t="shared" si="114"/>
        <v>10</v>
      </c>
      <c r="C2282" s="9" t="s">
        <v>113</v>
      </c>
      <c r="D2282" s="18">
        <f>VLOOKUP(C2282,'DISTRIBUIÇÃO NF4267'!$E$3:$FQ$75,MATCH(B2282,'DISTRIBUIÇÃO NF4267'!$E$3:$FQ$3,0)+1,0)</f>
        <v>0</v>
      </c>
      <c r="F2282" s="28">
        <f t="shared" si="112"/>
        <v>3</v>
      </c>
    </row>
    <row r="2283" spans="1:6" x14ac:dyDescent="0.35">
      <c r="A2283">
        <f t="shared" si="113"/>
        <v>0</v>
      </c>
      <c r="B2283">
        <f t="shared" si="114"/>
        <v>10</v>
      </c>
      <c r="C2283" s="9" t="s">
        <v>114</v>
      </c>
      <c r="D2283" s="18">
        <f>VLOOKUP(C2283,'DISTRIBUIÇÃO NF4267'!$E$3:$FQ$75,MATCH(B2283,'DISTRIBUIÇÃO NF4267'!$E$3:$FQ$3,0)+1,0)</f>
        <v>3</v>
      </c>
      <c r="F2283" s="28">
        <f t="shared" si="112"/>
        <v>3</v>
      </c>
    </row>
    <row r="2284" spans="1:6" x14ac:dyDescent="0.35">
      <c r="A2284">
        <f t="shared" si="113"/>
        <v>0</v>
      </c>
      <c r="B2284">
        <f t="shared" si="114"/>
        <v>10</v>
      </c>
      <c r="C2284" s="9" t="s">
        <v>115</v>
      </c>
      <c r="D2284" s="18">
        <f>VLOOKUP(C2284,'DISTRIBUIÇÃO NF4267'!$E$3:$FQ$75,MATCH(B2284,'DISTRIBUIÇÃO NF4267'!$E$3:$FQ$3,0)+1,0)</f>
        <v>4</v>
      </c>
      <c r="F2284" s="28">
        <f t="shared" si="112"/>
        <v>3</v>
      </c>
    </row>
    <row r="2285" spans="1:6" x14ac:dyDescent="0.35">
      <c r="A2285">
        <f t="shared" si="113"/>
        <v>0</v>
      </c>
      <c r="B2285">
        <f t="shared" si="114"/>
        <v>10</v>
      </c>
      <c r="C2285" s="9" t="s">
        <v>116</v>
      </c>
      <c r="D2285" s="18">
        <f>VLOOKUP(C2285,'DISTRIBUIÇÃO NF4267'!$E$3:$FQ$75,MATCH(B2285,'DISTRIBUIÇÃO NF4267'!$E$3:$FQ$3,0)+1,0)</f>
        <v>2</v>
      </c>
      <c r="F2285" s="28">
        <f t="shared" si="112"/>
        <v>3</v>
      </c>
    </row>
    <row r="2286" spans="1:6" x14ac:dyDescent="0.35">
      <c r="A2286">
        <f t="shared" si="113"/>
        <v>0</v>
      </c>
      <c r="B2286">
        <f t="shared" si="114"/>
        <v>10</v>
      </c>
      <c r="C2286" s="9" t="s">
        <v>117</v>
      </c>
      <c r="D2286" s="18">
        <f>VLOOKUP(C2286,'DISTRIBUIÇÃO NF4267'!$E$3:$FQ$75,MATCH(B2286,'DISTRIBUIÇÃO NF4267'!$E$3:$FQ$3,0)+1,0)</f>
        <v>1</v>
      </c>
      <c r="F2286" s="28">
        <f t="shared" si="112"/>
        <v>3</v>
      </c>
    </row>
    <row r="2287" spans="1:6" x14ac:dyDescent="0.35">
      <c r="A2287">
        <f t="shared" si="113"/>
        <v>0</v>
      </c>
      <c r="B2287">
        <f t="shared" si="114"/>
        <v>10</v>
      </c>
      <c r="C2287" s="9" t="s">
        <v>118</v>
      </c>
      <c r="D2287" s="18">
        <f>VLOOKUP(C2287,'DISTRIBUIÇÃO NF4267'!$E$3:$FQ$75,MATCH(B2287,'DISTRIBUIÇÃO NF4267'!$E$3:$FQ$3,0)+1,0)</f>
        <v>0</v>
      </c>
      <c r="F2287" s="28">
        <f t="shared" si="112"/>
        <v>3</v>
      </c>
    </row>
    <row r="2288" spans="1:6" x14ac:dyDescent="0.35">
      <c r="A2288">
        <f t="shared" si="113"/>
        <v>0</v>
      </c>
      <c r="B2288">
        <f t="shared" si="114"/>
        <v>10</v>
      </c>
      <c r="C2288" s="10" t="s">
        <v>119</v>
      </c>
      <c r="D2288" s="18">
        <f>VLOOKUP(C2288,'DISTRIBUIÇÃO NF4267'!$E$3:$FQ$75,MATCH(B2288,'DISTRIBUIÇÃO NF4267'!$E$3:$FQ$3,0)+1,0)</f>
        <v>0</v>
      </c>
      <c r="F2288" s="28">
        <f t="shared" si="112"/>
        <v>3</v>
      </c>
    </row>
    <row r="2289" spans="1:6" x14ac:dyDescent="0.35">
      <c r="A2289">
        <f t="shared" si="113"/>
        <v>0</v>
      </c>
      <c r="B2289">
        <f t="shared" si="114"/>
        <v>10</v>
      </c>
      <c r="C2289" s="10" t="s">
        <v>120</v>
      </c>
      <c r="D2289" s="18">
        <f>VLOOKUP(C2289,'DISTRIBUIÇÃO NF4267'!$E$3:$FQ$75,MATCH(B2289,'DISTRIBUIÇÃO NF4267'!$E$3:$FQ$3,0)+1,0)</f>
        <v>48</v>
      </c>
      <c r="F2289" s="28">
        <f t="shared" si="112"/>
        <v>3</v>
      </c>
    </row>
    <row r="2290" spans="1:6" x14ac:dyDescent="0.35">
      <c r="A2290">
        <f t="shared" si="113"/>
        <v>0</v>
      </c>
      <c r="B2290">
        <f t="shared" si="114"/>
        <v>10</v>
      </c>
      <c r="C2290" s="10" t="s">
        <v>121</v>
      </c>
      <c r="D2290" s="18">
        <f>VLOOKUP(C2290,'DISTRIBUIÇÃO NF4267'!$E$3:$FQ$75,MATCH(B2290,'DISTRIBUIÇÃO NF4267'!$E$3:$FQ$3,0)+1,0)</f>
        <v>16</v>
      </c>
      <c r="F2290" s="28">
        <f t="shared" si="112"/>
        <v>3</v>
      </c>
    </row>
    <row r="2291" spans="1:6" x14ac:dyDescent="0.35">
      <c r="A2291">
        <f t="shared" si="113"/>
        <v>0</v>
      </c>
      <c r="B2291">
        <f t="shared" si="114"/>
        <v>10</v>
      </c>
      <c r="C2291" s="10" t="s">
        <v>122</v>
      </c>
      <c r="D2291" s="18">
        <f>VLOOKUP(C2291,'DISTRIBUIÇÃO NF4267'!$E$3:$FQ$75,MATCH(B2291,'DISTRIBUIÇÃO NF4267'!$E$3:$FQ$3,0)+1,0)</f>
        <v>16</v>
      </c>
      <c r="F2291" s="28">
        <f t="shared" si="112"/>
        <v>3</v>
      </c>
    </row>
    <row r="2292" spans="1:6" x14ac:dyDescent="0.35">
      <c r="A2292">
        <f t="shared" si="113"/>
        <v>0</v>
      </c>
      <c r="B2292">
        <f t="shared" si="114"/>
        <v>10</v>
      </c>
      <c r="C2292" s="10" t="s">
        <v>123</v>
      </c>
      <c r="D2292" s="18">
        <f>VLOOKUP(C2292,'DISTRIBUIÇÃO NF4267'!$E$3:$FQ$75,MATCH(B2292,'DISTRIBUIÇÃO NF4267'!$E$3:$FQ$3,0)+1,0)</f>
        <v>0</v>
      </c>
      <c r="F2292" s="28">
        <f t="shared" si="112"/>
        <v>3</v>
      </c>
    </row>
    <row r="2293" spans="1:6" x14ac:dyDescent="0.35">
      <c r="A2293">
        <f t="shared" si="113"/>
        <v>0</v>
      </c>
      <c r="B2293">
        <f t="shared" si="114"/>
        <v>10</v>
      </c>
      <c r="C2293" s="10" t="s">
        <v>124</v>
      </c>
      <c r="D2293" s="18">
        <f>VLOOKUP(C2293,'DISTRIBUIÇÃO NF4267'!$E$3:$FQ$75,MATCH(B2293,'DISTRIBUIÇÃO NF4267'!$E$3:$FQ$3,0)+1,0)</f>
        <v>0</v>
      </c>
      <c r="F2293" s="28">
        <f t="shared" si="112"/>
        <v>3</v>
      </c>
    </row>
    <row r="2294" spans="1:6" x14ac:dyDescent="0.35">
      <c r="A2294">
        <f t="shared" si="113"/>
        <v>0</v>
      </c>
      <c r="B2294">
        <f t="shared" si="114"/>
        <v>10</v>
      </c>
      <c r="C2294" s="11" t="s">
        <v>16</v>
      </c>
      <c r="D2294" s="18">
        <f>VLOOKUP(C2294,'DISTRIBUIÇÃO NF4267'!$E$3:$FQ$75,MATCH(B2294,'DISTRIBUIÇÃO NF4267'!$E$3:$FQ$3,0)+1,0)</f>
        <v>0</v>
      </c>
      <c r="F2294" s="28">
        <f t="shared" si="112"/>
        <v>3</v>
      </c>
    </row>
    <row r="2295" spans="1:6" x14ac:dyDescent="0.35">
      <c r="A2295">
        <f t="shared" si="113"/>
        <v>0</v>
      </c>
      <c r="B2295">
        <f t="shared" si="114"/>
        <v>10</v>
      </c>
      <c r="C2295" s="11" t="s">
        <v>17</v>
      </c>
      <c r="D2295" s="18">
        <f>VLOOKUP(C2295,'DISTRIBUIÇÃO NF4267'!$E$3:$FQ$75,MATCH(B2295,'DISTRIBUIÇÃO NF4267'!$E$3:$FQ$3,0)+1,0)</f>
        <v>9</v>
      </c>
      <c r="F2295" s="28">
        <f t="shared" si="112"/>
        <v>3</v>
      </c>
    </row>
    <row r="2296" spans="1:6" x14ac:dyDescent="0.35">
      <c r="A2296">
        <f t="shared" si="113"/>
        <v>0</v>
      </c>
      <c r="B2296">
        <f t="shared" si="114"/>
        <v>10</v>
      </c>
      <c r="C2296" s="11" t="s">
        <v>18</v>
      </c>
      <c r="D2296" s="18">
        <f>VLOOKUP(C2296,'DISTRIBUIÇÃO NF4267'!$E$3:$FQ$75,MATCH(B2296,'DISTRIBUIÇÃO NF4267'!$E$3:$FQ$3,0)+1,0)</f>
        <v>3</v>
      </c>
      <c r="F2296" s="28">
        <f t="shared" ref="F2296:F2359" si="115">ROUNDUP(SUMIFS(D:D,B:B,B2296)/80,0)</f>
        <v>3</v>
      </c>
    </row>
    <row r="2297" spans="1:6" x14ac:dyDescent="0.35">
      <c r="A2297">
        <f t="shared" si="113"/>
        <v>0</v>
      </c>
      <c r="B2297">
        <f t="shared" si="114"/>
        <v>10</v>
      </c>
      <c r="C2297" s="11" t="s">
        <v>19</v>
      </c>
      <c r="D2297" s="18">
        <f>VLOOKUP(C2297,'DISTRIBUIÇÃO NF4267'!$E$3:$FQ$75,MATCH(B2297,'DISTRIBUIÇÃO NF4267'!$E$3:$FQ$3,0)+1,0)</f>
        <v>3</v>
      </c>
      <c r="F2297" s="28">
        <f t="shared" si="115"/>
        <v>3</v>
      </c>
    </row>
    <row r="2298" spans="1:6" x14ac:dyDescent="0.35">
      <c r="A2298">
        <f t="shared" si="113"/>
        <v>0</v>
      </c>
      <c r="B2298">
        <f t="shared" si="114"/>
        <v>10</v>
      </c>
      <c r="C2298" s="11" t="s">
        <v>20</v>
      </c>
      <c r="D2298" s="18">
        <f>VLOOKUP(C2298,'DISTRIBUIÇÃO NF4267'!$E$3:$FQ$75,MATCH(B2298,'DISTRIBUIÇÃO NF4267'!$E$3:$FQ$3,0)+1,0)</f>
        <v>15</v>
      </c>
      <c r="F2298" s="28">
        <f t="shared" si="115"/>
        <v>3</v>
      </c>
    </row>
    <row r="2299" spans="1:6" x14ac:dyDescent="0.35">
      <c r="A2299">
        <f t="shared" si="113"/>
        <v>0</v>
      </c>
      <c r="B2299">
        <f t="shared" si="114"/>
        <v>10</v>
      </c>
      <c r="C2299" s="11" t="s">
        <v>21</v>
      </c>
      <c r="D2299" s="18">
        <f>VLOOKUP(C2299,'DISTRIBUIÇÃO NF4267'!$E$3:$FQ$75,MATCH(B2299,'DISTRIBUIÇÃO NF4267'!$E$3:$FQ$3,0)+1,0)</f>
        <v>0</v>
      </c>
      <c r="F2299" s="28">
        <f t="shared" si="115"/>
        <v>3</v>
      </c>
    </row>
    <row r="2300" spans="1:6" x14ac:dyDescent="0.35">
      <c r="A2300">
        <f t="shared" si="113"/>
        <v>0</v>
      </c>
      <c r="B2300">
        <f t="shared" si="114"/>
        <v>10</v>
      </c>
      <c r="C2300" s="12" t="s">
        <v>130</v>
      </c>
      <c r="D2300" s="18">
        <f>VLOOKUP(C2300,'DISTRIBUIÇÃO NF4267'!$E$3:$FQ$75,MATCH(B2300,'DISTRIBUIÇÃO NF4267'!$E$3:$FQ$3,0)+1,0)</f>
        <v>0</v>
      </c>
      <c r="F2300" s="28">
        <f t="shared" si="115"/>
        <v>3</v>
      </c>
    </row>
    <row r="2301" spans="1:6" x14ac:dyDescent="0.35">
      <c r="A2301">
        <f t="shared" si="113"/>
        <v>0</v>
      </c>
      <c r="B2301">
        <f t="shared" si="114"/>
        <v>10</v>
      </c>
      <c r="C2301" s="12" t="s">
        <v>131</v>
      </c>
      <c r="D2301" s="18">
        <f>VLOOKUP(C2301,'DISTRIBUIÇÃO NF4267'!$E$3:$FQ$75,MATCH(B2301,'DISTRIBUIÇÃO NF4267'!$E$3:$FQ$3,0)+1,0)</f>
        <v>0</v>
      </c>
      <c r="F2301" s="28">
        <f t="shared" si="115"/>
        <v>3</v>
      </c>
    </row>
    <row r="2302" spans="1:6" x14ac:dyDescent="0.35">
      <c r="A2302">
        <f t="shared" si="113"/>
        <v>0</v>
      </c>
      <c r="B2302">
        <f t="shared" si="114"/>
        <v>10</v>
      </c>
      <c r="C2302" s="12" t="s">
        <v>132</v>
      </c>
      <c r="D2302" s="18">
        <f>VLOOKUP(C2302,'DISTRIBUIÇÃO NF4267'!$E$3:$FQ$75,MATCH(B2302,'DISTRIBUIÇÃO NF4267'!$E$3:$FQ$3,0)+1,0)</f>
        <v>0</v>
      </c>
      <c r="F2302" s="28">
        <f t="shared" si="115"/>
        <v>3</v>
      </c>
    </row>
    <row r="2303" spans="1:6" x14ac:dyDescent="0.35">
      <c r="A2303">
        <f t="shared" si="113"/>
        <v>0</v>
      </c>
      <c r="B2303">
        <f t="shared" si="114"/>
        <v>10</v>
      </c>
      <c r="C2303" s="12" t="s">
        <v>133</v>
      </c>
      <c r="D2303" s="18">
        <f>VLOOKUP(C2303,'DISTRIBUIÇÃO NF4267'!$E$3:$FQ$75,MATCH(B2303,'DISTRIBUIÇÃO NF4267'!$E$3:$FQ$3,0)+1,0)</f>
        <v>0</v>
      </c>
      <c r="F2303" s="28">
        <f t="shared" si="115"/>
        <v>3</v>
      </c>
    </row>
    <row r="2304" spans="1:6" x14ac:dyDescent="0.35">
      <c r="A2304">
        <f t="shared" si="113"/>
        <v>0</v>
      </c>
      <c r="B2304">
        <f t="shared" si="114"/>
        <v>10</v>
      </c>
      <c r="C2304" s="12" t="s">
        <v>134</v>
      </c>
      <c r="D2304" s="18">
        <f>VLOOKUP(C2304,'DISTRIBUIÇÃO NF4267'!$E$3:$FQ$75,MATCH(B2304,'DISTRIBUIÇÃO NF4267'!$E$3:$FQ$3,0)+1,0)</f>
        <v>0</v>
      </c>
      <c r="F2304" s="28">
        <f t="shared" si="115"/>
        <v>3</v>
      </c>
    </row>
    <row r="2305" spans="1:6" x14ac:dyDescent="0.35">
      <c r="A2305">
        <f t="shared" si="113"/>
        <v>0</v>
      </c>
      <c r="B2305">
        <f t="shared" si="114"/>
        <v>10</v>
      </c>
      <c r="C2305" s="12" t="s">
        <v>135</v>
      </c>
      <c r="D2305" s="18">
        <f>VLOOKUP(C2305,'DISTRIBUIÇÃO NF4267'!$E$3:$FQ$75,MATCH(B2305,'DISTRIBUIÇÃO NF4267'!$E$3:$FQ$3,0)+1,0)</f>
        <v>0</v>
      </c>
      <c r="F2305" s="28">
        <f t="shared" si="115"/>
        <v>3</v>
      </c>
    </row>
    <row r="2306" spans="1:6" x14ac:dyDescent="0.35">
      <c r="A2306">
        <f t="shared" ref="A2306:A2369" si="116">IF(ISERROR(VLOOKUP(C2306,I:I,1,0)),0,1)</f>
        <v>0</v>
      </c>
      <c r="B2306">
        <f t="shared" si="114"/>
        <v>10</v>
      </c>
      <c r="C2306" s="13" t="s">
        <v>22</v>
      </c>
      <c r="D2306" s="18">
        <f>VLOOKUP(C2306,'DISTRIBUIÇÃO NF4267'!$E$3:$FQ$75,MATCH(B2306,'DISTRIBUIÇÃO NF4267'!$E$3:$FQ$3,0)+1,0)</f>
        <v>0</v>
      </c>
      <c r="F2306" s="28">
        <f t="shared" si="115"/>
        <v>3</v>
      </c>
    </row>
    <row r="2307" spans="1:6" x14ac:dyDescent="0.35">
      <c r="A2307">
        <f t="shared" si="116"/>
        <v>0</v>
      </c>
      <c r="B2307">
        <f t="shared" si="114"/>
        <v>10</v>
      </c>
      <c r="C2307" s="13" t="s">
        <v>23</v>
      </c>
      <c r="D2307" s="18">
        <f>VLOOKUP(C2307,'DISTRIBUIÇÃO NF4267'!$E$3:$FQ$75,MATCH(B2307,'DISTRIBUIÇÃO NF4267'!$E$3:$FQ$3,0)+1,0)</f>
        <v>0</v>
      </c>
      <c r="F2307" s="28">
        <f t="shared" si="115"/>
        <v>3</v>
      </c>
    </row>
    <row r="2308" spans="1:6" x14ac:dyDescent="0.35">
      <c r="A2308">
        <f t="shared" si="116"/>
        <v>0</v>
      </c>
      <c r="B2308">
        <f t="shared" si="114"/>
        <v>10</v>
      </c>
      <c r="C2308" s="13" t="s">
        <v>24</v>
      </c>
      <c r="D2308" s="18">
        <f>VLOOKUP(C2308,'DISTRIBUIÇÃO NF4267'!$E$3:$FQ$75,MATCH(B2308,'DISTRIBUIÇÃO NF4267'!$E$3:$FQ$3,0)+1,0)</f>
        <v>0</v>
      </c>
      <c r="F2308" s="28">
        <f t="shared" si="115"/>
        <v>3</v>
      </c>
    </row>
    <row r="2309" spans="1:6" x14ac:dyDescent="0.35">
      <c r="A2309">
        <f t="shared" si="116"/>
        <v>0</v>
      </c>
      <c r="B2309">
        <f t="shared" si="114"/>
        <v>10</v>
      </c>
      <c r="C2309" s="13" t="s">
        <v>25</v>
      </c>
      <c r="D2309" s="18">
        <f>VLOOKUP(C2309,'DISTRIBUIÇÃO NF4267'!$E$3:$FQ$75,MATCH(B2309,'DISTRIBUIÇÃO NF4267'!$E$3:$FQ$3,0)+1,0)</f>
        <v>0</v>
      </c>
      <c r="F2309" s="28">
        <f t="shared" si="115"/>
        <v>3</v>
      </c>
    </row>
    <row r="2310" spans="1:6" x14ac:dyDescent="0.35">
      <c r="A2310">
        <f t="shared" si="116"/>
        <v>0</v>
      </c>
      <c r="B2310">
        <f t="shared" si="114"/>
        <v>10</v>
      </c>
      <c r="C2310" s="13" t="s">
        <v>26</v>
      </c>
      <c r="D2310" s="18">
        <f>VLOOKUP(C2310,'DISTRIBUIÇÃO NF4267'!$E$3:$FQ$75,MATCH(B2310,'DISTRIBUIÇÃO NF4267'!$E$3:$FQ$3,0)+1,0)</f>
        <v>0</v>
      </c>
      <c r="F2310" s="28">
        <f t="shared" si="115"/>
        <v>3</v>
      </c>
    </row>
    <row r="2311" spans="1:6" x14ac:dyDescent="0.35">
      <c r="A2311">
        <f t="shared" si="116"/>
        <v>0</v>
      </c>
      <c r="B2311">
        <f t="shared" si="114"/>
        <v>10</v>
      </c>
      <c r="C2311" s="13" t="s">
        <v>27</v>
      </c>
      <c r="D2311" s="18">
        <f>VLOOKUP(C2311,'DISTRIBUIÇÃO NF4267'!$E$3:$FQ$75,MATCH(B2311,'DISTRIBUIÇÃO NF4267'!$E$3:$FQ$3,0)+1,0)</f>
        <v>0</v>
      </c>
      <c r="F2311" s="28">
        <f t="shared" si="115"/>
        <v>3</v>
      </c>
    </row>
    <row r="2312" spans="1:6" x14ac:dyDescent="0.35">
      <c r="A2312">
        <f t="shared" si="116"/>
        <v>0</v>
      </c>
      <c r="B2312">
        <f t="shared" si="114"/>
        <v>10</v>
      </c>
      <c r="C2312" s="14" t="s">
        <v>138</v>
      </c>
      <c r="D2312" s="18">
        <f>VLOOKUP(C2312,'DISTRIBUIÇÃO NF4267'!$E$3:$FQ$75,MATCH(B2312,'DISTRIBUIÇÃO NF4267'!$E$3:$FQ$3,0)+1,0)</f>
        <v>0</v>
      </c>
      <c r="F2312" s="28">
        <f t="shared" si="115"/>
        <v>3</v>
      </c>
    </row>
    <row r="2313" spans="1:6" x14ac:dyDescent="0.35">
      <c r="A2313">
        <f t="shared" si="116"/>
        <v>0</v>
      </c>
      <c r="B2313">
        <f t="shared" si="114"/>
        <v>10</v>
      </c>
      <c r="C2313" s="14" t="s">
        <v>139</v>
      </c>
      <c r="D2313" s="18">
        <f>VLOOKUP(C2313,'DISTRIBUIÇÃO NF4267'!$E$3:$FQ$75,MATCH(B2313,'DISTRIBUIÇÃO NF4267'!$E$3:$FQ$3,0)+1,0)</f>
        <v>2</v>
      </c>
      <c r="F2313" s="28">
        <f t="shared" si="115"/>
        <v>3</v>
      </c>
    </row>
    <row r="2314" spans="1:6" x14ac:dyDescent="0.35">
      <c r="A2314">
        <f t="shared" si="116"/>
        <v>0</v>
      </c>
      <c r="B2314">
        <f t="shared" si="114"/>
        <v>10</v>
      </c>
      <c r="C2314" s="14" t="s">
        <v>140</v>
      </c>
      <c r="D2314" s="18">
        <f>VLOOKUP(C2314,'DISTRIBUIÇÃO NF4267'!$E$3:$FQ$75,MATCH(B2314,'DISTRIBUIÇÃO NF4267'!$E$3:$FQ$3,0)+1,0)</f>
        <v>4</v>
      </c>
      <c r="F2314" s="28">
        <f t="shared" si="115"/>
        <v>3</v>
      </c>
    </row>
    <row r="2315" spans="1:6" x14ac:dyDescent="0.35">
      <c r="A2315">
        <f t="shared" si="116"/>
        <v>0</v>
      </c>
      <c r="B2315">
        <f t="shared" si="114"/>
        <v>10</v>
      </c>
      <c r="C2315" s="14" t="s">
        <v>141</v>
      </c>
      <c r="D2315" s="18">
        <f>VLOOKUP(C2315,'DISTRIBUIÇÃO NF4267'!$E$3:$FQ$75,MATCH(B2315,'DISTRIBUIÇÃO NF4267'!$E$3:$FQ$3,0)+1,0)</f>
        <v>2</v>
      </c>
      <c r="F2315" s="28">
        <f t="shared" si="115"/>
        <v>3</v>
      </c>
    </row>
    <row r="2316" spans="1:6" x14ac:dyDescent="0.35">
      <c r="A2316">
        <f t="shared" si="116"/>
        <v>0</v>
      </c>
      <c r="B2316">
        <f t="shared" si="114"/>
        <v>10</v>
      </c>
      <c r="C2316" s="14" t="s">
        <v>142</v>
      </c>
      <c r="D2316" s="18">
        <f>VLOOKUP(C2316,'DISTRIBUIÇÃO NF4267'!$E$3:$FQ$75,MATCH(B2316,'DISTRIBUIÇÃO NF4267'!$E$3:$FQ$3,0)+1,0)</f>
        <v>2</v>
      </c>
      <c r="F2316" s="28">
        <f t="shared" si="115"/>
        <v>3</v>
      </c>
    </row>
    <row r="2317" spans="1:6" x14ac:dyDescent="0.35">
      <c r="A2317">
        <f t="shared" si="116"/>
        <v>0</v>
      </c>
      <c r="B2317">
        <f t="shared" si="114"/>
        <v>10</v>
      </c>
      <c r="C2317" s="14" t="s">
        <v>143</v>
      </c>
      <c r="D2317" s="18">
        <f>VLOOKUP(C2317,'DISTRIBUIÇÃO NF4267'!$E$3:$FQ$75,MATCH(B2317,'DISTRIBUIÇÃO NF4267'!$E$3:$FQ$3,0)+1,0)</f>
        <v>0</v>
      </c>
      <c r="F2317" s="28">
        <f t="shared" si="115"/>
        <v>3</v>
      </c>
    </row>
    <row r="2318" spans="1:6" x14ac:dyDescent="0.35">
      <c r="A2318">
        <f t="shared" si="116"/>
        <v>0</v>
      </c>
      <c r="B2318">
        <f t="shared" si="114"/>
        <v>10</v>
      </c>
      <c r="C2318" s="15" t="s">
        <v>145</v>
      </c>
      <c r="D2318" s="18">
        <f>VLOOKUP(C2318,'DISTRIBUIÇÃO NF4267'!$E$3:$FQ$75,MATCH(B2318,'DISTRIBUIÇÃO NF4267'!$E$3:$FQ$3,0)+1,0)</f>
        <v>0</v>
      </c>
      <c r="F2318" s="28">
        <f t="shared" si="115"/>
        <v>3</v>
      </c>
    </row>
    <row r="2319" spans="1:6" x14ac:dyDescent="0.35">
      <c r="A2319">
        <f t="shared" si="116"/>
        <v>0</v>
      </c>
      <c r="B2319">
        <f t="shared" si="114"/>
        <v>10</v>
      </c>
      <c r="C2319" s="15" t="s">
        <v>146</v>
      </c>
      <c r="D2319" s="18">
        <f>VLOOKUP(C2319,'DISTRIBUIÇÃO NF4267'!$E$3:$FQ$75,MATCH(B2319,'DISTRIBUIÇÃO NF4267'!$E$3:$FQ$3,0)+1,0)</f>
        <v>2</v>
      </c>
      <c r="F2319" s="28">
        <f t="shared" si="115"/>
        <v>3</v>
      </c>
    </row>
    <row r="2320" spans="1:6" x14ac:dyDescent="0.35">
      <c r="A2320">
        <f t="shared" si="116"/>
        <v>0</v>
      </c>
      <c r="B2320">
        <f t="shared" si="114"/>
        <v>10</v>
      </c>
      <c r="C2320" s="15" t="s">
        <v>147</v>
      </c>
      <c r="D2320" s="18">
        <f>VLOOKUP(C2320,'DISTRIBUIÇÃO NF4267'!$E$3:$FQ$75,MATCH(B2320,'DISTRIBUIÇÃO NF4267'!$E$3:$FQ$3,0)+1,0)</f>
        <v>4</v>
      </c>
      <c r="F2320" s="28">
        <f t="shared" si="115"/>
        <v>3</v>
      </c>
    </row>
    <row r="2321" spans="1:6" x14ac:dyDescent="0.35">
      <c r="A2321">
        <f t="shared" si="116"/>
        <v>0</v>
      </c>
      <c r="B2321">
        <f t="shared" si="114"/>
        <v>10</v>
      </c>
      <c r="C2321" s="15" t="s">
        <v>148</v>
      </c>
      <c r="D2321" s="18">
        <f>VLOOKUP(C2321,'DISTRIBUIÇÃO NF4267'!$E$3:$FQ$75,MATCH(B2321,'DISTRIBUIÇÃO NF4267'!$E$3:$FQ$3,0)+1,0)</f>
        <v>2</v>
      </c>
      <c r="F2321" s="28">
        <f t="shared" si="115"/>
        <v>3</v>
      </c>
    </row>
    <row r="2322" spans="1:6" x14ac:dyDescent="0.35">
      <c r="A2322">
        <f t="shared" si="116"/>
        <v>0</v>
      </c>
      <c r="B2322">
        <f t="shared" si="114"/>
        <v>10</v>
      </c>
      <c r="C2322" s="15" t="s">
        <v>149</v>
      </c>
      <c r="D2322" s="18">
        <f>VLOOKUP(C2322,'DISTRIBUIÇÃO NF4267'!$E$3:$FQ$75,MATCH(B2322,'DISTRIBUIÇÃO NF4267'!$E$3:$FQ$3,0)+1,0)</f>
        <v>2</v>
      </c>
      <c r="F2322" s="28">
        <f t="shared" si="115"/>
        <v>3</v>
      </c>
    </row>
    <row r="2323" spans="1:6" x14ac:dyDescent="0.35">
      <c r="A2323">
        <f t="shared" si="116"/>
        <v>0</v>
      </c>
      <c r="B2323">
        <f t="shared" si="114"/>
        <v>10</v>
      </c>
      <c r="C2323" s="15" t="s">
        <v>150</v>
      </c>
      <c r="D2323" s="18">
        <f>VLOOKUP(C2323,'DISTRIBUIÇÃO NF4267'!$E$3:$FQ$75,MATCH(B2323,'DISTRIBUIÇÃO NF4267'!$E$3:$FQ$3,0)+1,0)</f>
        <v>0</v>
      </c>
      <c r="F2323" s="28">
        <f t="shared" si="115"/>
        <v>3</v>
      </c>
    </row>
    <row r="2324" spans="1:6" x14ac:dyDescent="0.35">
      <c r="A2324">
        <f t="shared" si="116"/>
        <v>0</v>
      </c>
      <c r="B2324">
        <v>50</v>
      </c>
      <c r="C2324" s="7" t="s">
        <v>98</v>
      </c>
      <c r="D2324" s="18">
        <f>VLOOKUP(C2324,'DISTRIBUIÇÃO NF4267'!$E$3:$FQ$75,MATCH(B2324,'DISTRIBUIÇÃO NF4267'!$E$3:$FQ$3,0)+1,0)</f>
        <v>0</v>
      </c>
      <c r="F2324" s="28">
        <f t="shared" si="115"/>
        <v>3</v>
      </c>
    </row>
    <row r="2325" spans="1:6" x14ac:dyDescent="0.35">
      <c r="A2325">
        <f t="shared" si="116"/>
        <v>0</v>
      </c>
      <c r="B2325">
        <f>B2324</f>
        <v>50</v>
      </c>
      <c r="C2325" s="7" t="s">
        <v>99</v>
      </c>
      <c r="D2325" s="18">
        <f>VLOOKUP(C2325,'DISTRIBUIÇÃO NF4267'!$E$3:$FQ$75,MATCH(B2325,'DISTRIBUIÇÃO NF4267'!$E$3:$FQ$3,0)+1,0)</f>
        <v>4</v>
      </c>
      <c r="F2325" s="28">
        <f t="shared" si="115"/>
        <v>3</v>
      </c>
    </row>
    <row r="2326" spans="1:6" x14ac:dyDescent="0.35">
      <c r="A2326">
        <f t="shared" si="116"/>
        <v>0</v>
      </c>
      <c r="B2326">
        <f t="shared" ref="B2326:B2377" si="117">B2325</f>
        <v>50</v>
      </c>
      <c r="C2326" s="7" t="s">
        <v>100</v>
      </c>
      <c r="D2326" s="18">
        <f>VLOOKUP(C2326,'DISTRIBUIÇÃO NF4267'!$E$3:$FQ$75,MATCH(B2326,'DISTRIBUIÇÃO NF4267'!$E$3:$FQ$3,0)+1,0)</f>
        <v>8</v>
      </c>
      <c r="F2326" s="28">
        <f t="shared" si="115"/>
        <v>3</v>
      </c>
    </row>
    <row r="2327" spans="1:6" x14ac:dyDescent="0.35">
      <c r="A2327">
        <f t="shared" si="116"/>
        <v>0</v>
      </c>
      <c r="B2327">
        <f t="shared" si="117"/>
        <v>50</v>
      </c>
      <c r="C2327" s="7" t="s">
        <v>101</v>
      </c>
      <c r="D2327" s="18">
        <f>VLOOKUP(C2327,'DISTRIBUIÇÃO NF4267'!$E$3:$FQ$75,MATCH(B2327,'DISTRIBUIÇÃO NF4267'!$E$3:$FQ$3,0)+1,0)</f>
        <v>4</v>
      </c>
      <c r="F2327" s="28">
        <f t="shared" si="115"/>
        <v>3</v>
      </c>
    </row>
    <row r="2328" spans="1:6" x14ac:dyDescent="0.35">
      <c r="A2328">
        <f t="shared" si="116"/>
        <v>0</v>
      </c>
      <c r="B2328">
        <f t="shared" si="117"/>
        <v>50</v>
      </c>
      <c r="C2328" s="7" t="s">
        <v>102</v>
      </c>
      <c r="D2328" s="18">
        <f>VLOOKUP(C2328,'DISTRIBUIÇÃO NF4267'!$E$3:$FQ$75,MATCH(B2328,'DISTRIBUIÇÃO NF4267'!$E$3:$FQ$3,0)+1,0)</f>
        <v>4</v>
      </c>
      <c r="F2328" s="28">
        <f t="shared" si="115"/>
        <v>3</v>
      </c>
    </row>
    <row r="2329" spans="1:6" x14ac:dyDescent="0.35">
      <c r="A2329">
        <f t="shared" si="116"/>
        <v>0</v>
      </c>
      <c r="B2329">
        <f t="shared" si="117"/>
        <v>50</v>
      </c>
      <c r="C2329" s="7" t="s">
        <v>103</v>
      </c>
      <c r="D2329" s="18">
        <f>VLOOKUP(C2329,'DISTRIBUIÇÃO NF4267'!$E$3:$FQ$75,MATCH(B2329,'DISTRIBUIÇÃO NF4267'!$E$3:$FQ$3,0)+1,0)</f>
        <v>0</v>
      </c>
      <c r="F2329" s="28">
        <f t="shared" si="115"/>
        <v>3</v>
      </c>
    </row>
    <row r="2330" spans="1:6" x14ac:dyDescent="0.35">
      <c r="A2330">
        <f t="shared" si="116"/>
        <v>0</v>
      </c>
      <c r="B2330">
        <f t="shared" si="117"/>
        <v>50</v>
      </c>
      <c r="C2330" s="8" t="s">
        <v>107</v>
      </c>
      <c r="D2330" s="18">
        <f>VLOOKUP(C2330,'DISTRIBUIÇÃO NF4267'!$E$3:$FQ$75,MATCH(B2330,'DISTRIBUIÇÃO NF4267'!$E$3:$FQ$3,0)+1,0)</f>
        <v>0</v>
      </c>
      <c r="F2330" s="28">
        <f t="shared" si="115"/>
        <v>3</v>
      </c>
    </row>
    <row r="2331" spans="1:6" x14ac:dyDescent="0.35">
      <c r="A2331">
        <f t="shared" si="116"/>
        <v>0</v>
      </c>
      <c r="B2331">
        <f t="shared" si="117"/>
        <v>50</v>
      </c>
      <c r="C2331" s="8" t="s">
        <v>108</v>
      </c>
      <c r="D2331" s="18">
        <f>VLOOKUP(C2331,'DISTRIBUIÇÃO NF4267'!$E$3:$FQ$75,MATCH(B2331,'DISTRIBUIÇÃO NF4267'!$E$3:$FQ$3,0)+1,0)</f>
        <v>2</v>
      </c>
      <c r="F2331" s="28">
        <f t="shared" si="115"/>
        <v>3</v>
      </c>
    </row>
    <row r="2332" spans="1:6" x14ac:dyDescent="0.35">
      <c r="A2332">
        <f t="shared" si="116"/>
        <v>0</v>
      </c>
      <c r="B2332">
        <f t="shared" si="117"/>
        <v>50</v>
      </c>
      <c r="C2332" s="8" t="s">
        <v>109</v>
      </c>
      <c r="D2332" s="18">
        <f>VLOOKUP(C2332,'DISTRIBUIÇÃO NF4267'!$E$3:$FQ$75,MATCH(B2332,'DISTRIBUIÇÃO NF4267'!$E$3:$FQ$3,0)+1,0)</f>
        <v>4</v>
      </c>
      <c r="F2332" s="28">
        <f t="shared" si="115"/>
        <v>3</v>
      </c>
    </row>
    <row r="2333" spans="1:6" x14ac:dyDescent="0.35">
      <c r="A2333">
        <f t="shared" si="116"/>
        <v>0</v>
      </c>
      <c r="B2333">
        <f t="shared" si="117"/>
        <v>50</v>
      </c>
      <c r="C2333" s="8" t="s">
        <v>110</v>
      </c>
      <c r="D2333" s="18">
        <f>VLOOKUP(C2333,'DISTRIBUIÇÃO NF4267'!$E$3:$FQ$75,MATCH(B2333,'DISTRIBUIÇÃO NF4267'!$E$3:$FQ$3,0)+1,0)</f>
        <v>2</v>
      </c>
      <c r="F2333" s="28">
        <f t="shared" si="115"/>
        <v>3</v>
      </c>
    </row>
    <row r="2334" spans="1:6" x14ac:dyDescent="0.35">
      <c r="A2334">
        <f t="shared" si="116"/>
        <v>0</v>
      </c>
      <c r="B2334">
        <f t="shared" si="117"/>
        <v>50</v>
      </c>
      <c r="C2334" s="8" t="s">
        <v>111</v>
      </c>
      <c r="D2334" s="18">
        <f>VLOOKUP(C2334,'DISTRIBUIÇÃO NF4267'!$E$3:$FQ$75,MATCH(B2334,'DISTRIBUIÇÃO NF4267'!$E$3:$FQ$3,0)+1,0)</f>
        <v>2</v>
      </c>
      <c r="F2334" s="28">
        <f t="shared" si="115"/>
        <v>3</v>
      </c>
    </row>
    <row r="2335" spans="1:6" x14ac:dyDescent="0.35">
      <c r="A2335">
        <f t="shared" si="116"/>
        <v>0</v>
      </c>
      <c r="B2335">
        <f t="shared" si="117"/>
        <v>50</v>
      </c>
      <c r="C2335" s="8" t="s">
        <v>112</v>
      </c>
      <c r="D2335" s="18">
        <f>VLOOKUP(C2335,'DISTRIBUIÇÃO NF4267'!$E$3:$FQ$75,MATCH(B2335,'DISTRIBUIÇÃO NF4267'!$E$3:$FQ$3,0)+1,0)</f>
        <v>0</v>
      </c>
      <c r="F2335" s="28">
        <f t="shared" si="115"/>
        <v>3</v>
      </c>
    </row>
    <row r="2336" spans="1:6" x14ac:dyDescent="0.35">
      <c r="A2336">
        <f t="shared" si="116"/>
        <v>0</v>
      </c>
      <c r="B2336">
        <f t="shared" si="117"/>
        <v>50</v>
      </c>
      <c r="C2336" s="9" t="s">
        <v>113</v>
      </c>
      <c r="D2336" s="18">
        <f>VLOOKUP(C2336,'DISTRIBUIÇÃO NF4267'!$E$3:$FQ$75,MATCH(B2336,'DISTRIBUIÇÃO NF4267'!$E$3:$FQ$3,0)+1,0)</f>
        <v>0</v>
      </c>
      <c r="F2336" s="28">
        <f t="shared" si="115"/>
        <v>3</v>
      </c>
    </row>
    <row r="2337" spans="1:6" x14ac:dyDescent="0.35">
      <c r="A2337">
        <f t="shared" si="116"/>
        <v>0</v>
      </c>
      <c r="B2337">
        <f t="shared" si="117"/>
        <v>50</v>
      </c>
      <c r="C2337" s="9" t="s">
        <v>114</v>
      </c>
      <c r="D2337" s="18">
        <f>VLOOKUP(C2337,'DISTRIBUIÇÃO NF4267'!$E$3:$FQ$75,MATCH(B2337,'DISTRIBUIÇÃO NF4267'!$E$3:$FQ$3,0)+1,0)</f>
        <v>3</v>
      </c>
      <c r="F2337" s="28">
        <f t="shared" si="115"/>
        <v>3</v>
      </c>
    </row>
    <row r="2338" spans="1:6" x14ac:dyDescent="0.35">
      <c r="A2338">
        <f t="shared" si="116"/>
        <v>0</v>
      </c>
      <c r="B2338">
        <f t="shared" si="117"/>
        <v>50</v>
      </c>
      <c r="C2338" s="9" t="s">
        <v>115</v>
      </c>
      <c r="D2338" s="18">
        <f>VLOOKUP(C2338,'DISTRIBUIÇÃO NF4267'!$E$3:$FQ$75,MATCH(B2338,'DISTRIBUIÇÃO NF4267'!$E$3:$FQ$3,0)+1,0)</f>
        <v>4</v>
      </c>
      <c r="F2338" s="28">
        <f t="shared" si="115"/>
        <v>3</v>
      </c>
    </row>
    <row r="2339" spans="1:6" x14ac:dyDescent="0.35">
      <c r="A2339">
        <f t="shared" si="116"/>
        <v>0</v>
      </c>
      <c r="B2339">
        <f t="shared" si="117"/>
        <v>50</v>
      </c>
      <c r="C2339" s="9" t="s">
        <v>116</v>
      </c>
      <c r="D2339" s="18">
        <f>VLOOKUP(C2339,'DISTRIBUIÇÃO NF4267'!$E$3:$FQ$75,MATCH(B2339,'DISTRIBUIÇÃO NF4267'!$E$3:$FQ$3,0)+1,0)</f>
        <v>2</v>
      </c>
      <c r="F2339" s="28">
        <f t="shared" si="115"/>
        <v>3</v>
      </c>
    </row>
    <row r="2340" spans="1:6" x14ac:dyDescent="0.35">
      <c r="A2340">
        <f t="shared" si="116"/>
        <v>0</v>
      </c>
      <c r="B2340">
        <f t="shared" si="117"/>
        <v>50</v>
      </c>
      <c r="C2340" s="9" t="s">
        <v>117</v>
      </c>
      <c r="D2340" s="18">
        <f>VLOOKUP(C2340,'DISTRIBUIÇÃO NF4267'!$E$3:$FQ$75,MATCH(B2340,'DISTRIBUIÇÃO NF4267'!$E$3:$FQ$3,0)+1,0)</f>
        <v>1</v>
      </c>
      <c r="F2340" s="28">
        <f t="shared" si="115"/>
        <v>3</v>
      </c>
    </row>
    <row r="2341" spans="1:6" x14ac:dyDescent="0.35">
      <c r="A2341">
        <f t="shared" si="116"/>
        <v>0</v>
      </c>
      <c r="B2341">
        <f t="shared" si="117"/>
        <v>50</v>
      </c>
      <c r="C2341" s="9" t="s">
        <v>118</v>
      </c>
      <c r="D2341" s="18">
        <f>VLOOKUP(C2341,'DISTRIBUIÇÃO NF4267'!$E$3:$FQ$75,MATCH(B2341,'DISTRIBUIÇÃO NF4267'!$E$3:$FQ$3,0)+1,0)</f>
        <v>0</v>
      </c>
      <c r="F2341" s="28">
        <f t="shared" si="115"/>
        <v>3</v>
      </c>
    </row>
    <row r="2342" spans="1:6" x14ac:dyDescent="0.35">
      <c r="A2342">
        <f t="shared" si="116"/>
        <v>0</v>
      </c>
      <c r="B2342">
        <f t="shared" si="117"/>
        <v>50</v>
      </c>
      <c r="C2342" s="10" t="s">
        <v>119</v>
      </c>
      <c r="D2342" s="18">
        <f>VLOOKUP(C2342,'DISTRIBUIÇÃO NF4267'!$E$3:$FQ$75,MATCH(B2342,'DISTRIBUIÇÃO NF4267'!$E$3:$FQ$3,0)+1,0)</f>
        <v>0</v>
      </c>
      <c r="F2342" s="28">
        <f t="shared" si="115"/>
        <v>3</v>
      </c>
    </row>
    <row r="2343" spans="1:6" x14ac:dyDescent="0.35">
      <c r="A2343">
        <f t="shared" si="116"/>
        <v>0</v>
      </c>
      <c r="B2343">
        <f t="shared" si="117"/>
        <v>50</v>
      </c>
      <c r="C2343" s="10" t="s">
        <v>120</v>
      </c>
      <c r="D2343" s="18">
        <f>VLOOKUP(C2343,'DISTRIBUIÇÃO NF4267'!$E$3:$FQ$75,MATCH(B2343,'DISTRIBUIÇÃO NF4267'!$E$3:$FQ$3,0)+1,0)</f>
        <v>48</v>
      </c>
      <c r="F2343" s="28">
        <f t="shared" si="115"/>
        <v>3</v>
      </c>
    </row>
    <row r="2344" spans="1:6" x14ac:dyDescent="0.35">
      <c r="A2344">
        <f t="shared" si="116"/>
        <v>0</v>
      </c>
      <c r="B2344">
        <f t="shared" si="117"/>
        <v>50</v>
      </c>
      <c r="C2344" s="10" t="s">
        <v>121</v>
      </c>
      <c r="D2344" s="18">
        <f>VLOOKUP(C2344,'DISTRIBUIÇÃO NF4267'!$E$3:$FQ$75,MATCH(B2344,'DISTRIBUIÇÃO NF4267'!$E$3:$FQ$3,0)+1,0)</f>
        <v>16</v>
      </c>
      <c r="F2344" s="28">
        <f t="shared" si="115"/>
        <v>3</v>
      </c>
    </row>
    <row r="2345" spans="1:6" x14ac:dyDescent="0.35">
      <c r="A2345">
        <f t="shared" si="116"/>
        <v>0</v>
      </c>
      <c r="B2345">
        <f t="shared" si="117"/>
        <v>50</v>
      </c>
      <c r="C2345" s="10" t="s">
        <v>122</v>
      </c>
      <c r="D2345" s="18">
        <f>VLOOKUP(C2345,'DISTRIBUIÇÃO NF4267'!$E$3:$FQ$75,MATCH(B2345,'DISTRIBUIÇÃO NF4267'!$E$3:$FQ$3,0)+1,0)</f>
        <v>16</v>
      </c>
      <c r="F2345" s="28">
        <f t="shared" si="115"/>
        <v>3</v>
      </c>
    </row>
    <row r="2346" spans="1:6" x14ac:dyDescent="0.35">
      <c r="A2346">
        <f t="shared" si="116"/>
        <v>0</v>
      </c>
      <c r="B2346">
        <f t="shared" si="117"/>
        <v>50</v>
      </c>
      <c r="C2346" s="10" t="s">
        <v>123</v>
      </c>
      <c r="D2346" s="18">
        <f>VLOOKUP(C2346,'DISTRIBUIÇÃO NF4267'!$E$3:$FQ$75,MATCH(B2346,'DISTRIBUIÇÃO NF4267'!$E$3:$FQ$3,0)+1,0)</f>
        <v>0</v>
      </c>
      <c r="F2346" s="28">
        <f t="shared" si="115"/>
        <v>3</v>
      </c>
    </row>
    <row r="2347" spans="1:6" x14ac:dyDescent="0.35">
      <c r="A2347">
        <f t="shared" si="116"/>
        <v>0</v>
      </c>
      <c r="B2347">
        <f t="shared" si="117"/>
        <v>50</v>
      </c>
      <c r="C2347" s="10" t="s">
        <v>124</v>
      </c>
      <c r="D2347" s="18">
        <f>VLOOKUP(C2347,'DISTRIBUIÇÃO NF4267'!$E$3:$FQ$75,MATCH(B2347,'DISTRIBUIÇÃO NF4267'!$E$3:$FQ$3,0)+1,0)</f>
        <v>0</v>
      </c>
      <c r="F2347" s="28">
        <f t="shared" si="115"/>
        <v>3</v>
      </c>
    </row>
    <row r="2348" spans="1:6" x14ac:dyDescent="0.35">
      <c r="A2348">
        <f t="shared" si="116"/>
        <v>0</v>
      </c>
      <c r="B2348">
        <f t="shared" si="117"/>
        <v>50</v>
      </c>
      <c r="C2348" s="11" t="s">
        <v>16</v>
      </c>
      <c r="D2348" s="18">
        <f>VLOOKUP(C2348,'DISTRIBUIÇÃO NF4267'!$E$3:$FQ$75,MATCH(B2348,'DISTRIBUIÇÃO NF4267'!$E$3:$FQ$3,0)+1,0)</f>
        <v>0</v>
      </c>
      <c r="F2348" s="28">
        <f t="shared" si="115"/>
        <v>3</v>
      </c>
    </row>
    <row r="2349" spans="1:6" x14ac:dyDescent="0.35">
      <c r="A2349">
        <f t="shared" si="116"/>
        <v>0</v>
      </c>
      <c r="B2349">
        <f t="shared" si="117"/>
        <v>50</v>
      </c>
      <c r="C2349" s="11" t="s">
        <v>17</v>
      </c>
      <c r="D2349" s="18">
        <f>VLOOKUP(C2349,'DISTRIBUIÇÃO NF4267'!$E$3:$FQ$75,MATCH(B2349,'DISTRIBUIÇÃO NF4267'!$E$3:$FQ$3,0)+1,0)</f>
        <v>9</v>
      </c>
      <c r="F2349" s="28">
        <f t="shared" si="115"/>
        <v>3</v>
      </c>
    </row>
    <row r="2350" spans="1:6" x14ac:dyDescent="0.35">
      <c r="A2350">
        <f t="shared" si="116"/>
        <v>0</v>
      </c>
      <c r="B2350">
        <f t="shared" si="117"/>
        <v>50</v>
      </c>
      <c r="C2350" s="11" t="s">
        <v>18</v>
      </c>
      <c r="D2350" s="18">
        <f>VLOOKUP(C2350,'DISTRIBUIÇÃO NF4267'!$E$3:$FQ$75,MATCH(B2350,'DISTRIBUIÇÃO NF4267'!$E$3:$FQ$3,0)+1,0)</f>
        <v>3</v>
      </c>
      <c r="F2350" s="28">
        <f t="shared" si="115"/>
        <v>3</v>
      </c>
    </row>
    <row r="2351" spans="1:6" x14ac:dyDescent="0.35">
      <c r="A2351">
        <f t="shared" si="116"/>
        <v>0</v>
      </c>
      <c r="B2351">
        <f t="shared" si="117"/>
        <v>50</v>
      </c>
      <c r="C2351" s="11" t="s">
        <v>19</v>
      </c>
      <c r="D2351" s="18">
        <f>VLOOKUP(C2351,'DISTRIBUIÇÃO NF4267'!$E$3:$FQ$75,MATCH(B2351,'DISTRIBUIÇÃO NF4267'!$E$3:$FQ$3,0)+1,0)</f>
        <v>3</v>
      </c>
      <c r="F2351" s="28">
        <f t="shared" si="115"/>
        <v>3</v>
      </c>
    </row>
    <row r="2352" spans="1:6" x14ac:dyDescent="0.35">
      <c r="A2352">
        <f t="shared" si="116"/>
        <v>0</v>
      </c>
      <c r="B2352">
        <f t="shared" si="117"/>
        <v>50</v>
      </c>
      <c r="C2352" s="11" t="s">
        <v>20</v>
      </c>
      <c r="D2352" s="18">
        <f>VLOOKUP(C2352,'DISTRIBUIÇÃO NF4267'!$E$3:$FQ$75,MATCH(B2352,'DISTRIBUIÇÃO NF4267'!$E$3:$FQ$3,0)+1,0)</f>
        <v>15</v>
      </c>
      <c r="F2352" s="28">
        <f t="shared" si="115"/>
        <v>3</v>
      </c>
    </row>
    <row r="2353" spans="1:6" x14ac:dyDescent="0.35">
      <c r="A2353">
        <f t="shared" si="116"/>
        <v>0</v>
      </c>
      <c r="B2353">
        <f t="shared" si="117"/>
        <v>50</v>
      </c>
      <c r="C2353" s="11" t="s">
        <v>21</v>
      </c>
      <c r="D2353" s="18">
        <f>VLOOKUP(C2353,'DISTRIBUIÇÃO NF4267'!$E$3:$FQ$75,MATCH(B2353,'DISTRIBUIÇÃO NF4267'!$E$3:$FQ$3,0)+1,0)</f>
        <v>0</v>
      </c>
      <c r="F2353" s="28">
        <f t="shared" si="115"/>
        <v>3</v>
      </c>
    </row>
    <row r="2354" spans="1:6" x14ac:dyDescent="0.35">
      <c r="A2354">
        <f t="shared" si="116"/>
        <v>0</v>
      </c>
      <c r="B2354">
        <f t="shared" si="117"/>
        <v>50</v>
      </c>
      <c r="C2354" s="12" t="s">
        <v>130</v>
      </c>
      <c r="D2354" s="18">
        <f>VLOOKUP(C2354,'DISTRIBUIÇÃO NF4267'!$E$3:$FQ$75,MATCH(B2354,'DISTRIBUIÇÃO NF4267'!$E$3:$FQ$3,0)+1,0)</f>
        <v>0</v>
      </c>
      <c r="F2354" s="28">
        <f t="shared" si="115"/>
        <v>3</v>
      </c>
    </row>
    <row r="2355" spans="1:6" x14ac:dyDescent="0.35">
      <c r="A2355">
        <f t="shared" si="116"/>
        <v>0</v>
      </c>
      <c r="B2355">
        <f t="shared" si="117"/>
        <v>50</v>
      </c>
      <c r="C2355" s="12" t="s">
        <v>131</v>
      </c>
      <c r="D2355" s="18">
        <f>VLOOKUP(C2355,'DISTRIBUIÇÃO NF4267'!$E$3:$FQ$75,MATCH(B2355,'DISTRIBUIÇÃO NF4267'!$E$3:$FQ$3,0)+1,0)</f>
        <v>0</v>
      </c>
      <c r="F2355" s="28">
        <f t="shared" si="115"/>
        <v>3</v>
      </c>
    </row>
    <row r="2356" spans="1:6" x14ac:dyDescent="0.35">
      <c r="A2356">
        <f t="shared" si="116"/>
        <v>0</v>
      </c>
      <c r="B2356">
        <f t="shared" si="117"/>
        <v>50</v>
      </c>
      <c r="C2356" s="12" t="s">
        <v>132</v>
      </c>
      <c r="D2356" s="18">
        <f>VLOOKUP(C2356,'DISTRIBUIÇÃO NF4267'!$E$3:$FQ$75,MATCH(B2356,'DISTRIBUIÇÃO NF4267'!$E$3:$FQ$3,0)+1,0)</f>
        <v>0</v>
      </c>
      <c r="F2356" s="28">
        <f t="shared" si="115"/>
        <v>3</v>
      </c>
    </row>
    <row r="2357" spans="1:6" x14ac:dyDescent="0.35">
      <c r="A2357">
        <f t="shared" si="116"/>
        <v>0</v>
      </c>
      <c r="B2357">
        <f t="shared" si="117"/>
        <v>50</v>
      </c>
      <c r="C2357" s="12" t="s">
        <v>133</v>
      </c>
      <c r="D2357" s="18">
        <f>VLOOKUP(C2357,'DISTRIBUIÇÃO NF4267'!$E$3:$FQ$75,MATCH(B2357,'DISTRIBUIÇÃO NF4267'!$E$3:$FQ$3,0)+1,0)</f>
        <v>0</v>
      </c>
      <c r="F2357" s="28">
        <f t="shared" si="115"/>
        <v>3</v>
      </c>
    </row>
    <row r="2358" spans="1:6" x14ac:dyDescent="0.35">
      <c r="A2358">
        <f t="shared" si="116"/>
        <v>0</v>
      </c>
      <c r="B2358">
        <f t="shared" si="117"/>
        <v>50</v>
      </c>
      <c r="C2358" s="12" t="s">
        <v>134</v>
      </c>
      <c r="D2358" s="18">
        <f>VLOOKUP(C2358,'DISTRIBUIÇÃO NF4267'!$E$3:$FQ$75,MATCH(B2358,'DISTRIBUIÇÃO NF4267'!$E$3:$FQ$3,0)+1,0)</f>
        <v>0</v>
      </c>
      <c r="F2358" s="28">
        <f t="shared" si="115"/>
        <v>3</v>
      </c>
    </row>
    <row r="2359" spans="1:6" x14ac:dyDescent="0.35">
      <c r="A2359">
        <f t="shared" si="116"/>
        <v>0</v>
      </c>
      <c r="B2359">
        <f t="shared" si="117"/>
        <v>50</v>
      </c>
      <c r="C2359" s="12" t="s">
        <v>135</v>
      </c>
      <c r="D2359" s="18">
        <f>VLOOKUP(C2359,'DISTRIBUIÇÃO NF4267'!$E$3:$FQ$75,MATCH(B2359,'DISTRIBUIÇÃO NF4267'!$E$3:$FQ$3,0)+1,0)</f>
        <v>0</v>
      </c>
      <c r="F2359" s="28">
        <f t="shared" si="115"/>
        <v>3</v>
      </c>
    </row>
    <row r="2360" spans="1:6" x14ac:dyDescent="0.35">
      <c r="A2360">
        <f t="shared" si="116"/>
        <v>0</v>
      </c>
      <c r="B2360">
        <f t="shared" si="117"/>
        <v>50</v>
      </c>
      <c r="C2360" s="13" t="s">
        <v>22</v>
      </c>
      <c r="D2360" s="18">
        <f>VLOOKUP(C2360,'DISTRIBUIÇÃO NF4267'!$E$3:$FQ$75,MATCH(B2360,'DISTRIBUIÇÃO NF4267'!$E$3:$FQ$3,0)+1,0)</f>
        <v>0</v>
      </c>
      <c r="F2360" s="28">
        <f t="shared" ref="F2360:F2423" si="118">ROUNDUP(SUMIFS(D:D,B:B,B2360)/80,0)</f>
        <v>3</v>
      </c>
    </row>
    <row r="2361" spans="1:6" x14ac:dyDescent="0.35">
      <c r="A2361">
        <f t="shared" si="116"/>
        <v>0</v>
      </c>
      <c r="B2361">
        <f t="shared" si="117"/>
        <v>50</v>
      </c>
      <c r="C2361" s="13" t="s">
        <v>23</v>
      </c>
      <c r="D2361" s="18">
        <f>VLOOKUP(C2361,'DISTRIBUIÇÃO NF4267'!$E$3:$FQ$75,MATCH(B2361,'DISTRIBUIÇÃO NF4267'!$E$3:$FQ$3,0)+1,0)</f>
        <v>0</v>
      </c>
      <c r="F2361" s="28">
        <f t="shared" si="118"/>
        <v>3</v>
      </c>
    </row>
    <row r="2362" spans="1:6" x14ac:dyDescent="0.35">
      <c r="A2362">
        <f t="shared" si="116"/>
        <v>0</v>
      </c>
      <c r="B2362">
        <f t="shared" si="117"/>
        <v>50</v>
      </c>
      <c r="C2362" s="13" t="s">
        <v>24</v>
      </c>
      <c r="D2362" s="18">
        <f>VLOOKUP(C2362,'DISTRIBUIÇÃO NF4267'!$E$3:$FQ$75,MATCH(B2362,'DISTRIBUIÇÃO NF4267'!$E$3:$FQ$3,0)+1,0)</f>
        <v>0</v>
      </c>
      <c r="F2362" s="28">
        <f t="shared" si="118"/>
        <v>3</v>
      </c>
    </row>
    <row r="2363" spans="1:6" x14ac:dyDescent="0.35">
      <c r="A2363">
        <f t="shared" si="116"/>
        <v>0</v>
      </c>
      <c r="B2363">
        <f t="shared" si="117"/>
        <v>50</v>
      </c>
      <c r="C2363" s="13" t="s">
        <v>25</v>
      </c>
      <c r="D2363" s="18">
        <f>VLOOKUP(C2363,'DISTRIBUIÇÃO NF4267'!$E$3:$FQ$75,MATCH(B2363,'DISTRIBUIÇÃO NF4267'!$E$3:$FQ$3,0)+1,0)</f>
        <v>0</v>
      </c>
      <c r="F2363" s="28">
        <f t="shared" si="118"/>
        <v>3</v>
      </c>
    </row>
    <row r="2364" spans="1:6" x14ac:dyDescent="0.35">
      <c r="A2364">
        <f t="shared" si="116"/>
        <v>0</v>
      </c>
      <c r="B2364">
        <f t="shared" si="117"/>
        <v>50</v>
      </c>
      <c r="C2364" s="13" t="s">
        <v>26</v>
      </c>
      <c r="D2364" s="18">
        <f>VLOOKUP(C2364,'DISTRIBUIÇÃO NF4267'!$E$3:$FQ$75,MATCH(B2364,'DISTRIBUIÇÃO NF4267'!$E$3:$FQ$3,0)+1,0)</f>
        <v>0</v>
      </c>
      <c r="F2364" s="28">
        <f t="shared" si="118"/>
        <v>3</v>
      </c>
    </row>
    <row r="2365" spans="1:6" x14ac:dyDescent="0.35">
      <c r="A2365">
        <f t="shared" si="116"/>
        <v>0</v>
      </c>
      <c r="B2365">
        <f t="shared" si="117"/>
        <v>50</v>
      </c>
      <c r="C2365" s="13" t="s">
        <v>27</v>
      </c>
      <c r="D2365" s="18">
        <f>VLOOKUP(C2365,'DISTRIBUIÇÃO NF4267'!$E$3:$FQ$75,MATCH(B2365,'DISTRIBUIÇÃO NF4267'!$E$3:$FQ$3,0)+1,0)</f>
        <v>0</v>
      </c>
      <c r="F2365" s="28">
        <f t="shared" si="118"/>
        <v>3</v>
      </c>
    </row>
    <row r="2366" spans="1:6" x14ac:dyDescent="0.35">
      <c r="A2366">
        <f t="shared" si="116"/>
        <v>0</v>
      </c>
      <c r="B2366">
        <f t="shared" si="117"/>
        <v>50</v>
      </c>
      <c r="C2366" s="14" t="s">
        <v>138</v>
      </c>
      <c r="D2366" s="18">
        <f>VLOOKUP(C2366,'DISTRIBUIÇÃO NF4267'!$E$3:$FQ$75,MATCH(B2366,'DISTRIBUIÇÃO NF4267'!$E$3:$FQ$3,0)+1,0)</f>
        <v>0</v>
      </c>
      <c r="F2366" s="28">
        <f t="shared" si="118"/>
        <v>3</v>
      </c>
    </row>
    <row r="2367" spans="1:6" x14ac:dyDescent="0.35">
      <c r="A2367">
        <f t="shared" si="116"/>
        <v>0</v>
      </c>
      <c r="B2367">
        <f t="shared" si="117"/>
        <v>50</v>
      </c>
      <c r="C2367" s="14" t="s">
        <v>139</v>
      </c>
      <c r="D2367" s="18">
        <f>VLOOKUP(C2367,'DISTRIBUIÇÃO NF4267'!$E$3:$FQ$75,MATCH(B2367,'DISTRIBUIÇÃO NF4267'!$E$3:$FQ$3,0)+1,0)</f>
        <v>2</v>
      </c>
      <c r="F2367" s="28">
        <f t="shared" si="118"/>
        <v>3</v>
      </c>
    </row>
    <row r="2368" spans="1:6" x14ac:dyDescent="0.35">
      <c r="A2368">
        <f t="shared" si="116"/>
        <v>0</v>
      </c>
      <c r="B2368">
        <f t="shared" si="117"/>
        <v>50</v>
      </c>
      <c r="C2368" s="14" t="s">
        <v>140</v>
      </c>
      <c r="D2368" s="18">
        <f>VLOOKUP(C2368,'DISTRIBUIÇÃO NF4267'!$E$3:$FQ$75,MATCH(B2368,'DISTRIBUIÇÃO NF4267'!$E$3:$FQ$3,0)+1,0)</f>
        <v>4</v>
      </c>
      <c r="F2368" s="28">
        <f t="shared" si="118"/>
        <v>3</v>
      </c>
    </row>
    <row r="2369" spans="1:6" x14ac:dyDescent="0.35">
      <c r="A2369">
        <f t="shared" si="116"/>
        <v>0</v>
      </c>
      <c r="B2369">
        <f t="shared" si="117"/>
        <v>50</v>
      </c>
      <c r="C2369" s="14" t="s">
        <v>141</v>
      </c>
      <c r="D2369" s="18">
        <f>VLOOKUP(C2369,'DISTRIBUIÇÃO NF4267'!$E$3:$FQ$75,MATCH(B2369,'DISTRIBUIÇÃO NF4267'!$E$3:$FQ$3,0)+1,0)</f>
        <v>2</v>
      </c>
      <c r="F2369" s="28">
        <f t="shared" si="118"/>
        <v>3</v>
      </c>
    </row>
    <row r="2370" spans="1:6" x14ac:dyDescent="0.35">
      <c r="A2370">
        <f t="shared" ref="A2370:A2433" si="119">IF(ISERROR(VLOOKUP(C2370,I:I,1,0)),0,1)</f>
        <v>0</v>
      </c>
      <c r="B2370">
        <f t="shared" si="117"/>
        <v>50</v>
      </c>
      <c r="C2370" s="14" t="s">
        <v>142</v>
      </c>
      <c r="D2370" s="18">
        <f>VLOOKUP(C2370,'DISTRIBUIÇÃO NF4267'!$E$3:$FQ$75,MATCH(B2370,'DISTRIBUIÇÃO NF4267'!$E$3:$FQ$3,0)+1,0)</f>
        <v>2</v>
      </c>
      <c r="F2370" s="28">
        <f t="shared" si="118"/>
        <v>3</v>
      </c>
    </row>
    <row r="2371" spans="1:6" x14ac:dyDescent="0.35">
      <c r="A2371">
        <f t="shared" si="119"/>
        <v>0</v>
      </c>
      <c r="B2371">
        <f t="shared" si="117"/>
        <v>50</v>
      </c>
      <c r="C2371" s="14" t="s">
        <v>143</v>
      </c>
      <c r="D2371" s="18">
        <f>VLOOKUP(C2371,'DISTRIBUIÇÃO NF4267'!$E$3:$FQ$75,MATCH(B2371,'DISTRIBUIÇÃO NF4267'!$E$3:$FQ$3,0)+1,0)</f>
        <v>0</v>
      </c>
      <c r="F2371" s="28">
        <f t="shared" si="118"/>
        <v>3</v>
      </c>
    </row>
    <row r="2372" spans="1:6" x14ac:dyDescent="0.35">
      <c r="A2372">
        <f t="shared" si="119"/>
        <v>0</v>
      </c>
      <c r="B2372">
        <f t="shared" si="117"/>
        <v>50</v>
      </c>
      <c r="C2372" s="15" t="s">
        <v>145</v>
      </c>
      <c r="D2372" s="18">
        <f>VLOOKUP(C2372,'DISTRIBUIÇÃO NF4267'!$E$3:$FQ$75,MATCH(B2372,'DISTRIBUIÇÃO NF4267'!$E$3:$FQ$3,0)+1,0)</f>
        <v>0</v>
      </c>
      <c r="F2372" s="28">
        <f t="shared" si="118"/>
        <v>3</v>
      </c>
    </row>
    <row r="2373" spans="1:6" x14ac:dyDescent="0.35">
      <c r="A2373">
        <f t="shared" si="119"/>
        <v>0</v>
      </c>
      <c r="B2373">
        <f t="shared" si="117"/>
        <v>50</v>
      </c>
      <c r="C2373" s="15" t="s">
        <v>146</v>
      </c>
      <c r="D2373" s="18">
        <f>VLOOKUP(C2373,'DISTRIBUIÇÃO NF4267'!$E$3:$FQ$75,MATCH(B2373,'DISTRIBUIÇÃO NF4267'!$E$3:$FQ$3,0)+1,0)</f>
        <v>2</v>
      </c>
      <c r="F2373" s="28">
        <f t="shared" si="118"/>
        <v>3</v>
      </c>
    </row>
    <row r="2374" spans="1:6" x14ac:dyDescent="0.35">
      <c r="A2374">
        <f t="shared" si="119"/>
        <v>0</v>
      </c>
      <c r="B2374">
        <f t="shared" si="117"/>
        <v>50</v>
      </c>
      <c r="C2374" s="15" t="s">
        <v>147</v>
      </c>
      <c r="D2374" s="18">
        <f>VLOOKUP(C2374,'DISTRIBUIÇÃO NF4267'!$E$3:$FQ$75,MATCH(B2374,'DISTRIBUIÇÃO NF4267'!$E$3:$FQ$3,0)+1,0)</f>
        <v>4</v>
      </c>
      <c r="F2374" s="28">
        <f t="shared" si="118"/>
        <v>3</v>
      </c>
    </row>
    <row r="2375" spans="1:6" x14ac:dyDescent="0.35">
      <c r="A2375">
        <f t="shared" si="119"/>
        <v>0</v>
      </c>
      <c r="B2375">
        <f t="shared" si="117"/>
        <v>50</v>
      </c>
      <c r="C2375" s="15" t="s">
        <v>148</v>
      </c>
      <c r="D2375" s="18">
        <f>VLOOKUP(C2375,'DISTRIBUIÇÃO NF4267'!$E$3:$FQ$75,MATCH(B2375,'DISTRIBUIÇÃO NF4267'!$E$3:$FQ$3,0)+1,0)</f>
        <v>2</v>
      </c>
      <c r="F2375" s="28">
        <f t="shared" si="118"/>
        <v>3</v>
      </c>
    </row>
    <row r="2376" spans="1:6" x14ac:dyDescent="0.35">
      <c r="A2376">
        <f t="shared" si="119"/>
        <v>0</v>
      </c>
      <c r="B2376">
        <f t="shared" si="117"/>
        <v>50</v>
      </c>
      <c r="C2376" s="15" t="s">
        <v>149</v>
      </c>
      <c r="D2376" s="18">
        <f>VLOOKUP(C2376,'DISTRIBUIÇÃO NF4267'!$E$3:$FQ$75,MATCH(B2376,'DISTRIBUIÇÃO NF4267'!$E$3:$FQ$3,0)+1,0)</f>
        <v>2</v>
      </c>
      <c r="F2376" s="28">
        <f t="shared" si="118"/>
        <v>3</v>
      </c>
    </row>
    <row r="2377" spans="1:6" x14ac:dyDescent="0.35">
      <c r="A2377">
        <f t="shared" si="119"/>
        <v>0</v>
      </c>
      <c r="B2377">
        <f t="shared" si="117"/>
        <v>50</v>
      </c>
      <c r="C2377" s="15" t="s">
        <v>150</v>
      </c>
      <c r="D2377" s="18">
        <f>VLOOKUP(C2377,'DISTRIBUIÇÃO NF4267'!$E$3:$FQ$75,MATCH(B2377,'DISTRIBUIÇÃO NF4267'!$E$3:$FQ$3,0)+1,0)</f>
        <v>0</v>
      </c>
      <c r="F2377" s="28">
        <f t="shared" si="118"/>
        <v>3</v>
      </c>
    </row>
    <row r="2378" spans="1:6" x14ac:dyDescent="0.35">
      <c r="A2378">
        <f t="shared" si="119"/>
        <v>0</v>
      </c>
      <c r="B2378" t="s">
        <v>57</v>
      </c>
      <c r="C2378" s="7" t="s">
        <v>98</v>
      </c>
      <c r="D2378" s="18">
        <f>VLOOKUP(C2378,'DISTRIBUIÇÃO NF4267'!$E$3:$FQ$75,MATCH(B2378,'DISTRIBUIÇÃO NF4267'!$E$3:$FQ$3,0)+1,0)</f>
        <v>0</v>
      </c>
      <c r="F2378" s="28">
        <f t="shared" si="118"/>
        <v>3</v>
      </c>
    </row>
    <row r="2379" spans="1:6" x14ac:dyDescent="0.35">
      <c r="A2379">
        <f t="shared" si="119"/>
        <v>0</v>
      </c>
      <c r="B2379" t="str">
        <f>B2378</f>
        <v>DK</v>
      </c>
      <c r="C2379" s="7" t="s">
        <v>99</v>
      </c>
      <c r="D2379" s="18">
        <f>VLOOKUP(C2379,'DISTRIBUIÇÃO NF4267'!$E$3:$FQ$75,MATCH(B2379,'DISTRIBUIÇÃO NF4267'!$E$3:$FQ$3,0)+1,0)</f>
        <v>4</v>
      </c>
      <c r="F2379" s="28">
        <f t="shared" si="118"/>
        <v>3</v>
      </c>
    </row>
    <row r="2380" spans="1:6" x14ac:dyDescent="0.35">
      <c r="A2380">
        <f t="shared" si="119"/>
        <v>0</v>
      </c>
      <c r="B2380" t="str">
        <f t="shared" ref="B2380:B2431" si="120">B2379</f>
        <v>DK</v>
      </c>
      <c r="C2380" s="7" t="s">
        <v>100</v>
      </c>
      <c r="D2380" s="18">
        <f>VLOOKUP(C2380,'DISTRIBUIÇÃO NF4267'!$E$3:$FQ$75,MATCH(B2380,'DISTRIBUIÇÃO NF4267'!$E$3:$FQ$3,0)+1,0)</f>
        <v>8</v>
      </c>
      <c r="F2380" s="28">
        <f t="shared" si="118"/>
        <v>3</v>
      </c>
    </row>
    <row r="2381" spans="1:6" x14ac:dyDescent="0.35">
      <c r="A2381">
        <f t="shared" si="119"/>
        <v>0</v>
      </c>
      <c r="B2381" t="str">
        <f t="shared" si="120"/>
        <v>DK</v>
      </c>
      <c r="C2381" s="7" t="s">
        <v>101</v>
      </c>
      <c r="D2381" s="18">
        <f>VLOOKUP(C2381,'DISTRIBUIÇÃO NF4267'!$E$3:$FQ$75,MATCH(B2381,'DISTRIBUIÇÃO NF4267'!$E$3:$FQ$3,0)+1,0)</f>
        <v>4</v>
      </c>
      <c r="F2381" s="28">
        <f t="shared" si="118"/>
        <v>3</v>
      </c>
    </row>
    <row r="2382" spans="1:6" x14ac:dyDescent="0.35">
      <c r="A2382">
        <f t="shared" si="119"/>
        <v>0</v>
      </c>
      <c r="B2382" t="str">
        <f t="shared" si="120"/>
        <v>DK</v>
      </c>
      <c r="C2382" s="7" t="s">
        <v>102</v>
      </c>
      <c r="D2382" s="18">
        <f>VLOOKUP(C2382,'DISTRIBUIÇÃO NF4267'!$E$3:$FQ$75,MATCH(B2382,'DISTRIBUIÇÃO NF4267'!$E$3:$FQ$3,0)+1,0)</f>
        <v>4</v>
      </c>
      <c r="F2382" s="28">
        <f t="shared" si="118"/>
        <v>3</v>
      </c>
    </row>
    <row r="2383" spans="1:6" x14ac:dyDescent="0.35">
      <c r="A2383">
        <f t="shared" si="119"/>
        <v>0</v>
      </c>
      <c r="B2383" t="str">
        <f t="shared" si="120"/>
        <v>DK</v>
      </c>
      <c r="C2383" s="7" t="s">
        <v>103</v>
      </c>
      <c r="D2383" s="18">
        <f>VLOOKUP(C2383,'DISTRIBUIÇÃO NF4267'!$E$3:$FQ$75,MATCH(B2383,'DISTRIBUIÇÃO NF4267'!$E$3:$FQ$3,0)+1,0)</f>
        <v>0</v>
      </c>
      <c r="F2383" s="28">
        <f t="shared" si="118"/>
        <v>3</v>
      </c>
    </row>
    <row r="2384" spans="1:6" x14ac:dyDescent="0.35">
      <c r="A2384">
        <f t="shared" si="119"/>
        <v>0</v>
      </c>
      <c r="B2384" t="str">
        <f t="shared" si="120"/>
        <v>DK</v>
      </c>
      <c r="C2384" s="8" t="s">
        <v>107</v>
      </c>
      <c r="D2384" s="18">
        <f>VLOOKUP(C2384,'DISTRIBUIÇÃO NF4267'!$E$3:$FQ$75,MATCH(B2384,'DISTRIBUIÇÃO NF4267'!$E$3:$FQ$3,0)+1,0)</f>
        <v>0</v>
      </c>
      <c r="F2384" s="28">
        <f t="shared" si="118"/>
        <v>3</v>
      </c>
    </row>
    <row r="2385" spans="1:6" x14ac:dyDescent="0.35">
      <c r="A2385">
        <f t="shared" si="119"/>
        <v>0</v>
      </c>
      <c r="B2385" t="str">
        <f t="shared" si="120"/>
        <v>DK</v>
      </c>
      <c r="C2385" s="8" t="s">
        <v>108</v>
      </c>
      <c r="D2385" s="18">
        <f>VLOOKUP(C2385,'DISTRIBUIÇÃO NF4267'!$E$3:$FQ$75,MATCH(B2385,'DISTRIBUIÇÃO NF4267'!$E$3:$FQ$3,0)+1,0)</f>
        <v>2</v>
      </c>
      <c r="F2385" s="28">
        <f t="shared" si="118"/>
        <v>3</v>
      </c>
    </row>
    <row r="2386" spans="1:6" x14ac:dyDescent="0.35">
      <c r="A2386">
        <f t="shared" si="119"/>
        <v>0</v>
      </c>
      <c r="B2386" t="str">
        <f t="shared" si="120"/>
        <v>DK</v>
      </c>
      <c r="C2386" s="8" t="s">
        <v>109</v>
      </c>
      <c r="D2386" s="18">
        <f>VLOOKUP(C2386,'DISTRIBUIÇÃO NF4267'!$E$3:$FQ$75,MATCH(B2386,'DISTRIBUIÇÃO NF4267'!$E$3:$FQ$3,0)+1,0)</f>
        <v>4</v>
      </c>
      <c r="F2386" s="28">
        <f t="shared" si="118"/>
        <v>3</v>
      </c>
    </row>
    <row r="2387" spans="1:6" x14ac:dyDescent="0.35">
      <c r="A2387">
        <f t="shared" si="119"/>
        <v>0</v>
      </c>
      <c r="B2387" t="str">
        <f t="shared" si="120"/>
        <v>DK</v>
      </c>
      <c r="C2387" s="8" t="s">
        <v>110</v>
      </c>
      <c r="D2387" s="18">
        <f>VLOOKUP(C2387,'DISTRIBUIÇÃO NF4267'!$E$3:$FQ$75,MATCH(B2387,'DISTRIBUIÇÃO NF4267'!$E$3:$FQ$3,0)+1,0)</f>
        <v>2</v>
      </c>
      <c r="F2387" s="28">
        <f t="shared" si="118"/>
        <v>3</v>
      </c>
    </row>
    <row r="2388" spans="1:6" x14ac:dyDescent="0.35">
      <c r="A2388">
        <f t="shared" si="119"/>
        <v>0</v>
      </c>
      <c r="B2388" t="str">
        <f t="shared" si="120"/>
        <v>DK</v>
      </c>
      <c r="C2388" s="8" t="s">
        <v>111</v>
      </c>
      <c r="D2388" s="18">
        <f>VLOOKUP(C2388,'DISTRIBUIÇÃO NF4267'!$E$3:$FQ$75,MATCH(B2388,'DISTRIBUIÇÃO NF4267'!$E$3:$FQ$3,0)+1,0)</f>
        <v>2</v>
      </c>
      <c r="F2388" s="28">
        <f t="shared" si="118"/>
        <v>3</v>
      </c>
    </row>
    <row r="2389" spans="1:6" x14ac:dyDescent="0.35">
      <c r="A2389">
        <f t="shared" si="119"/>
        <v>0</v>
      </c>
      <c r="B2389" t="str">
        <f t="shared" si="120"/>
        <v>DK</v>
      </c>
      <c r="C2389" s="8" t="s">
        <v>112</v>
      </c>
      <c r="D2389" s="18">
        <f>VLOOKUP(C2389,'DISTRIBUIÇÃO NF4267'!$E$3:$FQ$75,MATCH(B2389,'DISTRIBUIÇÃO NF4267'!$E$3:$FQ$3,0)+1,0)</f>
        <v>0</v>
      </c>
      <c r="F2389" s="28">
        <f t="shared" si="118"/>
        <v>3</v>
      </c>
    </row>
    <row r="2390" spans="1:6" x14ac:dyDescent="0.35">
      <c r="A2390">
        <f t="shared" si="119"/>
        <v>0</v>
      </c>
      <c r="B2390" t="str">
        <f t="shared" si="120"/>
        <v>DK</v>
      </c>
      <c r="C2390" s="9" t="s">
        <v>113</v>
      </c>
      <c r="D2390" s="18">
        <f>VLOOKUP(C2390,'DISTRIBUIÇÃO NF4267'!$E$3:$FQ$75,MATCH(B2390,'DISTRIBUIÇÃO NF4267'!$E$3:$FQ$3,0)+1,0)</f>
        <v>0</v>
      </c>
      <c r="F2390" s="28">
        <f t="shared" si="118"/>
        <v>3</v>
      </c>
    </row>
    <row r="2391" spans="1:6" x14ac:dyDescent="0.35">
      <c r="A2391">
        <f t="shared" si="119"/>
        <v>0</v>
      </c>
      <c r="B2391" t="str">
        <f t="shared" si="120"/>
        <v>DK</v>
      </c>
      <c r="C2391" s="9" t="s">
        <v>114</v>
      </c>
      <c r="D2391" s="18">
        <f>VLOOKUP(C2391,'DISTRIBUIÇÃO NF4267'!$E$3:$FQ$75,MATCH(B2391,'DISTRIBUIÇÃO NF4267'!$E$3:$FQ$3,0)+1,0)</f>
        <v>3</v>
      </c>
      <c r="F2391" s="28">
        <f t="shared" si="118"/>
        <v>3</v>
      </c>
    </row>
    <row r="2392" spans="1:6" x14ac:dyDescent="0.35">
      <c r="A2392">
        <f t="shared" si="119"/>
        <v>0</v>
      </c>
      <c r="B2392" t="str">
        <f t="shared" si="120"/>
        <v>DK</v>
      </c>
      <c r="C2392" s="9" t="s">
        <v>115</v>
      </c>
      <c r="D2392" s="18">
        <f>VLOOKUP(C2392,'DISTRIBUIÇÃO NF4267'!$E$3:$FQ$75,MATCH(B2392,'DISTRIBUIÇÃO NF4267'!$E$3:$FQ$3,0)+1,0)</f>
        <v>4</v>
      </c>
      <c r="F2392" s="28">
        <f t="shared" si="118"/>
        <v>3</v>
      </c>
    </row>
    <row r="2393" spans="1:6" x14ac:dyDescent="0.35">
      <c r="A2393">
        <f t="shared" si="119"/>
        <v>0</v>
      </c>
      <c r="B2393" t="str">
        <f t="shared" si="120"/>
        <v>DK</v>
      </c>
      <c r="C2393" s="9" t="s">
        <v>116</v>
      </c>
      <c r="D2393" s="18">
        <f>VLOOKUP(C2393,'DISTRIBUIÇÃO NF4267'!$E$3:$FQ$75,MATCH(B2393,'DISTRIBUIÇÃO NF4267'!$E$3:$FQ$3,0)+1,0)</f>
        <v>2</v>
      </c>
      <c r="F2393" s="28">
        <f t="shared" si="118"/>
        <v>3</v>
      </c>
    </row>
    <row r="2394" spans="1:6" x14ac:dyDescent="0.35">
      <c r="A2394">
        <f t="shared" si="119"/>
        <v>0</v>
      </c>
      <c r="B2394" t="str">
        <f t="shared" si="120"/>
        <v>DK</v>
      </c>
      <c r="C2394" s="9" t="s">
        <v>117</v>
      </c>
      <c r="D2394" s="18">
        <f>VLOOKUP(C2394,'DISTRIBUIÇÃO NF4267'!$E$3:$FQ$75,MATCH(B2394,'DISTRIBUIÇÃO NF4267'!$E$3:$FQ$3,0)+1,0)</f>
        <v>1</v>
      </c>
      <c r="F2394" s="28">
        <f t="shared" si="118"/>
        <v>3</v>
      </c>
    </row>
    <row r="2395" spans="1:6" x14ac:dyDescent="0.35">
      <c r="A2395">
        <f t="shared" si="119"/>
        <v>0</v>
      </c>
      <c r="B2395" t="str">
        <f t="shared" si="120"/>
        <v>DK</v>
      </c>
      <c r="C2395" s="9" t="s">
        <v>118</v>
      </c>
      <c r="D2395" s="18">
        <f>VLOOKUP(C2395,'DISTRIBUIÇÃO NF4267'!$E$3:$FQ$75,MATCH(B2395,'DISTRIBUIÇÃO NF4267'!$E$3:$FQ$3,0)+1,0)</f>
        <v>0</v>
      </c>
      <c r="F2395" s="28">
        <f t="shared" si="118"/>
        <v>3</v>
      </c>
    </row>
    <row r="2396" spans="1:6" x14ac:dyDescent="0.35">
      <c r="A2396">
        <f t="shared" si="119"/>
        <v>0</v>
      </c>
      <c r="B2396" t="str">
        <f t="shared" si="120"/>
        <v>DK</v>
      </c>
      <c r="C2396" s="10" t="s">
        <v>119</v>
      </c>
      <c r="D2396" s="18">
        <f>VLOOKUP(C2396,'DISTRIBUIÇÃO NF4267'!$E$3:$FQ$75,MATCH(B2396,'DISTRIBUIÇÃO NF4267'!$E$3:$FQ$3,0)+1,0)</f>
        <v>0</v>
      </c>
      <c r="F2396" s="28">
        <f t="shared" si="118"/>
        <v>3</v>
      </c>
    </row>
    <row r="2397" spans="1:6" x14ac:dyDescent="0.35">
      <c r="A2397">
        <f t="shared" si="119"/>
        <v>0</v>
      </c>
      <c r="B2397" t="str">
        <f t="shared" si="120"/>
        <v>DK</v>
      </c>
      <c r="C2397" s="10" t="s">
        <v>120</v>
      </c>
      <c r="D2397" s="18">
        <f>VLOOKUP(C2397,'DISTRIBUIÇÃO NF4267'!$E$3:$FQ$75,MATCH(B2397,'DISTRIBUIÇÃO NF4267'!$E$3:$FQ$3,0)+1,0)</f>
        <v>48</v>
      </c>
      <c r="F2397" s="28">
        <f t="shared" si="118"/>
        <v>3</v>
      </c>
    </row>
    <row r="2398" spans="1:6" x14ac:dyDescent="0.35">
      <c r="A2398">
        <f t="shared" si="119"/>
        <v>0</v>
      </c>
      <c r="B2398" t="str">
        <f t="shared" si="120"/>
        <v>DK</v>
      </c>
      <c r="C2398" s="10" t="s">
        <v>121</v>
      </c>
      <c r="D2398" s="18">
        <f>VLOOKUP(C2398,'DISTRIBUIÇÃO NF4267'!$E$3:$FQ$75,MATCH(B2398,'DISTRIBUIÇÃO NF4267'!$E$3:$FQ$3,0)+1,0)</f>
        <v>16</v>
      </c>
      <c r="F2398" s="28">
        <f t="shared" si="118"/>
        <v>3</v>
      </c>
    </row>
    <row r="2399" spans="1:6" x14ac:dyDescent="0.35">
      <c r="A2399">
        <f t="shared" si="119"/>
        <v>0</v>
      </c>
      <c r="B2399" t="str">
        <f t="shared" si="120"/>
        <v>DK</v>
      </c>
      <c r="C2399" s="10" t="s">
        <v>122</v>
      </c>
      <c r="D2399" s="18">
        <f>VLOOKUP(C2399,'DISTRIBUIÇÃO NF4267'!$E$3:$FQ$75,MATCH(B2399,'DISTRIBUIÇÃO NF4267'!$E$3:$FQ$3,0)+1,0)</f>
        <v>16</v>
      </c>
      <c r="F2399" s="28">
        <f t="shared" si="118"/>
        <v>3</v>
      </c>
    </row>
    <row r="2400" spans="1:6" x14ac:dyDescent="0.35">
      <c r="A2400">
        <f t="shared" si="119"/>
        <v>0</v>
      </c>
      <c r="B2400" t="str">
        <f t="shared" si="120"/>
        <v>DK</v>
      </c>
      <c r="C2400" s="10" t="s">
        <v>123</v>
      </c>
      <c r="D2400" s="18">
        <f>VLOOKUP(C2400,'DISTRIBUIÇÃO NF4267'!$E$3:$FQ$75,MATCH(B2400,'DISTRIBUIÇÃO NF4267'!$E$3:$FQ$3,0)+1,0)</f>
        <v>0</v>
      </c>
      <c r="F2400" s="28">
        <f t="shared" si="118"/>
        <v>3</v>
      </c>
    </row>
    <row r="2401" spans="1:6" x14ac:dyDescent="0.35">
      <c r="A2401">
        <f t="shared" si="119"/>
        <v>0</v>
      </c>
      <c r="B2401" t="str">
        <f t="shared" si="120"/>
        <v>DK</v>
      </c>
      <c r="C2401" s="10" t="s">
        <v>124</v>
      </c>
      <c r="D2401" s="18">
        <f>VLOOKUP(C2401,'DISTRIBUIÇÃO NF4267'!$E$3:$FQ$75,MATCH(B2401,'DISTRIBUIÇÃO NF4267'!$E$3:$FQ$3,0)+1,0)</f>
        <v>0</v>
      </c>
      <c r="F2401" s="28">
        <f t="shared" si="118"/>
        <v>3</v>
      </c>
    </row>
    <row r="2402" spans="1:6" x14ac:dyDescent="0.35">
      <c r="A2402">
        <f t="shared" si="119"/>
        <v>0</v>
      </c>
      <c r="B2402" t="str">
        <f t="shared" si="120"/>
        <v>DK</v>
      </c>
      <c r="C2402" s="11" t="s">
        <v>16</v>
      </c>
      <c r="D2402" s="18">
        <f>VLOOKUP(C2402,'DISTRIBUIÇÃO NF4267'!$E$3:$FQ$75,MATCH(B2402,'DISTRIBUIÇÃO NF4267'!$E$3:$FQ$3,0)+1,0)</f>
        <v>0</v>
      </c>
      <c r="F2402" s="28">
        <f t="shared" si="118"/>
        <v>3</v>
      </c>
    </row>
    <row r="2403" spans="1:6" x14ac:dyDescent="0.35">
      <c r="A2403">
        <f t="shared" si="119"/>
        <v>0</v>
      </c>
      <c r="B2403" t="str">
        <f t="shared" si="120"/>
        <v>DK</v>
      </c>
      <c r="C2403" s="11" t="s">
        <v>17</v>
      </c>
      <c r="D2403" s="18">
        <f>VLOOKUP(C2403,'DISTRIBUIÇÃO NF4267'!$E$3:$FQ$75,MATCH(B2403,'DISTRIBUIÇÃO NF4267'!$E$3:$FQ$3,0)+1,0)</f>
        <v>9</v>
      </c>
      <c r="F2403" s="28">
        <f t="shared" si="118"/>
        <v>3</v>
      </c>
    </row>
    <row r="2404" spans="1:6" x14ac:dyDescent="0.35">
      <c r="A2404">
        <f t="shared" si="119"/>
        <v>0</v>
      </c>
      <c r="B2404" t="str">
        <f t="shared" si="120"/>
        <v>DK</v>
      </c>
      <c r="C2404" s="11" t="s">
        <v>18</v>
      </c>
      <c r="D2404" s="18">
        <f>VLOOKUP(C2404,'DISTRIBUIÇÃO NF4267'!$E$3:$FQ$75,MATCH(B2404,'DISTRIBUIÇÃO NF4267'!$E$3:$FQ$3,0)+1,0)</f>
        <v>3</v>
      </c>
      <c r="F2404" s="28">
        <f t="shared" si="118"/>
        <v>3</v>
      </c>
    </row>
    <row r="2405" spans="1:6" x14ac:dyDescent="0.35">
      <c r="A2405">
        <f t="shared" si="119"/>
        <v>0</v>
      </c>
      <c r="B2405" t="str">
        <f t="shared" si="120"/>
        <v>DK</v>
      </c>
      <c r="C2405" s="11" t="s">
        <v>19</v>
      </c>
      <c r="D2405" s="18">
        <f>VLOOKUP(C2405,'DISTRIBUIÇÃO NF4267'!$E$3:$FQ$75,MATCH(B2405,'DISTRIBUIÇÃO NF4267'!$E$3:$FQ$3,0)+1,0)</f>
        <v>3</v>
      </c>
      <c r="F2405" s="28">
        <f t="shared" si="118"/>
        <v>3</v>
      </c>
    </row>
    <row r="2406" spans="1:6" x14ac:dyDescent="0.35">
      <c r="A2406">
        <f t="shared" si="119"/>
        <v>0</v>
      </c>
      <c r="B2406" t="str">
        <f t="shared" si="120"/>
        <v>DK</v>
      </c>
      <c r="C2406" s="11" t="s">
        <v>20</v>
      </c>
      <c r="D2406" s="18">
        <f>VLOOKUP(C2406,'DISTRIBUIÇÃO NF4267'!$E$3:$FQ$75,MATCH(B2406,'DISTRIBUIÇÃO NF4267'!$E$3:$FQ$3,0)+1,0)</f>
        <v>15</v>
      </c>
      <c r="F2406" s="28">
        <f t="shared" si="118"/>
        <v>3</v>
      </c>
    </row>
    <row r="2407" spans="1:6" x14ac:dyDescent="0.35">
      <c r="A2407">
        <f t="shared" si="119"/>
        <v>0</v>
      </c>
      <c r="B2407" t="str">
        <f t="shared" si="120"/>
        <v>DK</v>
      </c>
      <c r="C2407" s="11" t="s">
        <v>21</v>
      </c>
      <c r="D2407" s="18">
        <f>VLOOKUP(C2407,'DISTRIBUIÇÃO NF4267'!$E$3:$FQ$75,MATCH(B2407,'DISTRIBUIÇÃO NF4267'!$E$3:$FQ$3,0)+1,0)</f>
        <v>0</v>
      </c>
      <c r="F2407" s="28">
        <f t="shared" si="118"/>
        <v>3</v>
      </c>
    </row>
    <row r="2408" spans="1:6" x14ac:dyDescent="0.35">
      <c r="A2408">
        <f t="shared" si="119"/>
        <v>0</v>
      </c>
      <c r="B2408" t="str">
        <f t="shared" si="120"/>
        <v>DK</v>
      </c>
      <c r="C2408" s="12" t="s">
        <v>130</v>
      </c>
      <c r="D2408" s="18">
        <f>VLOOKUP(C2408,'DISTRIBUIÇÃO NF4267'!$E$3:$FQ$75,MATCH(B2408,'DISTRIBUIÇÃO NF4267'!$E$3:$FQ$3,0)+1,0)</f>
        <v>0</v>
      </c>
      <c r="F2408" s="28">
        <f t="shared" si="118"/>
        <v>3</v>
      </c>
    </row>
    <row r="2409" spans="1:6" x14ac:dyDescent="0.35">
      <c r="A2409">
        <f t="shared" si="119"/>
        <v>0</v>
      </c>
      <c r="B2409" t="str">
        <f t="shared" si="120"/>
        <v>DK</v>
      </c>
      <c r="C2409" s="12" t="s">
        <v>131</v>
      </c>
      <c r="D2409" s="18">
        <f>VLOOKUP(C2409,'DISTRIBUIÇÃO NF4267'!$E$3:$FQ$75,MATCH(B2409,'DISTRIBUIÇÃO NF4267'!$E$3:$FQ$3,0)+1,0)</f>
        <v>0</v>
      </c>
      <c r="F2409" s="28">
        <f t="shared" si="118"/>
        <v>3</v>
      </c>
    </row>
    <row r="2410" spans="1:6" x14ac:dyDescent="0.35">
      <c r="A2410">
        <f t="shared" si="119"/>
        <v>0</v>
      </c>
      <c r="B2410" t="str">
        <f t="shared" si="120"/>
        <v>DK</v>
      </c>
      <c r="C2410" s="12" t="s">
        <v>132</v>
      </c>
      <c r="D2410" s="18">
        <f>VLOOKUP(C2410,'DISTRIBUIÇÃO NF4267'!$E$3:$FQ$75,MATCH(B2410,'DISTRIBUIÇÃO NF4267'!$E$3:$FQ$3,0)+1,0)</f>
        <v>0</v>
      </c>
      <c r="F2410" s="28">
        <f t="shared" si="118"/>
        <v>3</v>
      </c>
    </row>
    <row r="2411" spans="1:6" x14ac:dyDescent="0.35">
      <c r="A2411">
        <f t="shared" si="119"/>
        <v>0</v>
      </c>
      <c r="B2411" t="str">
        <f t="shared" si="120"/>
        <v>DK</v>
      </c>
      <c r="C2411" s="12" t="s">
        <v>133</v>
      </c>
      <c r="D2411" s="18">
        <f>VLOOKUP(C2411,'DISTRIBUIÇÃO NF4267'!$E$3:$FQ$75,MATCH(B2411,'DISTRIBUIÇÃO NF4267'!$E$3:$FQ$3,0)+1,0)</f>
        <v>0</v>
      </c>
      <c r="F2411" s="28">
        <f t="shared" si="118"/>
        <v>3</v>
      </c>
    </row>
    <row r="2412" spans="1:6" x14ac:dyDescent="0.35">
      <c r="A2412">
        <f t="shared" si="119"/>
        <v>0</v>
      </c>
      <c r="B2412" t="str">
        <f t="shared" si="120"/>
        <v>DK</v>
      </c>
      <c r="C2412" s="12" t="s">
        <v>134</v>
      </c>
      <c r="D2412" s="18">
        <f>VLOOKUP(C2412,'DISTRIBUIÇÃO NF4267'!$E$3:$FQ$75,MATCH(B2412,'DISTRIBUIÇÃO NF4267'!$E$3:$FQ$3,0)+1,0)</f>
        <v>0</v>
      </c>
      <c r="F2412" s="28">
        <f t="shared" si="118"/>
        <v>3</v>
      </c>
    </row>
    <row r="2413" spans="1:6" x14ac:dyDescent="0.35">
      <c r="A2413">
        <f t="shared" si="119"/>
        <v>0</v>
      </c>
      <c r="B2413" t="str">
        <f t="shared" si="120"/>
        <v>DK</v>
      </c>
      <c r="C2413" s="12" t="s">
        <v>135</v>
      </c>
      <c r="D2413" s="18">
        <f>VLOOKUP(C2413,'DISTRIBUIÇÃO NF4267'!$E$3:$FQ$75,MATCH(B2413,'DISTRIBUIÇÃO NF4267'!$E$3:$FQ$3,0)+1,0)</f>
        <v>0</v>
      </c>
      <c r="F2413" s="28">
        <f t="shared" si="118"/>
        <v>3</v>
      </c>
    </row>
    <row r="2414" spans="1:6" x14ac:dyDescent="0.35">
      <c r="A2414">
        <f t="shared" si="119"/>
        <v>0</v>
      </c>
      <c r="B2414" t="str">
        <f t="shared" si="120"/>
        <v>DK</v>
      </c>
      <c r="C2414" s="13" t="s">
        <v>22</v>
      </c>
      <c r="D2414" s="18">
        <f>VLOOKUP(C2414,'DISTRIBUIÇÃO NF4267'!$E$3:$FQ$75,MATCH(B2414,'DISTRIBUIÇÃO NF4267'!$E$3:$FQ$3,0)+1,0)</f>
        <v>0</v>
      </c>
      <c r="F2414" s="28">
        <f t="shared" si="118"/>
        <v>3</v>
      </c>
    </row>
    <row r="2415" spans="1:6" x14ac:dyDescent="0.35">
      <c r="A2415">
        <f t="shared" si="119"/>
        <v>0</v>
      </c>
      <c r="B2415" t="str">
        <f t="shared" si="120"/>
        <v>DK</v>
      </c>
      <c r="C2415" s="13" t="s">
        <v>23</v>
      </c>
      <c r="D2415" s="18">
        <f>VLOOKUP(C2415,'DISTRIBUIÇÃO NF4267'!$E$3:$FQ$75,MATCH(B2415,'DISTRIBUIÇÃO NF4267'!$E$3:$FQ$3,0)+1,0)</f>
        <v>0</v>
      </c>
      <c r="F2415" s="28">
        <f t="shared" si="118"/>
        <v>3</v>
      </c>
    </row>
    <row r="2416" spans="1:6" x14ac:dyDescent="0.35">
      <c r="A2416">
        <f t="shared" si="119"/>
        <v>0</v>
      </c>
      <c r="B2416" t="str">
        <f t="shared" si="120"/>
        <v>DK</v>
      </c>
      <c r="C2416" s="13" t="s">
        <v>24</v>
      </c>
      <c r="D2416" s="18">
        <f>VLOOKUP(C2416,'DISTRIBUIÇÃO NF4267'!$E$3:$FQ$75,MATCH(B2416,'DISTRIBUIÇÃO NF4267'!$E$3:$FQ$3,0)+1,0)</f>
        <v>0</v>
      </c>
      <c r="F2416" s="28">
        <f t="shared" si="118"/>
        <v>3</v>
      </c>
    </row>
    <row r="2417" spans="1:6" x14ac:dyDescent="0.35">
      <c r="A2417">
        <f t="shared" si="119"/>
        <v>0</v>
      </c>
      <c r="B2417" t="str">
        <f t="shared" si="120"/>
        <v>DK</v>
      </c>
      <c r="C2417" s="13" t="s">
        <v>25</v>
      </c>
      <c r="D2417" s="18">
        <f>VLOOKUP(C2417,'DISTRIBUIÇÃO NF4267'!$E$3:$FQ$75,MATCH(B2417,'DISTRIBUIÇÃO NF4267'!$E$3:$FQ$3,0)+1,0)</f>
        <v>0</v>
      </c>
      <c r="F2417" s="28">
        <f t="shared" si="118"/>
        <v>3</v>
      </c>
    </row>
    <row r="2418" spans="1:6" x14ac:dyDescent="0.35">
      <c r="A2418">
        <f t="shared" si="119"/>
        <v>0</v>
      </c>
      <c r="B2418" t="str">
        <f t="shared" si="120"/>
        <v>DK</v>
      </c>
      <c r="C2418" s="13" t="s">
        <v>26</v>
      </c>
      <c r="D2418" s="18">
        <f>VLOOKUP(C2418,'DISTRIBUIÇÃO NF4267'!$E$3:$FQ$75,MATCH(B2418,'DISTRIBUIÇÃO NF4267'!$E$3:$FQ$3,0)+1,0)</f>
        <v>0</v>
      </c>
      <c r="F2418" s="28">
        <f t="shared" si="118"/>
        <v>3</v>
      </c>
    </row>
    <row r="2419" spans="1:6" x14ac:dyDescent="0.35">
      <c r="A2419">
        <f t="shared" si="119"/>
        <v>0</v>
      </c>
      <c r="B2419" t="str">
        <f t="shared" si="120"/>
        <v>DK</v>
      </c>
      <c r="C2419" s="13" t="s">
        <v>27</v>
      </c>
      <c r="D2419" s="18">
        <f>VLOOKUP(C2419,'DISTRIBUIÇÃO NF4267'!$E$3:$FQ$75,MATCH(B2419,'DISTRIBUIÇÃO NF4267'!$E$3:$FQ$3,0)+1,0)</f>
        <v>0</v>
      </c>
      <c r="F2419" s="28">
        <f t="shared" si="118"/>
        <v>3</v>
      </c>
    </row>
    <row r="2420" spans="1:6" x14ac:dyDescent="0.35">
      <c r="A2420">
        <f t="shared" si="119"/>
        <v>0</v>
      </c>
      <c r="B2420" t="str">
        <f t="shared" si="120"/>
        <v>DK</v>
      </c>
      <c r="C2420" s="14" t="s">
        <v>138</v>
      </c>
      <c r="D2420" s="18">
        <f>VLOOKUP(C2420,'DISTRIBUIÇÃO NF4267'!$E$3:$FQ$75,MATCH(B2420,'DISTRIBUIÇÃO NF4267'!$E$3:$FQ$3,0)+1,0)</f>
        <v>0</v>
      </c>
      <c r="F2420" s="28">
        <f t="shared" si="118"/>
        <v>3</v>
      </c>
    </row>
    <row r="2421" spans="1:6" x14ac:dyDescent="0.35">
      <c r="A2421">
        <f t="shared" si="119"/>
        <v>0</v>
      </c>
      <c r="B2421" t="str">
        <f t="shared" si="120"/>
        <v>DK</v>
      </c>
      <c r="C2421" s="14" t="s">
        <v>139</v>
      </c>
      <c r="D2421" s="18">
        <f>VLOOKUP(C2421,'DISTRIBUIÇÃO NF4267'!$E$3:$FQ$75,MATCH(B2421,'DISTRIBUIÇÃO NF4267'!$E$3:$FQ$3,0)+1,0)</f>
        <v>2</v>
      </c>
      <c r="F2421" s="28">
        <f t="shared" si="118"/>
        <v>3</v>
      </c>
    </row>
    <row r="2422" spans="1:6" x14ac:dyDescent="0.35">
      <c r="A2422">
        <f t="shared" si="119"/>
        <v>0</v>
      </c>
      <c r="B2422" t="str">
        <f t="shared" si="120"/>
        <v>DK</v>
      </c>
      <c r="C2422" s="14" t="s">
        <v>140</v>
      </c>
      <c r="D2422" s="18">
        <f>VLOOKUP(C2422,'DISTRIBUIÇÃO NF4267'!$E$3:$FQ$75,MATCH(B2422,'DISTRIBUIÇÃO NF4267'!$E$3:$FQ$3,0)+1,0)</f>
        <v>4</v>
      </c>
      <c r="F2422" s="28">
        <f t="shared" si="118"/>
        <v>3</v>
      </c>
    </row>
    <row r="2423" spans="1:6" x14ac:dyDescent="0.35">
      <c r="A2423">
        <f t="shared" si="119"/>
        <v>0</v>
      </c>
      <c r="B2423" t="str">
        <f t="shared" si="120"/>
        <v>DK</v>
      </c>
      <c r="C2423" s="14" t="s">
        <v>141</v>
      </c>
      <c r="D2423" s="18">
        <f>VLOOKUP(C2423,'DISTRIBUIÇÃO NF4267'!$E$3:$FQ$75,MATCH(B2423,'DISTRIBUIÇÃO NF4267'!$E$3:$FQ$3,0)+1,0)</f>
        <v>2</v>
      </c>
      <c r="F2423" s="28">
        <f t="shared" si="118"/>
        <v>3</v>
      </c>
    </row>
    <row r="2424" spans="1:6" x14ac:dyDescent="0.35">
      <c r="A2424">
        <f t="shared" si="119"/>
        <v>0</v>
      </c>
      <c r="B2424" t="str">
        <f t="shared" si="120"/>
        <v>DK</v>
      </c>
      <c r="C2424" s="14" t="s">
        <v>142</v>
      </c>
      <c r="D2424" s="18">
        <f>VLOOKUP(C2424,'DISTRIBUIÇÃO NF4267'!$E$3:$FQ$75,MATCH(B2424,'DISTRIBUIÇÃO NF4267'!$E$3:$FQ$3,0)+1,0)</f>
        <v>2</v>
      </c>
      <c r="F2424" s="28">
        <f t="shared" ref="F2424:F2487" si="121">ROUNDUP(SUMIFS(D:D,B:B,B2424)/80,0)</f>
        <v>3</v>
      </c>
    </row>
    <row r="2425" spans="1:6" x14ac:dyDescent="0.35">
      <c r="A2425">
        <f t="shared" si="119"/>
        <v>0</v>
      </c>
      <c r="B2425" t="str">
        <f t="shared" si="120"/>
        <v>DK</v>
      </c>
      <c r="C2425" s="14" t="s">
        <v>143</v>
      </c>
      <c r="D2425" s="18">
        <f>VLOOKUP(C2425,'DISTRIBUIÇÃO NF4267'!$E$3:$FQ$75,MATCH(B2425,'DISTRIBUIÇÃO NF4267'!$E$3:$FQ$3,0)+1,0)</f>
        <v>0</v>
      </c>
      <c r="F2425" s="28">
        <f t="shared" si="121"/>
        <v>3</v>
      </c>
    </row>
    <row r="2426" spans="1:6" x14ac:dyDescent="0.35">
      <c r="A2426">
        <f t="shared" si="119"/>
        <v>0</v>
      </c>
      <c r="B2426" t="str">
        <f t="shared" si="120"/>
        <v>DK</v>
      </c>
      <c r="C2426" s="15" t="s">
        <v>145</v>
      </c>
      <c r="D2426" s="18">
        <f>VLOOKUP(C2426,'DISTRIBUIÇÃO NF4267'!$E$3:$FQ$75,MATCH(B2426,'DISTRIBUIÇÃO NF4267'!$E$3:$FQ$3,0)+1,0)</f>
        <v>0</v>
      </c>
      <c r="F2426" s="28">
        <f t="shared" si="121"/>
        <v>3</v>
      </c>
    </row>
    <row r="2427" spans="1:6" x14ac:dyDescent="0.35">
      <c r="A2427">
        <f t="shared" si="119"/>
        <v>0</v>
      </c>
      <c r="B2427" t="str">
        <f t="shared" si="120"/>
        <v>DK</v>
      </c>
      <c r="C2427" s="15" t="s">
        <v>146</v>
      </c>
      <c r="D2427" s="18">
        <f>VLOOKUP(C2427,'DISTRIBUIÇÃO NF4267'!$E$3:$FQ$75,MATCH(B2427,'DISTRIBUIÇÃO NF4267'!$E$3:$FQ$3,0)+1,0)</f>
        <v>2</v>
      </c>
      <c r="F2427" s="28">
        <f t="shared" si="121"/>
        <v>3</v>
      </c>
    </row>
    <row r="2428" spans="1:6" x14ac:dyDescent="0.35">
      <c r="A2428">
        <f t="shared" si="119"/>
        <v>0</v>
      </c>
      <c r="B2428" t="str">
        <f t="shared" si="120"/>
        <v>DK</v>
      </c>
      <c r="C2428" s="15" t="s">
        <v>147</v>
      </c>
      <c r="D2428" s="18">
        <f>VLOOKUP(C2428,'DISTRIBUIÇÃO NF4267'!$E$3:$FQ$75,MATCH(B2428,'DISTRIBUIÇÃO NF4267'!$E$3:$FQ$3,0)+1,0)</f>
        <v>4</v>
      </c>
      <c r="F2428" s="28">
        <f t="shared" si="121"/>
        <v>3</v>
      </c>
    </row>
    <row r="2429" spans="1:6" x14ac:dyDescent="0.35">
      <c r="A2429">
        <f t="shared" si="119"/>
        <v>0</v>
      </c>
      <c r="B2429" t="str">
        <f t="shared" si="120"/>
        <v>DK</v>
      </c>
      <c r="C2429" s="15" t="s">
        <v>148</v>
      </c>
      <c r="D2429" s="18">
        <f>VLOOKUP(C2429,'DISTRIBUIÇÃO NF4267'!$E$3:$FQ$75,MATCH(B2429,'DISTRIBUIÇÃO NF4267'!$E$3:$FQ$3,0)+1,0)</f>
        <v>2</v>
      </c>
      <c r="F2429" s="28">
        <f t="shared" si="121"/>
        <v>3</v>
      </c>
    </row>
    <row r="2430" spans="1:6" x14ac:dyDescent="0.35">
      <c r="A2430">
        <f t="shared" si="119"/>
        <v>0</v>
      </c>
      <c r="B2430" t="str">
        <f t="shared" si="120"/>
        <v>DK</v>
      </c>
      <c r="C2430" s="15" t="s">
        <v>149</v>
      </c>
      <c r="D2430" s="18">
        <f>VLOOKUP(C2430,'DISTRIBUIÇÃO NF4267'!$E$3:$FQ$75,MATCH(B2430,'DISTRIBUIÇÃO NF4267'!$E$3:$FQ$3,0)+1,0)</f>
        <v>2</v>
      </c>
      <c r="F2430" s="28">
        <f t="shared" si="121"/>
        <v>3</v>
      </c>
    </row>
    <row r="2431" spans="1:6" x14ac:dyDescent="0.35">
      <c r="A2431">
        <f t="shared" si="119"/>
        <v>0</v>
      </c>
      <c r="B2431" t="str">
        <f t="shared" si="120"/>
        <v>DK</v>
      </c>
      <c r="C2431" s="15" t="s">
        <v>150</v>
      </c>
      <c r="D2431" s="18">
        <f>VLOOKUP(C2431,'DISTRIBUIÇÃO NF4267'!$E$3:$FQ$75,MATCH(B2431,'DISTRIBUIÇÃO NF4267'!$E$3:$FQ$3,0)+1,0)</f>
        <v>0</v>
      </c>
      <c r="F2431" s="28">
        <f t="shared" si="121"/>
        <v>3</v>
      </c>
    </row>
    <row r="2432" spans="1:6" x14ac:dyDescent="0.35">
      <c r="A2432">
        <f t="shared" si="119"/>
        <v>0</v>
      </c>
      <c r="B2432" t="s">
        <v>58</v>
      </c>
      <c r="C2432" s="7" t="s">
        <v>98</v>
      </c>
      <c r="D2432" s="18">
        <f>VLOOKUP(C2432,'DISTRIBUIÇÃO NF4267'!$E$3:$FQ$75,MATCH(B2432,'DISTRIBUIÇÃO NF4267'!$E$3:$FQ$3,0)+1,0)</f>
        <v>0</v>
      </c>
      <c r="F2432" s="28">
        <f t="shared" si="121"/>
        <v>3</v>
      </c>
    </row>
    <row r="2433" spans="1:6" x14ac:dyDescent="0.35">
      <c r="A2433">
        <f t="shared" si="119"/>
        <v>0</v>
      </c>
      <c r="B2433" t="str">
        <f>B2432</f>
        <v>S7</v>
      </c>
      <c r="C2433" s="7" t="s">
        <v>99</v>
      </c>
      <c r="D2433" s="18">
        <f>VLOOKUP(C2433,'DISTRIBUIÇÃO NF4267'!$E$3:$FQ$75,MATCH(B2433,'DISTRIBUIÇÃO NF4267'!$E$3:$FQ$3,0)+1,0)</f>
        <v>4</v>
      </c>
      <c r="F2433" s="28">
        <f t="shared" si="121"/>
        <v>3</v>
      </c>
    </row>
    <row r="2434" spans="1:6" x14ac:dyDescent="0.35">
      <c r="A2434">
        <f t="shared" ref="A2434:A2497" si="122">IF(ISERROR(VLOOKUP(C2434,I:I,1,0)),0,1)</f>
        <v>0</v>
      </c>
      <c r="B2434" t="str">
        <f t="shared" ref="B2434:B2485" si="123">B2433</f>
        <v>S7</v>
      </c>
      <c r="C2434" s="7" t="s">
        <v>100</v>
      </c>
      <c r="D2434" s="18">
        <f>VLOOKUP(C2434,'DISTRIBUIÇÃO NF4267'!$E$3:$FQ$75,MATCH(B2434,'DISTRIBUIÇÃO NF4267'!$E$3:$FQ$3,0)+1,0)</f>
        <v>8</v>
      </c>
      <c r="F2434" s="28">
        <f t="shared" si="121"/>
        <v>3</v>
      </c>
    </row>
    <row r="2435" spans="1:6" x14ac:dyDescent="0.35">
      <c r="A2435">
        <f t="shared" si="122"/>
        <v>0</v>
      </c>
      <c r="B2435" t="str">
        <f t="shared" si="123"/>
        <v>S7</v>
      </c>
      <c r="C2435" s="7" t="s">
        <v>101</v>
      </c>
      <c r="D2435" s="18">
        <f>VLOOKUP(C2435,'DISTRIBUIÇÃO NF4267'!$E$3:$FQ$75,MATCH(B2435,'DISTRIBUIÇÃO NF4267'!$E$3:$FQ$3,0)+1,0)</f>
        <v>4</v>
      </c>
      <c r="F2435" s="28">
        <f t="shared" si="121"/>
        <v>3</v>
      </c>
    </row>
    <row r="2436" spans="1:6" x14ac:dyDescent="0.35">
      <c r="A2436">
        <f t="shared" si="122"/>
        <v>0</v>
      </c>
      <c r="B2436" t="str">
        <f t="shared" si="123"/>
        <v>S7</v>
      </c>
      <c r="C2436" s="7" t="s">
        <v>102</v>
      </c>
      <c r="D2436" s="18">
        <f>VLOOKUP(C2436,'DISTRIBUIÇÃO NF4267'!$E$3:$FQ$75,MATCH(B2436,'DISTRIBUIÇÃO NF4267'!$E$3:$FQ$3,0)+1,0)</f>
        <v>4</v>
      </c>
      <c r="F2436" s="28">
        <f t="shared" si="121"/>
        <v>3</v>
      </c>
    </row>
    <row r="2437" spans="1:6" x14ac:dyDescent="0.35">
      <c r="A2437">
        <f t="shared" si="122"/>
        <v>0</v>
      </c>
      <c r="B2437" t="str">
        <f t="shared" si="123"/>
        <v>S7</v>
      </c>
      <c r="C2437" s="7" t="s">
        <v>103</v>
      </c>
      <c r="D2437" s="18">
        <f>VLOOKUP(C2437,'DISTRIBUIÇÃO NF4267'!$E$3:$FQ$75,MATCH(B2437,'DISTRIBUIÇÃO NF4267'!$E$3:$FQ$3,0)+1,0)</f>
        <v>0</v>
      </c>
      <c r="F2437" s="28">
        <f t="shared" si="121"/>
        <v>3</v>
      </c>
    </row>
    <row r="2438" spans="1:6" x14ac:dyDescent="0.35">
      <c r="A2438">
        <f t="shared" si="122"/>
        <v>0</v>
      </c>
      <c r="B2438" t="str">
        <f t="shared" si="123"/>
        <v>S7</v>
      </c>
      <c r="C2438" s="8" t="s">
        <v>107</v>
      </c>
      <c r="D2438" s="18">
        <f>VLOOKUP(C2438,'DISTRIBUIÇÃO NF4267'!$E$3:$FQ$75,MATCH(B2438,'DISTRIBUIÇÃO NF4267'!$E$3:$FQ$3,0)+1,0)</f>
        <v>0</v>
      </c>
      <c r="F2438" s="28">
        <f t="shared" si="121"/>
        <v>3</v>
      </c>
    </row>
    <row r="2439" spans="1:6" x14ac:dyDescent="0.35">
      <c r="A2439">
        <f t="shared" si="122"/>
        <v>0</v>
      </c>
      <c r="B2439" t="str">
        <f t="shared" si="123"/>
        <v>S7</v>
      </c>
      <c r="C2439" s="8" t="s">
        <v>108</v>
      </c>
      <c r="D2439" s="18">
        <f>VLOOKUP(C2439,'DISTRIBUIÇÃO NF4267'!$E$3:$FQ$75,MATCH(B2439,'DISTRIBUIÇÃO NF4267'!$E$3:$FQ$3,0)+1,0)</f>
        <v>2</v>
      </c>
      <c r="F2439" s="28">
        <f t="shared" si="121"/>
        <v>3</v>
      </c>
    </row>
    <row r="2440" spans="1:6" x14ac:dyDescent="0.35">
      <c r="A2440">
        <f t="shared" si="122"/>
        <v>0</v>
      </c>
      <c r="B2440" t="str">
        <f t="shared" si="123"/>
        <v>S7</v>
      </c>
      <c r="C2440" s="8" t="s">
        <v>109</v>
      </c>
      <c r="D2440" s="18">
        <f>VLOOKUP(C2440,'DISTRIBUIÇÃO NF4267'!$E$3:$FQ$75,MATCH(B2440,'DISTRIBUIÇÃO NF4267'!$E$3:$FQ$3,0)+1,0)</f>
        <v>4</v>
      </c>
      <c r="F2440" s="28">
        <f t="shared" si="121"/>
        <v>3</v>
      </c>
    </row>
    <row r="2441" spans="1:6" x14ac:dyDescent="0.35">
      <c r="A2441">
        <f t="shared" si="122"/>
        <v>0</v>
      </c>
      <c r="B2441" t="str">
        <f t="shared" si="123"/>
        <v>S7</v>
      </c>
      <c r="C2441" s="8" t="s">
        <v>110</v>
      </c>
      <c r="D2441" s="18">
        <f>VLOOKUP(C2441,'DISTRIBUIÇÃO NF4267'!$E$3:$FQ$75,MATCH(B2441,'DISTRIBUIÇÃO NF4267'!$E$3:$FQ$3,0)+1,0)</f>
        <v>2</v>
      </c>
      <c r="F2441" s="28">
        <f t="shared" si="121"/>
        <v>3</v>
      </c>
    </row>
    <row r="2442" spans="1:6" x14ac:dyDescent="0.35">
      <c r="A2442">
        <f t="shared" si="122"/>
        <v>0</v>
      </c>
      <c r="B2442" t="str">
        <f t="shared" si="123"/>
        <v>S7</v>
      </c>
      <c r="C2442" s="8" t="s">
        <v>111</v>
      </c>
      <c r="D2442" s="18">
        <f>VLOOKUP(C2442,'DISTRIBUIÇÃO NF4267'!$E$3:$FQ$75,MATCH(B2442,'DISTRIBUIÇÃO NF4267'!$E$3:$FQ$3,0)+1,0)</f>
        <v>2</v>
      </c>
      <c r="F2442" s="28">
        <f t="shared" si="121"/>
        <v>3</v>
      </c>
    </row>
    <row r="2443" spans="1:6" x14ac:dyDescent="0.35">
      <c r="A2443">
        <f t="shared" si="122"/>
        <v>0</v>
      </c>
      <c r="B2443" t="str">
        <f t="shared" si="123"/>
        <v>S7</v>
      </c>
      <c r="C2443" s="8" t="s">
        <v>112</v>
      </c>
      <c r="D2443" s="18">
        <f>VLOOKUP(C2443,'DISTRIBUIÇÃO NF4267'!$E$3:$FQ$75,MATCH(B2443,'DISTRIBUIÇÃO NF4267'!$E$3:$FQ$3,0)+1,0)</f>
        <v>0</v>
      </c>
      <c r="F2443" s="28">
        <f t="shared" si="121"/>
        <v>3</v>
      </c>
    </row>
    <row r="2444" spans="1:6" x14ac:dyDescent="0.35">
      <c r="A2444">
        <f t="shared" si="122"/>
        <v>0</v>
      </c>
      <c r="B2444" t="str">
        <f t="shared" si="123"/>
        <v>S7</v>
      </c>
      <c r="C2444" s="9" t="s">
        <v>113</v>
      </c>
      <c r="D2444" s="18">
        <f>VLOOKUP(C2444,'DISTRIBUIÇÃO NF4267'!$E$3:$FQ$75,MATCH(B2444,'DISTRIBUIÇÃO NF4267'!$E$3:$FQ$3,0)+1,0)</f>
        <v>0</v>
      </c>
      <c r="F2444" s="28">
        <f t="shared" si="121"/>
        <v>3</v>
      </c>
    </row>
    <row r="2445" spans="1:6" x14ac:dyDescent="0.35">
      <c r="A2445">
        <f t="shared" si="122"/>
        <v>0</v>
      </c>
      <c r="B2445" t="str">
        <f t="shared" si="123"/>
        <v>S7</v>
      </c>
      <c r="C2445" s="9" t="s">
        <v>114</v>
      </c>
      <c r="D2445" s="18">
        <f>VLOOKUP(C2445,'DISTRIBUIÇÃO NF4267'!$E$3:$FQ$75,MATCH(B2445,'DISTRIBUIÇÃO NF4267'!$E$3:$FQ$3,0)+1,0)</f>
        <v>3</v>
      </c>
      <c r="F2445" s="28">
        <f t="shared" si="121"/>
        <v>3</v>
      </c>
    </row>
    <row r="2446" spans="1:6" x14ac:dyDescent="0.35">
      <c r="A2446">
        <f t="shared" si="122"/>
        <v>0</v>
      </c>
      <c r="B2446" t="str">
        <f t="shared" si="123"/>
        <v>S7</v>
      </c>
      <c r="C2446" s="9" t="s">
        <v>115</v>
      </c>
      <c r="D2446" s="18">
        <f>VLOOKUP(C2446,'DISTRIBUIÇÃO NF4267'!$E$3:$FQ$75,MATCH(B2446,'DISTRIBUIÇÃO NF4267'!$E$3:$FQ$3,0)+1,0)</f>
        <v>4</v>
      </c>
      <c r="F2446" s="28">
        <f t="shared" si="121"/>
        <v>3</v>
      </c>
    </row>
    <row r="2447" spans="1:6" x14ac:dyDescent="0.35">
      <c r="A2447">
        <f t="shared" si="122"/>
        <v>0</v>
      </c>
      <c r="B2447" t="str">
        <f t="shared" si="123"/>
        <v>S7</v>
      </c>
      <c r="C2447" s="9" t="s">
        <v>116</v>
      </c>
      <c r="D2447" s="18">
        <f>VLOOKUP(C2447,'DISTRIBUIÇÃO NF4267'!$E$3:$FQ$75,MATCH(B2447,'DISTRIBUIÇÃO NF4267'!$E$3:$FQ$3,0)+1,0)</f>
        <v>2</v>
      </c>
      <c r="F2447" s="28">
        <f t="shared" si="121"/>
        <v>3</v>
      </c>
    </row>
    <row r="2448" spans="1:6" x14ac:dyDescent="0.35">
      <c r="A2448">
        <f t="shared" si="122"/>
        <v>0</v>
      </c>
      <c r="B2448" t="str">
        <f t="shared" si="123"/>
        <v>S7</v>
      </c>
      <c r="C2448" s="9" t="s">
        <v>117</v>
      </c>
      <c r="D2448" s="18">
        <f>VLOOKUP(C2448,'DISTRIBUIÇÃO NF4267'!$E$3:$FQ$75,MATCH(B2448,'DISTRIBUIÇÃO NF4267'!$E$3:$FQ$3,0)+1,0)</f>
        <v>1</v>
      </c>
      <c r="F2448" s="28">
        <f t="shared" si="121"/>
        <v>3</v>
      </c>
    </row>
    <row r="2449" spans="1:6" x14ac:dyDescent="0.35">
      <c r="A2449">
        <f t="shared" si="122"/>
        <v>0</v>
      </c>
      <c r="B2449" t="str">
        <f t="shared" si="123"/>
        <v>S7</v>
      </c>
      <c r="C2449" s="9" t="s">
        <v>118</v>
      </c>
      <c r="D2449" s="18">
        <f>VLOOKUP(C2449,'DISTRIBUIÇÃO NF4267'!$E$3:$FQ$75,MATCH(B2449,'DISTRIBUIÇÃO NF4267'!$E$3:$FQ$3,0)+1,0)</f>
        <v>0</v>
      </c>
      <c r="F2449" s="28">
        <f t="shared" si="121"/>
        <v>3</v>
      </c>
    </row>
    <row r="2450" spans="1:6" x14ac:dyDescent="0.35">
      <c r="A2450">
        <f t="shared" si="122"/>
        <v>0</v>
      </c>
      <c r="B2450" t="str">
        <f t="shared" si="123"/>
        <v>S7</v>
      </c>
      <c r="C2450" s="10" t="s">
        <v>119</v>
      </c>
      <c r="D2450" s="18">
        <f>VLOOKUP(C2450,'DISTRIBUIÇÃO NF4267'!$E$3:$FQ$75,MATCH(B2450,'DISTRIBUIÇÃO NF4267'!$E$3:$FQ$3,0)+1,0)</f>
        <v>0</v>
      </c>
      <c r="F2450" s="28">
        <f t="shared" si="121"/>
        <v>3</v>
      </c>
    </row>
    <row r="2451" spans="1:6" x14ac:dyDescent="0.35">
      <c r="A2451">
        <f t="shared" si="122"/>
        <v>0</v>
      </c>
      <c r="B2451" t="str">
        <f t="shared" si="123"/>
        <v>S7</v>
      </c>
      <c r="C2451" s="10" t="s">
        <v>120</v>
      </c>
      <c r="D2451" s="18">
        <f>VLOOKUP(C2451,'DISTRIBUIÇÃO NF4267'!$E$3:$FQ$75,MATCH(B2451,'DISTRIBUIÇÃO NF4267'!$E$3:$FQ$3,0)+1,0)</f>
        <v>48</v>
      </c>
      <c r="F2451" s="28">
        <f t="shared" si="121"/>
        <v>3</v>
      </c>
    </row>
    <row r="2452" spans="1:6" x14ac:dyDescent="0.35">
      <c r="A2452">
        <f t="shared" si="122"/>
        <v>0</v>
      </c>
      <c r="B2452" t="str">
        <f t="shared" si="123"/>
        <v>S7</v>
      </c>
      <c r="C2452" s="10" t="s">
        <v>121</v>
      </c>
      <c r="D2452" s="18">
        <f>VLOOKUP(C2452,'DISTRIBUIÇÃO NF4267'!$E$3:$FQ$75,MATCH(B2452,'DISTRIBUIÇÃO NF4267'!$E$3:$FQ$3,0)+1,0)</f>
        <v>16</v>
      </c>
      <c r="F2452" s="28">
        <f t="shared" si="121"/>
        <v>3</v>
      </c>
    </row>
    <row r="2453" spans="1:6" x14ac:dyDescent="0.35">
      <c r="A2453">
        <f t="shared" si="122"/>
        <v>0</v>
      </c>
      <c r="B2453" t="str">
        <f t="shared" si="123"/>
        <v>S7</v>
      </c>
      <c r="C2453" s="10" t="s">
        <v>122</v>
      </c>
      <c r="D2453" s="18">
        <f>VLOOKUP(C2453,'DISTRIBUIÇÃO NF4267'!$E$3:$FQ$75,MATCH(B2453,'DISTRIBUIÇÃO NF4267'!$E$3:$FQ$3,0)+1,0)</f>
        <v>16</v>
      </c>
      <c r="F2453" s="28">
        <f t="shared" si="121"/>
        <v>3</v>
      </c>
    </row>
    <row r="2454" spans="1:6" x14ac:dyDescent="0.35">
      <c r="A2454">
        <f t="shared" si="122"/>
        <v>0</v>
      </c>
      <c r="B2454" t="str">
        <f t="shared" si="123"/>
        <v>S7</v>
      </c>
      <c r="C2454" s="10" t="s">
        <v>123</v>
      </c>
      <c r="D2454" s="18">
        <f>VLOOKUP(C2454,'DISTRIBUIÇÃO NF4267'!$E$3:$FQ$75,MATCH(B2454,'DISTRIBUIÇÃO NF4267'!$E$3:$FQ$3,0)+1,0)</f>
        <v>0</v>
      </c>
      <c r="F2454" s="28">
        <f t="shared" si="121"/>
        <v>3</v>
      </c>
    </row>
    <row r="2455" spans="1:6" x14ac:dyDescent="0.35">
      <c r="A2455">
        <f t="shared" si="122"/>
        <v>0</v>
      </c>
      <c r="B2455" t="str">
        <f t="shared" si="123"/>
        <v>S7</v>
      </c>
      <c r="C2455" s="10" t="s">
        <v>124</v>
      </c>
      <c r="D2455" s="18">
        <f>VLOOKUP(C2455,'DISTRIBUIÇÃO NF4267'!$E$3:$FQ$75,MATCH(B2455,'DISTRIBUIÇÃO NF4267'!$E$3:$FQ$3,0)+1,0)</f>
        <v>0</v>
      </c>
      <c r="F2455" s="28">
        <f t="shared" si="121"/>
        <v>3</v>
      </c>
    </row>
    <row r="2456" spans="1:6" x14ac:dyDescent="0.35">
      <c r="A2456">
        <f t="shared" si="122"/>
        <v>0</v>
      </c>
      <c r="B2456" t="str">
        <f t="shared" si="123"/>
        <v>S7</v>
      </c>
      <c r="C2456" s="11" t="s">
        <v>16</v>
      </c>
      <c r="D2456" s="18">
        <f>VLOOKUP(C2456,'DISTRIBUIÇÃO NF4267'!$E$3:$FQ$75,MATCH(B2456,'DISTRIBUIÇÃO NF4267'!$E$3:$FQ$3,0)+1,0)</f>
        <v>0</v>
      </c>
      <c r="F2456" s="28">
        <f t="shared" si="121"/>
        <v>3</v>
      </c>
    </row>
    <row r="2457" spans="1:6" x14ac:dyDescent="0.35">
      <c r="A2457">
        <f t="shared" si="122"/>
        <v>0</v>
      </c>
      <c r="B2457" t="str">
        <f t="shared" si="123"/>
        <v>S7</v>
      </c>
      <c r="C2457" s="11" t="s">
        <v>17</v>
      </c>
      <c r="D2457" s="18">
        <f>VLOOKUP(C2457,'DISTRIBUIÇÃO NF4267'!$E$3:$FQ$75,MATCH(B2457,'DISTRIBUIÇÃO NF4267'!$E$3:$FQ$3,0)+1,0)</f>
        <v>9</v>
      </c>
      <c r="F2457" s="28">
        <f t="shared" si="121"/>
        <v>3</v>
      </c>
    </row>
    <row r="2458" spans="1:6" x14ac:dyDescent="0.35">
      <c r="A2458">
        <f t="shared" si="122"/>
        <v>0</v>
      </c>
      <c r="B2458" t="str">
        <f t="shared" si="123"/>
        <v>S7</v>
      </c>
      <c r="C2458" s="11" t="s">
        <v>18</v>
      </c>
      <c r="D2458" s="18">
        <f>VLOOKUP(C2458,'DISTRIBUIÇÃO NF4267'!$E$3:$FQ$75,MATCH(B2458,'DISTRIBUIÇÃO NF4267'!$E$3:$FQ$3,0)+1,0)</f>
        <v>3</v>
      </c>
      <c r="F2458" s="28">
        <f t="shared" si="121"/>
        <v>3</v>
      </c>
    </row>
    <row r="2459" spans="1:6" x14ac:dyDescent="0.35">
      <c r="A2459">
        <f t="shared" si="122"/>
        <v>0</v>
      </c>
      <c r="B2459" t="str">
        <f t="shared" si="123"/>
        <v>S7</v>
      </c>
      <c r="C2459" s="11" t="s">
        <v>19</v>
      </c>
      <c r="D2459" s="18">
        <f>VLOOKUP(C2459,'DISTRIBUIÇÃO NF4267'!$E$3:$FQ$75,MATCH(B2459,'DISTRIBUIÇÃO NF4267'!$E$3:$FQ$3,0)+1,0)</f>
        <v>3</v>
      </c>
      <c r="F2459" s="28">
        <f t="shared" si="121"/>
        <v>3</v>
      </c>
    </row>
    <row r="2460" spans="1:6" x14ac:dyDescent="0.35">
      <c r="A2460">
        <f t="shared" si="122"/>
        <v>0</v>
      </c>
      <c r="B2460" t="str">
        <f t="shared" si="123"/>
        <v>S7</v>
      </c>
      <c r="C2460" s="11" t="s">
        <v>20</v>
      </c>
      <c r="D2460" s="18">
        <f>VLOOKUP(C2460,'DISTRIBUIÇÃO NF4267'!$E$3:$FQ$75,MATCH(B2460,'DISTRIBUIÇÃO NF4267'!$E$3:$FQ$3,0)+1,0)</f>
        <v>15</v>
      </c>
      <c r="F2460" s="28">
        <f t="shared" si="121"/>
        <v>3</v>
      </c>
    </row>
    <row r="2461" spans="1:6" x14ac:dyDescent="0.35">
      <c r="A2461">
        <f t="shared" si="122"/>
        <v>0</v>
      </c>
      <c r="B2461" t="str">
        <f t="shared" si="123"/>
        <v>S7</v>
      </c>
      <c r="C2461" s="11" t="s">
        <v>21</v>
      </c>
      <c r="D2461" s="18">
        <f>VLOOKUP(C2461,'DISTRIBUIÇÃO NF4267'!$E$3:$FQ$75,MATCH(B2461,'DISTRIBUIÇÃO NF4267'!$E$3:$FQ$3,0)+1,0)</f>
        <v>0</v>
      </c>
      <c r="F2461" s="28">
        <f t="shared" si="121"/>
        <v>3</v>
      </c>
    </row>
    <row r="2462" spans="1:6" x14ac:dyDescent="0.35">
      <c r="A2462">
        <f t="shared" si="122"/>
        <v>0</v>
      </c>
      <c r="B2462" t="str">
        <f t="shared" si="123"/>
        <v>S7</v>
      </c>
      <c r="C2462" s="12" t="s">
        <v>130</v>
      </c>
      <c r="D2462" s="18">
        <f>VLOOKUP(C2462,'DISTRIBUIÇÃO NF4267'!$E$3:$FQ$75,MATCH(B2462,'DISTRIBUIÇÃO NF4267'!$E$3:$FQ$3,0)+1,0)</f>
        <v>0</v>
      </c>
      <c r="F2462" s="28">
        <f t="shared" si="121"/>
        <v>3</v>
      </c>
    </row>
    <row r="2463" spans="1:6" x14ac:dyDescent="0.35">
      <c r="A2463">
        <f t="shared" si="122"/>
        <v>0</v>
      </c>
      <c r="B2463" t="str">
        <f t="shared" si="123"/>
        <v>S7</v>
      </c>
      <c r="C2463" s="12" t="s">
        <v>131</v>
      </c>
      <c r="D2463" s="18">
        <f>VLOOKUP(C2463,'DISTRIBUIÇÃO NF4267'!$E$3:$FQ$75,MATCH(B2463,'DISTRIBUIÇÃO NF4267'!$E$3:$FQ$3,0)+1,0)</f>
        <v>0</v>
      </c>
      <c r="F2463" s="28">
        <f t="shared" si="121"/>
        <v>3</v>
      </c>
    </row>
    <row r="2464" spans="1:6" x14ac:dyDescent="0.35">
      <c r="A2464">
        <f t="shared" si="122"/>
        <v>0</v>
      </c>
      <c r="B2464" t="str">
        <f t="shared" si="123"/>
        <v>S7</v>
      </c>
      <c r="C2464" s="12" t="s">
        <v>132</v>
      </c>
      <c r="D2464" s="18">
        <f>VLOOKUP(C2464,'DISTRIBUIÇÃO NF4267'!$E$3:$FQ$75,MATCH(B2464,'DISTRIBUIÇÃO NF4267'!$E$3:$FQ$3,0)+1,0)</f>
        <v>0</v>
      </c>
      <c r="F2464" s="28">
        <f t="shared" si="121"/>
        <v>3</v>
      </c>
    </row>
    <row r="2465" spans="1:6" x14ac:dyDescent="0.35">
      <c r="A2465">
        <f t="shared" si="122"/>
        <v>0</v>
      </c>
      <c r="B2465" t="str">
        <f t="shared" si="123"/>
        <v>S7</v>
      </c>
      <c r="C2465" s="12" t="s">
        <v>133</v>
      </c>
      <c r="D2465" s="18">
        <f>VLOOKUP(C2465,'DISTRIBUIÇÃO NF4267'!$E$3:$FQ$75,MATCH(B2465,'DISTRIBUIÇÃO NF4267'!$E$3:$FQ$3,0)+1,0)</f>
        <v>0</v>
      </c>
      <c r="F2465" s="28">
        <f t="shared" si="121"/>
        <v>3</v>
      </c>
    </row>
    <row r="2466" spans="1:6" x14ac:dyDescent="0.35">
      <c r="A2466">
        <f t="shared" si="122"/>
        <v>0</v>
      </c>
      <c r="B2466" t="str">
        <f t="shared" si="123"/>
        <v>S7</v>
      </c>
      <c r="C2466" s="12" t="s">
        <v>134</v>
      </c>
      <c r="D2466" s="18">
        <f>VLOOKUP(C2466,'DISTRIBUIÇÃO NF4267'!$E$3:$FQ$75,MATCH(B2466,'DISTRIBUIÇÃO NF4267'!$E$3:$FQ$3,0)+1,0)</f>
        <v>0</v>
      </c>
      <c r="F2466" s="28">
        <f t="shared" si="121"/>
        <v>3</v>
      </c>
    </row>
    <row r="2467" spans="1:6" x14ac:dyDescent="0.35">
      <c r="A2467">
        <f t="shared" si="122"/>
        <v>0</v>
      </c>
      <c r="B2467" t="str">
        <f t="shared" si="123"/>
        <v>S7</v>
      </c>
      <c r="C2467" s="12" t="s">
        <v>135</v>
      </c>
      <c r="D2467" s="18">
        <f>VLOOKUP(C2467,'DISTRIBUIÇÃO NF4267'!$E$3:$FQ$75,MATCH(B2467,'DISTRIBUIÇÃO NF4267'!$E$3:$FQ$3,0)+1,0)</f>
        <v>0</v>
      </c>
      <c r="F2467" s="28">
        <f t="shared" si="121"/>
        <v>3</v>
      </c>
    </row>
    <row r="2468" spans="1:6" x14ac:dyDescent="0.35">
      <c r="A2468">
        <f t="shared" si="122"/>
        <v>0</v>
      </c>
      <c r="B2468" t="str">
        <f t="shared" si="123"/>
        <v>S7</v>
      </c>
      <c r="C2468" s="13" t="s">
        <v>22</v>
      </c>
      <c r="D2468" s="18">
        <f>VLOOKUP(C2468,'DISTRIBUIÇÃO NF4267'!$E$3:$FQ$75,MATCH(B2468,'DISTRIBUIÇÃO NF4267'!$E$3:$FQ$3,0)+1,0)</f>
        <v>0</v>
      </c>
      <c r="F2468" s="28">
        <f t="shared" si="121"/>
        <v>3</v>
      </c>
    </row>
    <row r="2469" spans="1:6" x14ac:dyDescent="0.35">
      <c r="A2469">
        <f t="shared" si="122"/>
        <v>0</v>
      </c>
      <c r="B2469" t="str">
        <f t="shared" si="123"/>
        <v>S7</v>
      </c>
      <c r="C2469" s="13" t="s">
        <v>23</v>
      </c>
      <c r="D2469" s="18">
        <f>VLOOKUP(C2469,'DISTRIBUIÇÃO NF4267'!$E$3:$FQ$75,MATCH(B2469,'DISTRIBUIÇÃO NF4267'!$E$3:$FQ$3,0)+1,0)</f>
        <v>0</v>
      </c>
      <c r="F2469" s="28">
        <f t="shared" si="121"/>
        <v>3</v>
      </c>
    </row>
    <row r="2470" spans="1:6" x14ac:dyDescent="0.35">
      <c r="A2470">
        <f t="shared" si="122"/>
        <v>0</v>
      </c>
      <c r="B2470" t="str">
        <f t="shared" si="123"/>
        <v>S7</v>
      </c>
      <c r="C2470" s="13" t="s">
        <v>24</v>
      </c>
      <c r="D2470" s="18">
        <f>VLOOKUP(C2470,'DISTRIBUIÇÃO NF4267'!$E$3:$FQ$75,MATCH(B2470,'DISTRIBUIÇÃO NF4267'!$E$3:$FQ$3,0)+1,0)</f>
        <v>0</v>
      </c>
      <c r="F2470" s="28">
        <f t="shared" si="121"/>
        <v>3</v>
      </c>
    </row>
    <row r="2471" spans="1:6" x14ac:dyDescent="0.35">
      <c r="A2471">
        <f t="shared" si="122"/>
        <v>0</v>
      </c>
      <c r="B2471" t="str">
        <f t="shared" si="123"/>
        <v>S7</v>
      </c>
      <c r="C2471" s="13" t="s">
        <v>25</v>
      </c>
      <c r="D2471" s="18">
        <f>VLOOKUP(C2471,'DISTRIBUIÇÃO NF4267'!$E$3:$FQ$75,MATCH(B2471,'DISTRIBUIÇÃO NF4267'!$E$3:$FQ$3,0)+1,0)</f>
        <v>0</v>
      </c>
      <c r="F2471" s="28">
        <f t="shared" si="121"/>
        <v>3</v>
      </c>
    </row>
    <row r="2472" spans="1:6" x14ac:dyDescent="0.35">
      <c r="A2472">
        <f t="shared" si="122"/>
        <v>0</v>
      </c>
      <c r="B2472" t="str">
        <f t="shared" si="123"/>
        <v>S7</v>
      </c>
      <c r="C2472" s="13" t="s">
        <v>26</v>
      </c>
      <c r="D2472" s="18">
        <f>VLOOKUP(C2472,'DISTRIBUIÇÃO NF4267'!$E$3:$FQ$75,MATCH(B2472,'DISTRIBUIÇÃO NF4267'!$E$3:$FQ$3,0)+1,0)</f>
        <v>0</v>
      </c>
      <c r="F2472" s="28">
        <f t="shared" si="121"/>
        <v>3</v>
      </c>
    </row>
    <row r="2473" spans="1:6" x14ac:dyDescent="0.35">
      <c r="A2473">
        <f t="shared" si="122"/>
        <v>0</v>
      </c>
      <c r="B2473" t="str">
        <f t="shared" si="123"/>
        <v>S7</v>
      </c>
      <c r="C2473" s="13" t="s">
        <v>27</v>
      </c>
      <c r="D2473" s="18">
        <f>VLOOKUP(C2473,'DISTRIBUIÇÃO NF4267'!$E$3:$FQ$75,MATCH(B2473,'DISTRIBUIÇÃO NF4267'!$E$3:$FQ$3,0)+1,0)</f>
        <v>0</v>
      </c>
      <c r="F2473" s="28">
        <f t="shared" si="121"/>
        <v>3</v>
      </c>
    </row>
    <row r="2474" spans="1:6" x14ac:dyDescent="0.35">
      <c r="A2474">
        <f t="shared" si="122"/>
        <v>0</v>
      </c>
      <c r="B2474" t="str">
        <f t="shared" si="123"/>
        <v>S7</v>
      </c>
      <c r="C2474" s="14" t="s">
        <v>138</v>
      </c>
      <c r="D2474" s="18">
        <f>VLOOKUP(C2474,'DISTRIBUIÇÃO NF4267'!$E$3:$FQ$75,MATCH(B2474,'DISTRIBUIÇÃO NF4267'!$E$3:$FQ$3,0)+1,0)</f>
        <v>0</v>
      </c>
      <c r="F2474" s="28">
        <f t="shared" si="121"/>
        <v>3</v>
      </c>
    </row>
    <row r="2475" spans="1:6" x14ac:dyDescent="0.35">
      <c r="A2475">
        <f t="shared" si="122"/>
        <v>0</v>
      </c>
      <c r="B2475" t="str">
        <f t="shared" si="123"/>
        <v>S7</v>
      </c>
      <c r="C2475" s="14" t="s">
        <v>139</v>
      </c>
      <c r="D2475" s="18">
        <f>VLOOKUP(C2475,'DISTRIBUIÇÃO NF4267'!$E$3:$FQ$75,MATCH(B2475,'DISTRIBUIÇÃO NF4267'!$E$3:$FQ$3,0)+1,0)</f>
        <v>2</v>
      </c>
      <c r="F2475" s="28">
        <f t="shared" si="121"/>
        <v>3</v>
      </c>
    </row>
    <row r="2476" spans="1:6" x14ac:dyDescent="0.35">
      <c r="A2476">
        <f t="shared" si="122"/>
        <v>0</v>
      </c>
      <c r="B2476" t="str">
        <f t="shared" si="123"/>
        <v>S7</v>
      </c>
      <c r="C2476" s="14" t="s">
        <v>140</v>
      </c>
      <c r="D2476" s="18">
        <f>VLOOKUP(C2476,'DISTRIBUIÇÃO NF4267'!$E$3:$FQ$75,MATCH(B2476,'DISTRIBUIÇÃO NF4267'!$E$3:$FQ$3,0)+1,0)</f>
        <v>4</v>
      </c>
      <c r="F2476" s="28">
        <f t="shared" si="121"/>
        <v>3</v>
      </c>
    </row>
    <row r="2477" spans="1:6" x14ac:dyDescent="0.35">
      <c r="A2477">
        <f t="shared" si="122"/>
        <v>0</v>
      </c>
      <c r="B2477" t="str">
        <f t="shared" si="123"/>
        <v>S7</v>
      </c>
      <c r="C2477" s="14" t="s">
        <v>141</v>
      </c>
      <c r="D2477" s="18">
        <f>VLOOKUP(C2477,'DISTRIBUIÇÃO NF4267'!$E$3:$FQ$75,MATCH(B2477,'DISTRIBUIÇÃO NF4267'!$E$3:$FQ$3,0)+1,0)</f>
        <v>2</v>
      </c>
      <c r="F2477" s="28">
        <f t="shared" si="121"/>
        <v>3</v>
      </c>
    </row>
    <row r="2478" spans="1:6" x14ac:dyDescent="0.35">
      <c r="A2478">
        <f t="shared" si="122"/>
        <v>0</v>
      </c>
      <c r="B2478" t="str">
        <f t="shared" si="123"/>
        <v>S7</v>
      </c>
      <c r="C2478" s="14" t="s">
        <v>142</v>
      </c>
      <c r="D2478" s="18">
        <f>VLOOKUP(C2478,'DISTRIBUIÇÃO NF4267'!$E$3:$FQ$75,MATCH(B2478,'DISTRIBUIÇÃO NF4267'!$E$3:$FQ$3,0)+1,0)</f>
        <v>2</v>
      </c>
      <c r="F2478" s="28">
        <f t="shared" si="121"/>
        <v>3</v>
      </c>
    </row>
    <row r="2479" spans="1:6" x14ac:dyDescent="0.35">
      <c r="A2479">
        <f t="shared" si="122"/>
        <v>0</v>
      </c>
      <c r="B2479" t="str">
        <f t="shared" si="123"/>
        <v>S7</v>
      </c>
      <c r="C2479" s="14" t="s">
        <v>143</v>
      </c>
      <c r="D2479" s="18">
        <f>VLOOKUP(C2479,'DISTRIBUIÇÃO NF4267'!$E$3:$FQ$75,MATCH(B2479,'DISTRIBUIÇÃO NF4267'!$E$3:$FQ$3,0)+1,0)</f>
        <v>0</v>
      </c>
      <c r="F2479" s="28">
        <f t="shared" si="121"/>
        <v>3</v>
      </c>
    </row>
    <row r="2480" spans="1:6" x14ac:dyDescent="0.35">
      <c r="A2480">
        <f t="shared" si="122"/>
        <v>0</v>
      </c>
      <c r="B2480" t="str">
        <f t="shared" si="123"/>
        <v>S7</v>
      </c>
      <c r="C2480" s="15" t="s">
        <v>145</v>
      </c>
      <c r="D2480" s="18">
        <f>VLOOKUP(C2480,'DISTRIBUIÇÃO NF4267'!$E$3:$FQ$75,MATCH(B2480,'DISTRIBUIÇÃO NF4267'!$E$3:$FQ$3,0)+1,0)</f>
        <v>0</v>
      </c>
      <c r="F2480" s="28">
        <f t="shared" si="121"/>
        <v>3</v>
      </c>
    </row>
    <row r="2481" spans="1:6" x14ac:dyDescent="0.35">
      <c r="A2481">
        <f t="shared" si="122"/>
        <v>0</v>
      </c>
      <c r="B2481" t="str">
        <f t="shared" si="123"/>
        <v>S7</v>
      </c>
      <c r="C2481" s="15" t="s">
        <v>146</v>
      </c>
      <c r="D2481" s="18">
        <f>VLOOKUP(C2481,'DISTRIBUIÇÃO NF4267'!$E$3:$FQ$75,MATCH(B2481,'DISTRIBUIÇÃO NF4267'!$E$3:$FQ$3,0)+1,0)</f>
        <v>2</v>
      </c>
      <c r="F2481" s="28">
        <f t="shared" si="121"/>
        <v>3</v>
      </c>
    </row>
    <row r="2482" spans="1:6" x14ac:dyDescent="0.35">
      <c r="A2482">
        <f t="shared" si="122"/>
        <v>0</v>
      </c>
      <c r="B2482" t="str">
        <f t="shared" si="123"/>
        <v>S7</v>
      </c>
      <c r="C2482" s="15" t="s">
        <v>147</v>
      </c>
      <c r="D2482" s="18">
        <f>VLOOKUP(C2482,'DISTRIBUIÇÃO NF4267'!$E$3:$FQ$75,MATCH(B2482,'DISTRIBUIÇÃO NF4267'!$E$3:$FQ$3,0)+1,0)</f>
        <v>4</v>
      </c>
      <c r="F2482" s="28">
        <f t="shared" si="121"/>
        <v>3</v>
      </c>
    </row>
    <row r="2483" spans="1:6" x14ac:dyDescent="0.35">
      <c r="A2483">
        <f t="shared" si="122"/>
        <v>0</v>
      </c>
      <c r="B2483" t="str">
        <f t="shared" si="123"/>
        <v>S7</v>
      </c>
      <c r="C2483" s="15" t="s">
        <v>148</v>
      </c>
      <c r="D2483" s="18">
        <f>VLOOKUP(C2483,'DISTRIBUIÇÃO NF4267'!$E$3:$FQ$75,MATCH(B2483,'DISTRIBUIÇÃO NF4267'!$E$3:$FQ$3,0)+1,0)</f>
        <v>2</v>
      </c>
      <c r="F2483" s="28">
        <f t="shared" si="121"/>
        <v>3</v>
      </c>
    </row>
    <row r="2484" spans="1:6" x14ac:dyDescent="0.35">
      <c r="A2484">
        <f t="shared" si="122"/>
        <v>0</v>
      </c>
      <c r="B2484" t="str">
        <f t="shared" si="123"/>
        <v>S7</v>
      </c>
      <c r="C2484" s="15" t="s">
        <v>149</v>
      </c>
      <c r="D2484" s="18">
        <f>VLOOKUP(C2484,'DISTRIBUIÇÃO NF4267'!$E$3:$FQ$75,MATCH(B2484,'DISTRIBUIÇÃO NF4267'!$E$3:$FQ$3,0)+1,0)</f>
        <v>2</v>
      </c>
      <c r="F2484" s="28">
        <f t="shared" si="121"/>
        <v>3</v>
      </c>
    </row>
    <row r="2485" spans="1:6" x14ac:dyDescent="0.35">
      <c r="A2485">
        <f t="shared" si="122"/>
        <v>0</v>
      </c>
      <c r="B2485" t="str">
        <f t="shared" si="123"/>
        <v>S7</v>
      </c>
      <c r="C2485" s="15" t="s">
        <v>150</v>
      </c>
      <c r="D2485" s="18">
        <f>VLOOKUP(C2485,'DISTRIBUIÇÃO NF4267'!$E$3:$FQ$75,MATCH(B2485,'DISTRIBUIÇÃO NF4267'!$E$3:$FQ$3,0)+1,0)</f>
        <v>0</v>
      </c>
      <c r="F2485" s="28">
        <f t="shared" si="121"/>
        <v>3</v>
      </c>
    </row>
    <row r="2486" spans="1:6" x14ac:dyDescent="0.35">
      <c r="A2486">
        <f t="shared" si="122"/>
        <v>0</v>
      </c>
      <c r="B2486" t="s">
        <v>59</v>
      </c>
      <c r="C2486" s="7" t="s">
        <v>98</v>
      </c>
      <c r="D2486" s="18">
        <f>VLOOKUP(C2486,'DISTRIBUIÇÃO NF4267'!$E$3:$FQ$75,MATCH(B2486,'DISTRIBUIÇÃO NF4267'!$E$3:$FQ$3,0)+1,0)</f>
        <v>0</v>
      </c>
      <c r="F2486" s="28">
        <f t="shared" si="121"/>
        <v>3</v>
      </c>
    </row>
    <row r="2487" spans="1:6" x14ac:dyDescent="0.35">
      <c r="A2487">
        <f t="shared" si="122"/>
        <v>0</v>
      </c>
      <c r="B2487" t="str">
        <f>B2486</f>
        <v>W6</v>
      </c>
      <c r="C2487" s="7" t="s">
        <v>99</v>
      </c>
      <c r="D2487" s="18">
        <f>VLOOKUP(C2487,'DISTRIBUIÇÃO NF4267'!$E$3:$FQ$75,MATCH(B2487,'DISTRIBUIÇÃO NF4267'!$E$3:$FQ$3,0)+1,0)</f>
        <v>4</v>
      </c>
      <c r="F2487" s="28">
        <f t="shared" si="121"/>
        <v>3</v>
      </c>
    </row>
    <row r="2488" spans="1:6" x14ac:dyDescent="0.35">
      <c r="A2488">
        <f t="shared" si="122"/>
        <v>0</v>
      </c>
      <c r="B2488" t="str">
        <f t="shared" ref="B2488:B2539" si="124">B2487</f>
        <v>W6</v>
      </c>
      <c r="C2488" s="7" t="s">
        <v>100</v>
      </c>
      <c r="D2488" s="18">
        <f>VLOOKUP(C2488,'DISTRIBUIÇÃO NF4267'!$E$3:$FQ$75,MATCH(B2488,'DISTRIBUIÇÃO NF4267'!$E$3:$FQ$3,0)+1,0)</f>
        <v>8</v>
      </c>
      <c r="F2488" s="28">
        <f t="shared" ref="F2488:F2551" si="125">ROUNDUP(SUMIFS(D:D,B:B,B2488)/80,0)</f>
        <v>3</v>
      </c>
    </row>
    <row r="2489" spans="1:6" x14ac:dyDescent="0.35">
      <c r="A2489">
        <f t="shared" si="122"/>
        <v>0</v>
      </c>
      <c r="B2489" t="str">
        <f t="shared" si="124"/>
        <v>W6</v>
      </c>
      <c r="C2489" s="7" t="s">
        <v>101</v>
      </c>
      <c r="D2489" s="18">
        <f>VLOOKUP(C2489,'DISTRIBUIÇÃO NF4267'!$E$3:$FQ$75,MATCH(B2489,'DISTRIBUIÇÃO NF4267'!$E$3:$FQ$3,0)+1,0)</f>
        <v>4</v>
      </c>
      <c r="F2489" s="28">
        <f t="shared" si="125"/>
        <v>3</v>
      </c>
    </row>
    <row r="2490" spans="1:6" x14ac:dyDescent="0.35">
      <c r="A2490">
        <f t="shared" si="122"/>
        <v>0</v>
      </c>
      <c r="B2490" t="str">
        <f t="shared" si="124"/>
        <v>W6</v>
      </c>
      <c r="C2490" s="7" t="s">
        <v>102</v>
      </c>
      <c r="D2490" s="18">
        <f>VLOOKUP(C2490,'DISTRIBUIÇÃO NF4267'!$E$3:$FQ$75,MATCH(B2490,'DISTRIBUIÇÃO NF4267'!$E$3:$FQ$3,0)+1,0)</f>
        <v>4</v>
      </c>
      <c r="F2490" s="28">
        <f t="shared" si="125"/>
        <v>3</v>
      </c>
    </row>
    <row r="2491" spans="1:6" x14ac:dyDescent="0.35">
      <c r="A2491">
        <f t="shared" si="122"/>
        <v>0</v>
      </c>
      <c r="B2491" t="str">
        <f t="shared" si="124"/>
        <v>W6</v>
      </c>
      <c r="C2491" s="7" t="s">
        <v>103</v>
      </c>
      <c r="D2491" s="18">
        <f>VLOOKUP(C2491,'DISTRIBUIÇÃO NF4267'!$E$3:$FQ$75,MATCH(B2491,'DISTRIBUIÇÃO NF4267'!$E$3:$FQ$3,0)+1,0)</f>
        <v>0</v>
      </c>
      <c r="F2491" s="28">
        <f t="shared" si="125"/>
        <v>3</v>
      </c>
    </row>
    <row r="2492" spans="1:6" x14ac:dyDescent="0.35">
      <c r="A2492">
        <f t="shared" si="122"/>
        <v>0</v>
      </c>
      <c r="B2492" t="str">
        <f t="shared" si="124"/>
        <v>W6</v>
      </c>
      <c r="C2492" s="8" t="s">
        <v>107</v>
      </c>
      <c r="D2492" s="18">
        <f>VLOOKUP(C2492,'DISTRIBUIÇÃO NF4267'!$E$3:$FQ$75,MATCH(B2492,'DISTRIBUIÇÃO NF4267'!$E$3:$FQ$3,0)+1,0)</f>
        <v>0</v>
      </c>
      <c r="F2492" s="28">
        <f t="shared" si="125"/>
        <v>3</v>
      </c>
    </row>
    <row r="2493" spans="1:6" x14ac:dyDescent="0.35">
      <c r="A2493">
        <f t="shared" si="122"/>
        <v>0</v>
      </c>
      <c r="B2493" t="str">
        <f t="shared" si="124"/>
        <v>W6</v>
      </c>
      <c r="C2493" s="8" t="s">
        <v>108</v>
      </c>
      <c r="D2493" s="18">
        <f>VLOOKUP(C2493,'DISTRIBUIÇÃO NF4267'!$E$3:$FQ$75,MATCH(B2493,'DISTRIBUIÇÃO NF4267'!$E$3:$FQ$3,0)+1,0)</f>
        <v>2</v>
      </c>
      <c r="F2493" s="28">
        <f t="shared" si="125"/>
        <v>3</v>
      </c>
    </row>
    <row r="2494" spans="1:6" x14ac:dyDescent="0.35">
      <c r="A2494">
        <f t="shared" si="122"/>
        <v>0</v>
      </c>
      <c r="B2494" t="str">
        <f t="shared" si="124"/>
        <v>W6</v>
      </c>
      <c r="C2494" s="8" t="s">
        <v>109</v>
      </c>
      <c r="D2494" s="18">
        <f>VLOOKUP(C2494,'DISTRIBUIÇÃO NF4267'!$E$3:$FQ$75,MATCH(B2494,'DISTRIBUIÇÃO NF4267'!$E$3:$FQ$3,0)+1,0)</f>
        <v>4</v>
      </c>
      <c r="F2494" s="28">
        <f t="shared" si="125"/>
        <v>3</v>
      </c>
    </row>
    <row r="2495" spans="1:6" x14ac:dyDescent="0.35">
      <c r="A2495">
        <f t="shared" si="122"/>
        <v>0</v>
      </c>
      <c r="B2495" t="str">
        <f t="shared" si="124"/>
        <v>W6</v>
      </c>
      <c r="C2495" s="8" t="s">
        <v>110</v>
      </c>
      <c r="D2495" s="18">
        <f>VLOOKUP(C2495,'DISTRIBUIÇÃO NF4267'!$E$3:$FQ$75,MATCH(B2495,'DISTRIBUIÇÃO NF4267'!$E$3:$FQ$3,0)+1,0)</f>
        <v>2</v>
      </c>
      <c r="F2495" s="28">
        <f t="shared" si="125"/>
        <v>3</v>
      </c>
    </row>
    <row r="2496" spans="1:6" x14ac:dyDescent="0.35">
      <c r="A2496">
        <f t="shared" si="122"/>
        <v>0</v>
      </c>
      <c r="B2496" t="str">
        <f t="shared" si="124"/>
        <v>W6</v>
      </c>
      <c r="C2496" s="8" t="s">
        <v>111</v>
      </c>
      <c r="D2496" s="18">
        <f>VLOOKUP(C2496,'DISTRIBUIÇÃO NF4267'!$E$3:$FQ$75,MATCH(B2496,'DISTRIBUIÇÃO NF4267'!$E$3:$FQ$3,0)+1,0)</f>
        <v>2</v>
      </c>
      <c r="F2496" s="28">
        <f t="shared" si="125"/>
        <v>3</v>
      </c>
    </row>
    <row r="2497" spans="1:6" x14ac:dyDescent="0.35">
      <c r="A2497">
        <f t="shared" si="122"/>
        <v>0</v>
      </c>
      <c r="B2497" t="str">
        <f t="shared" si="124"/>
        <v>W6</v>
      </c>
      <c r="C2497" s="8" t="s">
        <v>112</v>
      </c>
      <c r="D2497" s="18">
        <f>VLOOKUP(C2497,'DISTRIBUIÇÃO NF4267'!$E$3:$FQ$75,MATCH(B2497,'DISTRIBUIÇÃO NF4267'!$E$3:$FQ$3,0)+1,0)</f>
        <v>0</v>
      </c>
      <c r="F2497" s="28">
        <f t="shared" si="125"/>
        <v>3</v>
      </c>
    </row>
    <row r="2498" spans="1:6" x14ac:dyDescent="0.35">
      <c r="A2498">
        <f t="shared" ref="A2498:A2561" si="126">IF(ISERROR(VLOOKUP(C2498,I:I,1,0)),0,1)</f>
        <v>0</v>
      </c>
      <c r="B2498" t="str">
        <f t="shared" si="124"/>
        <v>W6</v>
      </c>
      <c r="C2498" s="9" t="s">
        <v>113</v>
      </c>
      <c r="D2498" s="18">
        <f>VLOOKUP(C2498,'DISTRIBUIÇÃO NF4267'!$E$3:$FQ$75,MATCH(B2498,'DISTRIBUIÇÃO NF4267'!$E$3:$FQ$3,0)+1,0)</f>
        <v>0</v>
      </c>
      <c r="F2498" s="28">
        <f t="shared" si="125"/>
        <v>3</v>
      </c>
    </row>
    <row r="2499" spans="1:6" x14ac:dyDescent="0.35">
      <c r="A2499">
        <f t="shared" si="126"/>
        <v>0</v>
      </c>
      <c r="B2499" t="str">
        <f t="shared" si="124"/>
        <v>W6</v>
      </c>
      <c r="C2499" s="9" t="s">
        <v>114</v>
      </c>
      <c r="D2499" s="18">
        <f>VLOOKUP(C2499,'DISTRIBUIÇÃO NF4267'!$E$3:$FQ$75,MATCH(B2499,'DISTRIBUIÇÃO NF4267'!$E$3:$FQ$3,0)+1,0)</f>
        <v>3</v>
      </c>
      <c r="F2499" s="28">
        <f t="shared" si="125"/>
        <v>3</v>
      </c>
    </row>
    <row r="2500" spans="1:6" x14ac:dyDescent="0.35">
      <c r="A2500">
        <f t="shared" si="126"/>
        <v>0</v>
      </c>
      <c r="B2500" t="str">
        <f t="shared" si="124"/>
        <v>W6</v>
      </c>
      <c r="C2500" s="9" t="s">
        <v>115</v>
      </c>
      <c r="D2500" s="18">
        <f>VLOOKUP(C2500,'DISTRIBUIÇÃO NF4267'!$E$3:$FQ$75,MATCH(B2500,'DISTRIBUIÇÃO NF4267'!$E$3:$FQ$3,0)+1,0)</f>
        <v>4</v>
      </c>
      <c r="F2500" s="28">
        <f t="shared" si="125"/>
        <v>3</v>
      </c>
    </row>
    <row r="2501" spans="1:6" x14ac:dyDescent="0.35">
      <c r="A2501">
        <f t="shared" si="126"/>
        <v>0</v>
      </c>
      <c r="B2501" t="str">
        <f t="shared" si="124"/>
        <v>W6</v>
      </c>
      <c r="C2501" s="9" t="s">
        <v>116</v>
      </c>
      <c r="D2501" s="18">
        <f>VLOOKUP(C2501,'DISTRIBUIÇÃO NF4267'!$E$3:$FQ$75,MATCH(B2501,'DISTRIBUIÇÃO NF4267'!$E$3:$FQ$3,0)+1,0)</f>
        <v>2</v>
      </c>
      <c r="F2501" s="28">
        <f t="shared" si="125"/>
        <v>3</v>
      </c>
    </row>
    <row r="2502" spans="1:6" x14ac:dyDescent="0.35">
      <c r="A2502">
        <f t="shared" si="126"/>
        <v>0</v>
      </c>
      <c r="B2502" t="str">
        <f t="shared" si="124"/>
        <v>W6</v>
      </c>
      <c r="C2502" s="9" t="s">
        <v>117</v>
      </c>
      <c r="D2502" s="18">
        <f>VLOOKUP(C2502,'DISTRIBUIÇÃO NF4267'!$E$3:$FQ$75,MATCH(B2502,'DISTRIBUIÇÃO NF4267'!$E$3:$FQ$3,0)+1,0)</f>
        <v>1</v>
      </c>
      <c r="F2502" s="28">
        <f t="shared" si="125"/>
        <v>3</v>
      </c>
    </row>
    <row r="2503" spans="1:6" x14ac:dyDescent="0.35">
      <c r="A2503">
        <f t="shared" si="126"/>
        <v>0</v>
      </c>
      <c r="B2503" t="str">
        <f t="shared" si="124"/>
        <v>W6</v>
      </c>
      <c r="C2503" s="9" t="s">
        <v>118</v>
      </c>
      <c r="D2503" s="18">
        <f>VLOOKUP(C2503,'DISTRIBUIÇÃO NF4267'!$E$3:$FQ$75,MATCH(B2503,'DISTRIBUIÇÃO NF4267'!$E$3:$FQ$3,0)+1,0)</f>
        <v>0</v>
      </c>
      <c r="F2503" s="28">
        <f t="shared" si="125"/>
        <v>3</v>
      </c>
    </row>
    <row r="2504" spans="1:6" x14ac:dyDescent="0.35">
      <c r="A2504">
        <f t="shared" si="126"/>
        <v>0</v>
      </c>
      <c r="B2504" t="str">
        <f t="shared" si="124"/>
        <v>W6</v>
      </c>
      <c r="C2504" s="10" t="s">
        <v>119</v>
      </c>
      <c r="D2504" s="18">
        <f>VLOOKUP(C2504,'DISTRIBUIÇÃO NF4267'!$E$3:$FQ$75,MATCH(B2504,'DISTRIBUIÇÃO NF4267'!$E$3:$FQ$3,0)+1,0)</f>
        <v>0</v>
      </c>
      <c r="F2504" s="28">
        <f t="shared" si="125"/>
        <v>3</v>
      </c>
    </row>
    <row r="2505" spans="1:6" x14ac:dyDescent="0.35">
      <c r="A2505">
        <f t="shared" si="126"/>
        <v>0</v>
      </c>
      <c r="B2505" t="str">
        <f t="shared" si="124"/>
        <v>W6</v>
      </c>
      <c r="C2505" s="10" t="s">
        <v>120</v>
      </c>
      <c r="D2505" s="18">
        <f>VLOOKUP(C2505,'DISTRIBUIÇÃO NF4267'!$E$3:$FQ$75,MATCH(B2505,'DISTRIBUIÇÃO NF4267'!$E$3:$FQ$3,0)+1,0)</f>
        <v>48</v>
      </c>
      <c r="F2505" s="28">
        <f t="shared" si="125"/>
        <v>3</v>
      </c>
    </row>
    <row r="2506" spans="1:6" x14ac:dyDescent="0.35">
      <c r="A2506">
        <f t="shared" si="126"/>
        <v>0</v>
      </c>
      <c r="B2506" t="str">
        <f t="shared" si="124"/>
        <v>W6</v>
      </c>
      <c r="C2506" s="10" t="s">
        <v>121</v>
      </c>
      <c r="D2506" s="18">
        <f>VLOOKUP(C2506,'DISTRIBUIÇÃO NF4267'!$E$3:$FQ$75,MATCH(B2506,'DISTRIBUIÇÃO NF4267'!$E$3:$FQ$3,0)+1,0)</f>
        <v>16</v>
      </c>
      <c r="F2506" s="28">
        <f t="shared" si="125"/>
        <v>3</v>
      </c>
    </row>
    <row r="2507" spans="1:6" x14ac:dyDescent="0.35">
      <c r="A2507">
        <f t="shared" si="126"/>
        <v>0</v>
      </c>
      <c r="B2507" t="str">
        <f t="shared" si="124"/>
        <v>W6</v>
      </c>
      <c r="C2507" s="10" t="s">
        <v>122</v>
      </c>
      <c r="D2507" s="18">
        <f>VLOOKUP(C2507,'DISTRIBUIÇÃO NF4267'!$E$3:$FQ$75,MATCH(B2507,'DISTRIBUIÇÃO NF4267'!$E$3:$FQ$3,0)+1,0)</f>
        <v>16</v>
      </c>
      <c r="F2507" s="28">
        <f t="shared" si="125"/>
        <v>3</v>
      </c>
    </row>
    <row r="2508" spans="1:6" x14ac:dyDescent="0.35">
      <c r="A2508">
        <f t="shared" si="126"/>
        <v>0</v>
      </c>
      <c r="B2508" t="str">
        <f t="shared" si="124"/>
        <v>W6</v>
      </c>
      <c r="C2508" s="10" t="s">
        <v>123</v>
      </c>
      <c r="D2508" s="18">
        <f>VLOOKUP(C2508,'DISTRIBUIÇÃO NF4267'!$E$3:$FQ$75,MATCH(B2508,'DISTRIBUIÇÃO NF4267'!$E$3:$FQ$3,0)+1,0)</f>
        <v>0</v>
      </c>
      <c r="F2508" s="28">
        <f t="shared" si="125"/>
        <v>3</v>
      </c>
    </row>
    <row r="2509" spans="1:6" x14ac:dyDescent="0.35">
      <c r="A2509">
        <f t="shared" si="126"/>
        <v>0</v>
      </c>
      <c r="B2509" t="str">
        <f t="shared" si="124"/>
        <v>W6</v>
      </c>
      <c r="C2509" s="10" t="s">
        <v>124</v>
      </c>
      <c r="D2509" s="18">
        <f>VLOOKUP(C2509,'DISTRIBUIÇÃO NF4267'!$E$3:$FQ$75,MATCH(B2509,'DISTRIBUIÇÃO NF4267'!$E$3:$FQ$3,0)+1,0)</f>
        <v>0</v>
      </c>
      <c r="F2509" s="28">
        <f t="shared" si="125"/>
        <v>3</v>
      </c>
    </row>
    <row r="2510" spans="1:6" x14ac:dyDescent="0.35">
      <c r="A2510">
        <f t="shared" si="126"/>
        <v>0</v>
      </c>
      <c r="B2510" t="str">
        <f t="shared" si="124"/>
        <v>W6</v>
      </c>
      <c r="C2510" s="11" t="s">
        <v>16</v>
      </c>
      <c r="D2510" s="18">
        <f>VLOOKUP(C2510,'DISTRIBUIÇÃO NF4267'!$E$3:$FQ$75,MATCH(B2510,'DISTRIBUIÇÃO NF4267'!$E$3:$FQ$3,0)+1,0)</f>
        <v>0</v>
      </c>
      <c r="F2510" s="28">
        <f t="shared" si="125"/>
        <v>3</v>
      </c>
    </row>
    <row r="2511" spans="1:6" x14ac:dyDescent="0.35">
      <c r="A2511">
        <f t="shared" si="126"/>
        <v>0</v>
      </c>
      <c r="B2511" t="str">
        <f t="shared" si="124"/>
        <v>W6</v>
      </c>
      <c r="C2511" s="11" t="s">
        <v>17</v>
      </c>
      <c r="D2511" s="18">
        <f>VLOOKUP(C2511,'DISTRIBUIÇÃO NF4267'!$E$3:$FQ$75,MATCH(B2511,'DISTRIBUIÇÃO NF4267'!$E$3:$FQ$3,0)+1,0)</f>
        <v>9</v>
      </c>
      <c r="F2511" s="28">
        <f t="shared" si="125"/>
        <v>3</v>
      </c>
    </row>
    <row r="2512" spans="1:6" x14ac:dyDescent="0.35">
      <c r="A2512">
        <f t="shared" si="126"/>
        <v>0</v>
      </c>
      <c r="B2512" t="str">
        <f t="shared" si="124"/>
        <v>W6</v>
      </c>
      <c r="C2512" s="11" t="s">
        <v>18</v>
      </c>
      <c r="D2512" s="18">
        <f>VLOOKUP(C2512,'DISTRIBUIÇÃO NF4267'!$E$3:$FQ$75,MATCH(B2512,'DISTRIBUIÇÃO NF4267'!$E$3:$FQ$3,0)+1,0)</f>
        <v>3</v>
      </c>
      <c r="F2512" s="28">
        <f t="shared" si="125"/>
        <v>3</v>
      </c>
    </row>
    <row r="2513" spans="1:6" x14ac:dyDescent="0.35">
      <c r="A2513">
        <f t="shared" si="126"/>
        <v>0</v>
      </c>
      <c r="B2513" t="str">
        <f t="shared" si="124"/>
        <v>W6</v>
      </c>
      <c r="C2513" s="11" t="s">
        <v>19</v>
      </c>
      <c r="D2513" s="18">
        <f>VLOOKUP(C2513,'DISTRIBUIÇÃO NF4267'!$E$3:$FQ$75,MATCH(B2513,'DISTRIBUIÇÃO NF4267'!$E$3:$FQ$3,0)+1,0)</f>
        <v>3</v>
      </c>
      <c r="F2513" s="28">
        <f t="shared" si="125"/>
        <v>3</v>
      </c>
    </row>
    <row r="2514" spans="1:6" x14ac:dyDescent="0.35">
      <c r="A2514">
        <f t="shared" si="126"/>
        <v>0</v>
      </c>
      <c r="B2514" t="str">
        <f t="shared" si="124"/>
        <v>W6</v>
      </c>
      <c r="C2514" s="11" t="s">
        <v>20</v>
      </c>
      <c r="D2514" s="18">
        <f>VLOOKUP(C2514,'DISTRIBUIÇÃO NF4267'!$E$3:$FQ$75,MATCH(B2514,'DISTRIBUIÇÃO NF4267'!$E$3:$FQ$3,0)+1,0)</f>
        <v>15</v>
      </c>
      <c r="F2514" s="28">
        <f t="shared" si="125"/>
        <v>3</v>
      </c>
    </row>
    <row r="2515" spans="1:6" x14ac:dyDescent="0.35">
      <c r="A2515">
        <f t="shared" si="126"/>
        <v>0</v>
      </c>
      <c r="B2515" t="str">
        <f t="shared" si="124"/>
        <v>W6</v>
      </c>
      <c r="C2515" s="11" t="s">
        <v>21</v>
      </c>
      <c r="D2515" s="18">
        <f>VLOOKUP(C2515,'DISTRIBUIÇÃO NF4267'!$E$3:$FQ$75,MATCH(B2515,'DISTRIBUIÇÃO NF4267'!$E$3:$FQ$3,0)+1,0)</f>
        <v>0</v>
      </c>
      <c r="F2515" s="28">
        <f t="shared" si="125"/>
        <v>3</v>
      </c>
    </row>
    <row r="2516" spans="1:6" x14ac:dyDescent="0.35">
      <c r="A2516">
        <f t="shared" si="126"/>
        <v>0</v>
      </c>
      <c r="B2516" t="str">
        <f t="shared" si="124"/>
        <v>W6</v>
      </c>
      <c r="C2516" s="12" t="s">
        <v>130</v>
      </c>
      <c r="D2516" s="18">
        <f>VLOOKUP(C2516,'DISTRIBUIÇÃO NF4267'!$E$3:$FQ$75,MATCH(B2516,'DISTRIBUIÇÃO NF4267'!$E$3:$FQ$3,0)+1,0)</f>
        <v>0</v>
      </c>
      <c r="F2516" s="28">
        <f t="shared" si="125"/>
        <v>3</v>
      </c>
    </row>
    <row r="2517" spans="1:6" x14ac:dyDescent="0.35">
      <c r="A2517">
        <f t="shared" si="126"/>
        <v>0</v>
      </c>
      <c r="B2517" t="str">
        <f t="shared" si="124"/>
        <v>W6</v>
      </c>
      <c r="C2517" s="12" t="s">
        <v>131</v>
      </c>
      <c r="D2517" s="18">
        <f>VLOOKUP(C2517,'DISTRIBUIÇÃO NF4267'!$E$3:$FQ$75,MATCH(B2517,'DISTRIBUIÇÃO NF4267'!$E$3:$FQ$3,0)+1,0)</f>
        <v>0</v>
      </c>
      <c r="F2517" s="28">
        <f t="shared" si="125"/>
        <v>3</v>
      </c>
    </row>
    <row r="2518" spans="1:6" x14ac:dyDescent="0.35">
      <c r="A2518">
        <f t="shared" si="126"/>
        <v>0</v>
      </c>
      <c r="B2518" t="str">
        <f t="shared" si="124"/>
        <v>W6</v>
      </c>
      <c r="C2518" s="12" t="s">
        <v>132</v>
      </c>
      <c r="D2518" s="18">
        <f>VLOOKUP(C2518,'DISTRIBUIÇÃO NF4267'!$E$3:$FQ$75,MATCH(B2518,'DISTRIBUIÇÃO NF4267'!$E$3:$FQ$3,0)+1,0)</f>
        <v>0</v>
      </c>
      <c r="F2518" s="28">
        <f t="shared" si="125"/>
        <v>3</v>
      </c>
    </row>
    <row r="2519" spans="1:6" x14ac:dyDescent="0.35">
      <c r="A2519">
        <f t="shared" si="126"/>
        <v>0</v>
      </c>
      <c r="B2519" t="str">
        <f t="shared" si="124"/>
        <v>W6</v>
      </c>
      <c r="C2519" s="12" t="s">
        <v>133</v>
      </c>
      <c r="D2519" s="18">
        <f>VLOOKUP(C2519,'DISTRIBUIÇÃO NF4267'!$E$3:$FQ$75,MATCH(B2519,'DISTRIBUIÇÃO NF4267'!$E$3:$FQ$3,0)+1,0)</f>
        <v>0</v>
      </c>
      <c r="F2519" s="28">
        <f t="shared" si="125"/>
        <v>3</v>
      </c>
    </row>
    <row r="2520" spans="1:6" x14ac:dyDescent="0.35">
      <c r="A2520">
        <f t="shared" si="126"/>
        <v>0</v>
      </c>
      <c r="B2520" t="str">
        <f t="shared" si="124"/>
        <v>W6</v>
      </c>
      <c r="C2520" s="12" t="s">
        <v>134</v>
      </c>
      <c r="D2520" s="18">
        <f>VLOOKUP(C2520,'DISTRIBUIÇÃO NF4267'!$E$3:$FQ$75,MATCH(B2520,'DISTRIBUIÇÃO NF4267'!$E$3:$FQ$3,0)+1,0)</f>
        <v>0</v>
      </c>
      <c r="F2520" s="28">
        <f t="shared" si="125"/>
        <v>3</v>
      </c>
    </row>
    <row r="2521" spans="1:6" x14ac:dyDescent="0.35">
      <c r="A2521">
        <f t="shared" si="126"/>
        <v>0</v>
      </c>
      <c r="B2521" t="str">
        <f t="shared" si="124"/>
        <v>W6</v>
      </c>
      <c r="C2521" s="12" t="s">
        <v>135</v>
      </c>
      <c r="D2521" s="18">
        <f>VLOOKUP(C2521,'DISTRIBUIÇÃO NF4267'!$E$3:$FQ$75,MATCH(B2521,'DISTRIBUIÇÃO NF4267'!$E$3:$FQ$3,0)+1,0)</f>
        <v>0</v>
      </c>
      <c r="F2521" s="28">
        <f t="shared" si="125"/>
        <v>3</v>
      </c>
    </row>
    <row r="2522" spans="1:6" x14ac:dyDescent="0.35">
      <c r="A2522">
        <f t="shared" si="126"/>
        <v>0</v>
      </c>
      <c r="B2522" t="str">
        <f t="shared" si="124"/>
        <v>W6</v>
      </c>
      <c r="C2522" s="13" t="s">
        <v>22</v>
      </c>
      <c r="D2522" s="18">
        <f>VLOOKUP(C2522,'DISTRIBUIÇÃO NF4267'!$E$3:$FQ$75,MATCH(B2522,'DISTRIBUIÇÃO NF4267'!$E$3:$FQ$3,0)+1,0)</f>
        <v>0</v>
      </c>
      <c r="F2522" s="28">
        <f t="shared" si="125"/>
        <v>3</v>
      </c>
    </row>
    <row r="2523" spans="1:6" x14ac:dyDescent="0.35">
      <c r="A2523">
        <f t="shared" si="126"/>
        <v>0</v>
      </c>
      <c r="B2523" t="str">
        <f t="shared" si="124"/>
        <v>W6</v>
      </c>
      <c r="C2523" s="13" t="s">
        <v>23</v>
      </c>
      <c r="D2523" s="18">
        <f>VLOOKUP(C2523,'DISTRIBUIÇÃO NF4267'!$E$3:$FQ$75,MATCH(B2523,'DISTRIBUIÇÃO NF4267'!$E$3:$FQ$3,0)+1,0)</f>
        <v>0</v>
      </c>
      <c r="F2523" s="28">
        <f t="shared" si="125"/>
        <v>3</v>
      </c>
    </row>
    <row r="2524" spans="1:6" x14ac:dyDescent="0.35">
      <c r="A2524">
        <f t="shared" si="126"/>
        <v>0</v>
      </c>
      <c r="B2524" t="str">
        <f t="shared" si="124"/>
        <v>W6</v>
      </c>
      <c r="C2524" s="13" t="s">
        <v>24</v>
      </c>
      <c r="D2524" s="18">
        <f>VLOOKUP(C2524,'DISTRIBUIÇÃO NF4267'!$E$3:$FQ$75,MATCH(B2524,'DISTRIBUIÇÃO NF4267'!$E$3:$FQ$3,0)+1,0)</f>
        <v>0</v>
      </c>
      <c r="F2524" s="28">
        <f t="shared" si="125"/>
        <v>3</v>
      </c>
    </row>
    <row r="2525" spans="1:6" x14ac:dyDescent="0.35">
      <c r="A2525">
        <f t="shared" si="126"/>
        <v>0</v>
      </c>
      <c r="B2525" t="str">
        <f t="shared" si="124"/>
        <v>W6</v>
      </c>
      <c r="C2525" s="13" t="s">
        <v>25</v>
      </c>
      <c r="D2525" s="18">
        <f>VLOOKUP(C2525,'DISTRIBUIÇÃO NF4267'!$E$3:$FQ$75,MATCH(B2525,'DISTRIBUIÇÃO NF4267'!$E$3:$FQ$3,0)+1,0)</f>
        <v>0</v>
      </c>
      <c r="F2525" s="28">
        <f t="shared" si="125"/>
        <v>3</v>
      </c>
    </row>
    <row r="2526" spans="1:6" x14ac:dyDescent="0.35">
      <c r="A2526">
        <f t="shared" si="126"/>
        <v>0</v>
      </c>
      <c r="B2526" t="str">
        <f t="shared" si="124"/>
        <v>W6</v>
      </c>
      <c r="C2526" s="13" t="s">
        <v>26</v>
      </c>
      <c r="D2526" s="18">
        <f>VLOOKUP(C2526,'DISTRIBUIÇÃO NF4267'!$E$3:$FQ$75,MATCH(B2526,'DISTRIBUIÇÃO NF4267'!$E$3:$FQ$3,0)+1,0)</f>
        <v>0</v>
      </c>
      <c r="F2526" s="28">
        <f t="shared" si="125"/>
        <v>3</v>
      </c>
    </row>
    <row r="2527" spans="1:6" x14ac:dyDescent="0.35">
      <c r="A2527">
        <f t="shared" si="126"/>
        <v>0</v>
      </c>
      <c r="B2527" t="str">
        <f t="shared" si="124"/>
        <v>W6</v>
      </c>
      <c r="C2527" s="13" t="s">
        <v>27</v>
      </c>
      <c r="D2527" s="18">
        <f>VLOOKUP(C2527,'DISTRIBUIÇÃO NF4267'!$E$3:$FQ$75,MATCH(B2527,'DISTRIBUIÇÃO NF4267'!$E$3:$FQ$3,0)+1,0)</f>
        <v>0</v>
      </c>
      <c r="F2527" s="28">
        <f t="shared" si="125"/>
        <v>3</v>
      </c>
    </row>
    <row r="2528" spans="1:6" x14ac:dyDescent="0.35">
      <c r="A2528">
        <f t="shared" si="126"/>
        <v>0</v>
      </c>
      <c r="B2528" t="str">
        <f t="shared" si="124"/>
        <v>W6</v>
      </c>
      <c r="C2528" s="14" t="s">
        <v>138</v>
      </c>
      <c r="D2528" s="18">
        <f>VLOOKUP(C2528,'DISTRIBUIÇÃO NF4267'!$E$3:$FQ$75,MATCH(B2528,'DISTRIBUIÇÃO NF4267'!$E$3:$FQ$3,0)+1,0)</f>
        <v>0</v>
      </c>
      <c r="F2528" s="28">
        <f t="shared" si="125"/>
        <v>3</v>
      </c>
    </row>
    <row r="2529" spans="1:6" x14ac:dyDescent="0.35">
      <c r="A2529">
        <f t="shared" si="126"/>
        <v>0</v>
      </c>
      <c r="B2529" t="str">
        <f t="shared" si="124"/>
        <v>W6</v>
      </c>
      <c r="C2529" s="14" t="s">
        <v>139</v>
      </c>
      <c r="D2529" s="18">
        <f>VLOOKUP(C2529,'DISTRIBUIÇÃO NF4267'!$E$3:$FQ$75,MATCH(B2529,'DISTRIBUIÇÃO NF4267'!$E$3:$FQ$3,0)+1,0)</f>
        <v>2</v>
      </c>
      <c r="F2529" s="28">
        <f t="shared" si="125"/>
        <v>3</v>
      </c>
    </row>
    <row r="2530" spans="1:6" x14ac:dyDescent="0.35">
      <c r="A2530">
        <f t="shared" si="126"/>
        <v>0</v>
      </c>
      <c r="B2530" t="str">
        <f t="shared" si="124"/>
        <v>W6</v>
      </c>
      <c r="C2530" s="14" t="s">
        <v>140</v>
      </c>
      <c r="D2530" s="18">
        <f>VLOOKUP(C2530,'DISTRIBUIÇÃO NF4267'!$E$3:$FQ$75,MATCH(B2530,'DISTRIBUIÇÃO NF4267'!$E$3:$FQ$3,0)+1,0)</f>
        <v>4</v>
      </c>
      <c r="F2530" s="28">
        <f t="shared" si="125"/>
        <v>3</v>
      </c>
    </row>
    <row r="2531" spans="1:6" x14ac:dyDescent="0.35">
      <c r="A2531">
        <f t="shared" si="126"/>
        <v>0</v>
      </c>
      <c r="B2531" t="str">
        <f t="shared" si="124"/>
        <v>W6</v>
      </c>
      <c r="C2531" s="14" t="s">
        <v>141</v>
      </c>
      <c r="D2531" s="18">
        <f>VLOOKUP(C2531,'DISTRIBUIÇÃO NF4267'!$E$3:$FQ$75,MATCH(B2531,'DISTRIBUIÇÃO NF4267'!$E$3:$FQ$3,0)+1,0)</f>
        <v>2</v>
      </c>
      <c r="F2531" s="28">
        <f t="shared" si="125"/>
        <v>3</v>
      </c>
    </row>
    <row r="2532" spans="1:6" x14ac:dyDescent="0.35">
      <c r="A2532">
        <f t="shared" si="126"/>
        <v>0</v>
      </c>
      <c r="B2532" t="str">
        <f t="shared" si="124"/>
        <v>W6</v>
      </c>
      <c r="C2532" s="14" t="s">
        <v>142</v>
      </c>
      <c r="D2532" s="18">
        <f>VLOOKUP(C2532,'DISTRIBUIÇÃO NF4267'!$E$3:$FQ$75,MATCH(B2532,'DISTRIBUIÇÃO NF4267'!$E$3:$FQ$3,0)+1,0)</f>
        <v>2</v>
      </c>
      <c r="F2532" s="28">
        <f t="shared" si="125"/>
        <v>3</v>
      </c>
    </row>
    <row r="2533" spans="1:6" x14ac:dyDescent="0.35">
      <c r="A2533">
        <f t="shared" si="126"/>
        <v>0</v>
      </c>
      <c r="B2533" t="str">
        <f t="shared" si="124"/>
        <v>W6</v>
      </c>
      <c r="C2533" s="14" t="s">
        <v>143</v>
      </c>
      <c r="D2533" s="18">
        <f>VLOOKUP(C2533,'DISTRIBUIÇÃO NF4267'!$E$3:$FQ$75,MATCH(B2533,'DISTRIBUIÇÃO NF4267'!$E$3:$FQ$3,0)+1,0)</f>
        <v>0</v>
      </c>
      <c r="F2533" s="28">
        <f t="shared" si="125"/>
        <v>3</v>
      </c>
    </row>
    <row r="2534" spans="1:6" x14ac:dyDescent="0.35">
      <c r="A2534">
        <f t="shared" si="126"/>
        <v>0</v>
      </c>
      <c r="B2534" t="str">
        <f t="shared" si="124"/>
        <v>W6</v>
      </c>
      <c r="C2534" s="15" t="s">
        <v>145</v>
      </c>
      <c r="D2534" s="18">
        <f>VLOOKUP(C2534,'DISTRIBUIÇÃO NF4267'!$E$3:$FQ$75,MATCH(B2534,'DISTRIBUIÇÃO NF4267'!$E$3:$FQ$3,0)+1,0)</f>
        <v>0</v>
      </c>
      <c r="F2534" s="28">
        <f t="shared" si="125"/>
        <v>3</v>
      </c>
    </row>
    <row r="2535" spans="1:6" x14ac:dyDescent="0.35">
      <c r="A2535">
        <f t="shared" si="126"/>
        <v>0</v>
      </c>
      <c r="B2535" t="str">
        <f t="shared" si="124"/>
        <v>W6</v>
      </c>
      <c r="C2535" s="15" t="s">
        <v>146</v>
      </c>
      <c r="D2535" s="18">
        <f>VLOOKUP(C2535,'DISTRIBUIÇÃO NF4267'!$E$3:$FQ$75,MATCH(B2535,'DISTRIBUIÇÃO NF4267'!$E$3:$FQ$3,0)+1,0)</f>
        <v>2</v>
      </c>
      <c r="F2535" s="28">
        <f t="shared" si="125"/>
        <v>3</v>
      </c>
    </row>
    <row r="2536" spans="1:6" x14ac:dyDescent="0.35">
      <c r="A2536">
        <f t="shared" si="126"/>
        <v>0</v>
      </c>
      <c r="B2536" t="str">
        <f t="shared" si="124"/>
        <v>W6</v>
      </c>
      <c r="C2536" s="15" t="s">
        <v>147</v>
      </c>
      <c r="D2536" s="18">
        <f>VLOOKUP(C2536,'DISTRIBUIÇÃO NF4267'!$E$3:$FQ$75,MATCH(B2536,'DISTRIBUIÇÃO NF4267'!$E$3:$FQ$3,0)+1,0)</f>
        <v>4</v>
      </c>
      <c r="F2536" s="28">
        <f t="shared" si="125"/>
        <v>3</v>
      </c>
    </row>
    <row r="2537" spans="1:6" x14ac:dyDescent="0.35">
      <c r="A2537">
        <f t="shared" si="126"/>
        <v>0</v>
      </c>
      <c r="B2537" t="str">
        <f t="shared" si="124"/>
        <v>W6</v>
      </c>
      <c r="C2537" s="15" t="s">
        <v>148</v>
      </c>
      <c r="D2537" s="18">
        <f>VLOOKUP(C2537,'DISTRIBUIÇÃO NF4267'!$E$3:$FQ$75,MATCH(B2537,'DISTRIBUIÇÃO NF4267'!$E$3:$FQ$3,0)+1,0)</f>
        <v>2</v>
      </c>
      <c r="F2537" s="28">
        <f t="shared" si="125"/>
        <v>3</v>
      </c>
    </row>
    <row r="2538" spans="1:6" x14ac:dyDescent="0.35">
      <c r="A2538">
        <f t="shared" si="126"/>
        <v>0</v>
      </c>
      <c r="B2538" t="str">
        <f t="shared" si="124"/>
        <v>W6</v>
      </c>
      <c r="C2538" s="15" t="s">
        <v>149</v>
      </c>
      <c r="D2538" s="18">
        <f>VLOOKUP(C2538,'DISTRIBUIÇÃO NF4267'!$E$3:$FQ$75,MATCH(B2538,'DISTRIBUIÇÃO NF4267'!$E$3:$FQ$3,0)+1,0)</f>
        <v>2</v>
      </c>
      <c r="F2538" s="28">
        <f t="shared" si="125"/>
        <v>3</v>
      </c>
    </row>
    <row r="2539" spans="1:6" x14ac:dyDescent="0.35">
      <c r="A2539">
        <f t="shared" si="126"/>
        <v>0</v>
      </c>
      <c r="B2539" t="str">
        <f t="shared" si="124"/>
        <v>W6</v>
      </c>
      <c r="C2539" s="15" t="s">
        <v>150</v>
      </c>
      <c r="D2539" s="18">
        <f>VLOOKUP(C2539,'DISTRIBUIÇÃO NF4267'!$E$3:$FQ$75,MATCH(B2539,'DISTRIBUIÇÃO NF4267'!$E$3:$FQ$3,0)+1,0)</f>
        <v>0</v>
      </c>
      <c r="F2539" s="28">
        <f t="shared" si="125"/>
        <v>3</v>
      </c>
    </row>
    <row r="2540" spans="1:6" x14ac:dyDescent="0.35">
      <c r="A2540">
        <f t="shared" si="126"/>
        <v>0</v>
      </c>
      <c r="B2540" t="s">
        <v>60</v>
      </c>
      <c r="C2540" s="7" t="s">
        <v>98</v>
      </c>
      <c r="D2540" s="18">
        <f>VLOOKUP(C2540,'DISTRIBUIÇÃO NF4267'!$E$3:$FQ$75,MATCH(B2540,'DISTRIBUIÇÃO NF4267'!$E$3:$FQ$3,0)+1,0)</f>
        <v>0</v>
      </c>
      <c r="F2540" s="28">
        <f t="shared" si="125"/>
        <v>3</v>
      </c>
    </row>
    <row r="2541" spans="1:6" x14ac:dyDescent="0.35">
      <c r="A2541">
        <f t="shared" si="126"/>
        <v>0</v>
      </c>
      <c r="B2541" t="str">
        <f>B2540</f>
        <v>J7</v>
      </c>
      <c r="C2541" s="7" t="s">
        <v>99</v>
      </c>
      <c r="D2541" s="18">
        <f>VLOOKUP(C2541,'DISTRIBUIÇÃO NF4267'!$E$3:$FQ$75,MATCH(B2541,'DISTRIBUIÇÃO NF4267'!$E$3:$FQ$3,0)+1,0)</f>
        <v>4</v>
      </c>
      <c r="F2541" s="28">
        <f t="shared" si="125"/>
        <v>3</v>
      </c>
    </row>
    <row r="2542" spans="1:6" x14ac:dyDescent="0.35">
      <c r="A2542">
        <f t="shared" si="126"/>
        <v>0</v>
      </c>
      <c r="B2542" t="str">
        <f t="shared" ref="B2542:B2593" si="127">B2541</f>
        <v>J7</v>
      </c>
      <c r="C2542" s="7" t="s">
        <v>100</v>
      </c>
      <c r="D2542" s="18">
        <f>VLOOKUP(C2542,'DISTRIBUIÇÃO NF4267'!$E$3:$FQ$75,MATCH(B2542,'DISTRIBUIÇÃO NF4267'!$E$3:$FQ$3,0)+1,0)</f>
        <v>8</v>
      </c>
      <c r="F2542" s="28">
        <f t="shared" si="125"/>
        <v>3</v>
      </c>
    </row>
    <row r="2543" spans="1:6" x14ac:dyDescent="0.35">
      <c r="A2543">
        <f t="shared" si="126"/>
        <v>0</v>
      </c>
      <c r="B2543" t="str">
        <f t="shared" si="127"/>
        <v>J7</v>
      </c>
      <c r="C2543" s="7" t="s">
        <v>101</v>
      </c>
      <c r="D2543" s="18">
        <f>VLOOKUP(C2543,'DISTRIBUIÇÃO NF4267'!$E$3:$FQ$75,MATCH(B2543,'DISTRIBUIÇÃO NF4267'!$E$3:$FQ$3,0)+1,0)</f>
        <v>4</v>
      </c>
      <c r="F2543" s="28">
        <f t="shared" si="125"/>
        <v>3</v>
      </c>
    </row>
    <row r="2544" spans="1:6" x14ac:dyDescent="0.35">
      <c r="A2544">
        <f t="shared" si="126"/>
        <v>0</v>
      </c>
      <c r="B2544" t="str">
        <f t="shared" si="127"/>
        <v>J7</v>
      </c>
      <c r="C2544" s="7" t="s">
        <v>102</v>
      </c>
      <c r="D2544" s="18">
        <f>VLOOKUP(C2544,'DISTRIBUIÇÃO NF4267'!$E$3:$FQ$75,MATCH(B2544,'DISTRIBUIÇÃO NF4267'!$E$3:$FQ$3,0)+1,0)</f>
        <v>4</v>
      </c>
      <c r="F2544" s="28">
        <f t="shared" si="125"/>
        <v>3</v>
      </c>
    </row>
    <row r="2545" spans="1:6" x14ac:dyDescent="0.35">
      <c r="A2545">
        <f t="shared" si="126"/>
        <v>0</v>
      </c>
      <c r="B2545" t="str">
        <f t="shared" si="127"/>
        <v>J7</v>
      </c>
      <c r="C2545" s="7" t="s">
        <v>103</v>
      </c>
      <c r="D2545" s="18">
        <f>VLOOKUP(C2545,'DISTRIBUIÇÃO NF4267'!$E$3:$FQ$75,MATCH(B2545,'DISTRIBUIÇÃO NF4267'!$E$3:$FQ$3,0)+1,0)</f>
        <v>0</v>
      </c>
      <c r="F2545" s="28">
        <f t="shared" si="125"/>
        <v>3</v>
      </c>
    </row>
    <row r="2546" spans="1:6" x14ac:dyDescent="0.35">
      <c r="A2546">
        <f t="shared" si="126"/>
        <v>0</v>
      </c>
      <c r="B2546" t="str">
        <f t="shared" si="127"/>
        <v>J7</v>
      </c>
      <c r="C2546" s="8" t="s">
        <v>107</v>
      </c>
      <c r="D2546" s="18">
        <f>VLOOKUP(C2546,'DISTRIBUIÇÃO NF4267'!$E$3:$FQ$75,MATCH(B2546,'DISTRIBUIÇÃO NF4267'!$E$3:$FQ$3,0)+1,0)</f>
        <v>0</v>
      </c>
      <c r="F2546" s="28">
        <f t="shared" si="125"/>
        <v>3</v>
      </c>
    </row>
    <row r="2547" spans="1:6" x14ac:dyDescent="0.35">
      <c r="A2547">
        <f t="shared" si="126"/>
        <v>0</v>
      </c>
      <c r="B2547" t="str">
        <f t="shared" si="127"/>
        <v>J7</v>
      </c>
      <c r="C2547" s="8" t="s">
        <v>108</v>
      </c>
      <c r="D2547" s="18">
        <f>VLOOKUP(C2547,'DISTRIBUIÇÃO NF4267'!$E$3:$FQ$75,MATCH(B2547,'DISTRIBUIÇÃO NF4267'!$E$3:$FQ$3,0)+1,0)</f>
        <v>2</v>
      </c>
      <c r="F2547" s="28">
        <f t="shared" si="125"/>
        <v>3</v>
      </c>
    </row>
    <row r="2548" spans="1:6" x14ac:dyDescent="0.35">
      <c r="A2548">
        <f t="shared" si="126"/>
        <v>0</v>
      </c>
      <c r="B2548" t="str">
        <f t="shared" si="127"/>
        <v>J7</v>
      </c>
      <c r="C2548" s="8" t="s">
        <v>109</v>
      </c>
      <c r="D2548" s="18">
        <f>VLOOKUP(C2548,'DISTRIBUIÇÃO NF4267'!$E$3:$FQ$75,MATCH(B2548,'DISTRIBUIÇÃO NF4267'!$E$3:$FQ$3,0)+1,0)</f>
        <v>4</v>
      </c>
      <c r="F2548" s="28">
        <f t="shared" si="125"/>
        <v>3</v>
      </c>
    </row>
    <row r="2549" spans="1:6" x14ac:dyDescent="0.35">
      <c r="A2549">
        <f t="shared" si="126"/>
        <v>0</v>
      </c>
      <c r="B2549" t="str">
        <f t="shared" si="127"/>
        <v>J7</v>
      </c>
      <c r="C2549" s="8" t="s">
        <v>110</v>
      </c>
      <c r="D2549" s="18">
        <f>VLOOKUP(C2549,'DISTRIBUIÇÃO NF4267'!$E$3:$FQ$75,MATCH(B2549,'DISTRIBUIÇÃO NF4267'!$E$3:$FQ$3,0)+1,0)</f>
        <v>2</v>
      </c>
      <c r="F2549" s="28">
        <f t="shared" si="125"/>
        <v>3</v>
      </c>
    </row>
    <row r="2550" spans="1:6" x14ac:dyDescent="0.35">
      <c r="A2550">
        <f t="shared" si="126"/>
        <v>0</v>
      </c>
      <c r="B2550" t="str">
        <f t="shared" si="127"/>
        <v>J7</v>
      </c>
      <c r="C2550" s="8" t="s">
        <v>111</v>
      </c>
      <c r="D2550" s="18">
        <f>VLOOKUP(C2550,'DISTRIBUIÇÃO NF4267'!$E$3:$FQ$75,MATCH(B2550,'DISTRIBUIÇÃO NF4267'!$E$3:$FQ$3,0)+1,0)</f>
        <v>2</v>
      </c>
      <c r="F2550" s="28">
        <f t="shared" si="125"/>
        <v>3</v>
      </c>
    </row>
    <row r="2551" spans="1:6" x14ac:dyDescent="0.35">
      <c r="A2551">
        <f t="shared" si="126"/>
        <v>0</v>
      </c>
      <c r="B2551" t="str">
        <f t="shared" si="127"/>
        <v>J7</v>
      </c>
      <c r="C2551" s="8" t="s">
        <v>112</v>
      </c>
      <c r="D2551" s="18">
        <f>VLOOKUP(C2551,'DISTRIBUIÇÃO NF4267'!$E$3:$FQ$75,MATCH(B2551,'DISTRIBUIÇÃO NF4267'!$E$3:$FQ$3,0)+1,0)</f>
        <v>0</v>
      </c>
      <c r="F2551" s="28">
        <f t="shared" si="125"/>
        <v>3</v>
      </c>
    </row>
    <row r="2552" spans="1:6" x14ac:dyDescent="0.35">
      <c r="A2552">
        <f t="shared" si="126"/>
        <v>0</v>
      </c>
      <c r="B2552" t="str">
        <f t="shared" si="127"/>
        <v>J7</v>
      </c>
      <c r="C2552" s="9" t="s">
        <v>113</v>
      </c>
      <c r="D2552" s="18">
        <f>VLOOKUP(C2552,'DISTRIBUIÇÃO NF4267'!$E$3:$FQ$75,MATCH(B2552,'DISTRIBUIÇÃO NF4267'!$E$3:$FQ$3,0)+1,0)</f>
        <v>0</v>
      </c>
      <c r="F2552" s="28">
        <f t="shared" ref="F2552:F2615" si="128">ROUNDUP(SUMIFS(D:D,B:B,B2552)/80,0)</f>
        <v>3</v>
      </c>
    </row>
    <row r="2553" spans="1:6" x14ac:dyDescent="0.35">
      <c r="A2553">
        <f t="shared" si="126"/>
        <v>0</v>
      </c>
      <c r="B2553" t="str">
        <f t="shared" si="127"/>
        <v>J7</v>
      </c>
      <c r="C2553" s="9" t="s">
        <v>114</v>
      </c>
      <c r="D2553" s="18">
        <f>VLOOKUP(C2553,'DISTRIBUIÇÃO NF4267'!$E$3:$FQ$75,MATCH(B2553,'DISTRIBUIÇÃO NF4267'!$E$3:$FQ$3,0)+1,0)</f>
        <v>3</v>
      </c>
      <c r="F2553" s="28">
        <f t="shared" si="128"/>
        <v>3</v>
      </c>
    </row>
    <row r="2554" spans="1:6" x14ac:dyDescent="0.35">
      <c r="A2554">
        <f t="shared" si="126"/>
        <v>0</v>
      </c>
      <c r="B2554" t="str">
        <f t="shared" si="127"/>
        <v>J7</v>
      </c>
      <c r="C2554" s="9" t="s">
        <v>115</v>
      </c>
      <c r="D2554" s="18">
        <f>VLOOKUP(C2554,'DISTRIBUIÇÃO NF4267'!$E$3:$FQ$75,MATCH(B2554,'DISTRIBUIÇÃO NF4267'!$E$3:$FQ$3,0)+1,0)</f>
        <v>4</v>
      </c>
      <c r="F2554" s="28">
        <f t="shared" si="128"/>
        <v>3</v>
      </c>
    </row>
    <row r="2555" spans="1:6" x14ac:dyDescent="0.35">
      <c r="A2555">
        <f t="shared" si="126"/>
        <v>0</v>
      </c>
      <c r="B2555" t="str">
        <f t="shared" si="127"/>
        <v>J7</v>
      </c>
      <c r="C2555" s="9" t="s">
        <v>116</v>
      </c>
      <c r="D2555" s="18">
        <f>VLOOKUP(C2555,'DISTRIBUIÇÃO NF4267'!$E$3:$FQ$75,MATCH(B2555,'DISTRIBUIÇÃO NF4267'!$E$3:$FQ$3,0)+1,0)</f>
        <v>2</v>
      </c>
      <c r="F2555" s="28">
        <f t="shared" si="128"/>
        <v>3</v>
      </c>
    </row>
    <row r="2556" spans="1:6" x14ac:dyDescent="0.35">
      <c r="A2556">
        <f t="shared" si="126"/>
        <v>0</v>
      </c>
      <c r="B2556" t="str">
        <f t="shared" si="127"/>
        <v>J7</v>
      </c>
      <c r="C2556" s="9" t="s">
        <v>117</v>
      </c>
      <c r="D2556" s="18">
        <f>VLOOKUP(C2556,'DISTRIBUIÇÃO NF4267'!$E$3:$FQ$75,MATCH(B2556,'DISTRIBUIÇÃO NF4267'!$E$3:$FQ$3,0)+1,0)</f>
        <v>1</v>
      </c>
      <c r="F2556" s="28">
        <f t="shared" si="128"/>
        <v>3</v>
      </c>
    </row>
    <row r="2557" spans="1:6" x14ac:dyDescent="0.35">
      <c r="A2557">
        <f t="shared" si="126"/>
        <v>0</v>
      </c>
      <c r="B2557" t="str">
        <f t="shared" si="127"/>
        <v>J7</v>
      </c>
      <c r="C2557" s="9" t="s">
        <v>118</v>
      </c>
      <c r="D2557" s="18">
        <f>VLOOKUP(C2557,'DISTRIBUIÇÃO NF4267'!$E$3:$FQ$75,MATCH(B2557,'DISTRIBUIÇÃO NF4267'!$E$3:$FQ$3,0)+1,0)</f>
        <v>0</v>
      </c>
      <c r="F2557" s="28">
        <f t="shared" si="128"/>
        <v>3</v>
      </c>
    </row>
    <row r="2558" spans="1:6" x14ac:dyDescent="0.35">
      <c r="A2558">
        <f t="shared" si="126"/>
        <v>0</v>
      </c>
      <c r="B2558" t="str">
        <f t="shared" si="127"/>
        <v>J7</v>
      </c>
      <c r="C2558" s="10" t="s">
        <v>119</v>
      </c>
      <c r="D2558" s="18">
        <f>VLOOKUP(C2558,'DISTRIBUIÇÃO NF4267'!$E$3:$FQ$75,MATCH(B2558,'DISTRIBUIÇÃO NF4267'!$E$3:$FQ$3,0)+1,0)</f>
        <v>0</v>
      </c>
      <c r="F2558" s="28">
        <f t="shared" si="128"/>
        <v>3</v>
      </c>
    </row>
    <row r="2559" spans="1:6" x14ac:dyDescent="0.35">
      <c r="A2559">
        <f t="shared" si="126"/>
        <v>0</v>
      </c>
      <c r="B2559" t="str">
        <f t="shared" si="127"/>
        <v>J7</v>
      </c>
      <c r="C2559" s="10" t="s">
        <v>120</v>
      </c>
      <c r="D2559" s="18">
        <f>VLOOKUP(C2559,'DISTRIBUIÇÃO NF4267'!$E$3:$FQ$75,MATCH(B2559,'DISTRIBUIÇÃO NF4267'!$E$3:$FQ$3,0)+1,0)</f>
        <v>48</v>
      </c>
      <c r="F2559" s="28">
        <f t="shared" si="128"/>
        <v>3</v>
      </c>
    </row>
    <row r="2560" spans="1:6" x14ac:dyDescent="0.35">
      <c r="A2560">
        <f t="shared" si="126"/>
        <v>0</v>
      </c>
      <c r="B2560" t="str">
        <f t="shared" si="127"/>
        <v>J7</v>
      </c>
      <c r="C2560" s="10" t="s">
        <v>121</v>
      </c>
      <c r="D2560" s="18">
        <f>VLOOKUP(C2560,'DISTRIBUIÇÃO NF4267'!$E$3:$FQ$75,MATCH(B2560,'DISTRIBUIÇÃO NF4267'!$E$3:$FQ$3,0)+1,0)</f>
        <v>16</v>
      </c>
      <c r="F2560" s="28">
        <f t="shared" si="128"/>
        <v>3</v>
      </c>
    </row>
    <row r="2561" spans="1:6" x14ac:dyDescent="0.35">
      <c r="A2561">
        <f t="shared" si="126"/>
        <v>0</v>
      </c>
      <c r="B2561" t="str">
        <f t="shared" si="127"/>
        <v>J7</v>
      </c>
      <c r="C2561" s="10" t="s">
        <v>122</v>
      </c>
      <c r="D2561" s="18">
        <f>VLOOKUP(C2561,'DISTRIBUIÇÃO NF4267'!$E$3:$FQ$75,MATCH(B2561,'DISTRIBUIÇÃO NF4267'!$E$3:$FQ$3,0)+1,0)</f>
        <v>16</v>
      </c>
      <c r="F2561" s="28">
        <f t="shared" si="128"/>
        <v>3</v>
      </c>
    </row>
    <row r="2562" spans="1:6" x14ac:dyDescent="0.35">
      <c r="A2562">
        <f t="shared" ref="A2562:A2625" si="129">IF(ISERROR(VLOOKUP(C2562,I:I,1,0)),0,1)</f>
        <v>0</v>
      </c>
      <c r="B2562" t="str">
        <f t="shared" si="127"/>
        <v>J7</v>
      </c>
      <c r="C2562" s="10" t="s">
        <v>123</v>
      </c>
      <c r="D2562" s="18">
        <f>VLOOKUP(C2562,'DISTRIBUIÇÃO NF4267'!$E$3:$FQ$75,MATCH(B2562,'DISTRIBUIÇÃO NF4267'!$E$3:$FQ$3,0)+1,0)</f>
        <v>0</v>
      </c>
      <c r="F2562" s="28">
        <f t="shared" si="128"/>
        <v>3</v>
      </c>
    </row>
    <row r="2563" spans="1:6" x14ac:dyDescent="0.35">
      <c r="A2563">
        <f t="shared" si="129"/>
        <v>0</v>
      </c>
      <c r="B2563" t="str">
        <f t="shared" si="127"/>
        <v>J7</v>
      </c>
      <c r="C2563" s="10" t="s">
        <v>124</v>
      </c>
      <c r="D2563" s="18">
        <f>VLOOKUP(C2563,'DISTRIBUIÇÃO NF4267'!$E$3:$FQ$75,MATCH(B2563,'DISTRIBUIÇÃO NF4267'!$E$3:$FQ$3,0)+1,0)</f>
        <v>0</v>
      </c>
      <c r="F2563" s="28">
        <f t="shared" si="128"/>
        <v>3</v>
      </c>
    </row>
    <row r="2564" spans="1:6" x14ac:dyDescent="0.35">
      <c r="A2564">
        <f t="shared" si="129"/>
        <v>0</v>
      </c>
      <c r="B2564" t="str">
        <f t="shared" si="127"/>
        <v>J7</v>
      </c>
      <c r="C2564" s="11" t="s">
        <v>16</v>
      </c>
      <c r="D2564" s="18">
        <f>VLOOKUP(C2564,'DISTRIBUIÇÃO NF4267'!$E$3:$FQ$75,MATCH(B2564,'DISTRIBUIÇÃO NF4267'!$E$3:$FQ$3,0)+1,0)</f>
        <v>0</v>
      </c>
      <c r="F2564" s="28">
        <f t="shared" si="128"/>
        <v>3</v>
      </c>
    </row>
    <row r="2565" spans="1:6" x14ac:dyDescent="0.35">
      <c r="A2565">
        <f t="shared" si="129"/>
        <v>0</v>
      </c>
      <c r="B2565" t="str">
        <f t="shared" si="127"/>
        <v>J7</v>
      </c>
      <c r="C2565" s="11" t="s">
        <v>17</v>
      </c>
      <c r="D2565" s="18">
        <f>VLOOKUP(C2565,'DISTRIBUIÇÃO NF4267'!$E$3:$FQ$75,MATCH(B2565,'DISTRIBUIÇÃO NF4267'!$E$3:$FQ$3,0)+1,0)</f>
        <v>9</v>
      </c>
      <c r="F2565" s="28">
        <f t="shared" si="128"/>
        <v>3</v>
      </c>
    </row>
    <row r="2566" spans="1:6" x14ac:dyDescent="0.35">
      <c r="A2566">
        <f t="shared" si="129"/>
        <v>0</v>
      </c>
      <c r="B2566" t="str">
        <f t="shared" si="127"/>
        <v>J7</v>
      </c>
      <c r="C2566" s="11" t="s">
        <v>18</v>
      </c>
      <c r="D2566" s="18">
        <f>VLOOKUP(C2566,'DISTRIBUIÇÃO NF4267'!$E$3:$FQ$75,MATCH(B2566,'DISTRIBUIÇÃO NF4267'!$E$3:$FQ$3,0)+1,0)</f>
        <v>3</v>
      </c>
      <c r="F2566" s="28">
        <f t="shared" si="128"/>
        <v>3</v>
      </c>
    </row>
    <row r="2567" spans="1:6" x14ac:dyDescent="0.35">
      <c r="A2567">
        <f t="shared" si="129"/>
        <v>0</v>
      </c>
      <c r="B2567" t="str">
        <f t="shared" si="127"/>
        <v>J7</v>
      </c>
      <c r="C2567" s="11" t="s">
        <v>19</v>
      </c>
      <c r="D2567" s="18">
        <f>VLOOKUP(C2567,'DISTRIBUIÇÃO NF4267'!$E$3:$FQ$75,MATCH(B2567,'DISTRIBUIÇÃO NF4267'!$E$3:$FQ$3,0)+1,0)</f>
        <v>3</v>
      </c>
      <c r="F2567" s="28">
        <f t="shared" si="128"/>
        <v>3</v>
      </c>
    </row>
    <row r="2568" spans="1:6" x14ac:dyDescent="0.35">
      <c r="A2568">
        <f t="shared" si="129"/>
        <v>0</v>
      </c>
      <c r="B2568" t="str">
        <f t="shared" si="127"/>
        <v>J7</v>
      </c>
      <c r="C2568" s="11" t="s">
        <v>20</v>
      </c>
      <c r="D2568" s="18">
        <f>VLOOKUP(C2568,'DISTRIBUIÇÃO NF4267'!$E$3:$FQ$75,MATCH(B2568,'DISTRIBUIÇÃO NF4267'!$E$3:$FQ$3,0)+1,0)</f>
        <v>15</v>
      </c>
      <c r="F2568" s="28">
        <f t="shared" si="128"/>
        <v>3</v>
      </c>
    </row>
    <row r="2569" spans="1:6" x14ac:dyDescent="0.35">
      <c r="A2569">
        <f t="shared" si="129"/>
        <v>0</v>
      </c>
      <c r="B2569" t="str">
        <f t="shared" si="127"/>
        <v>J7</v>
      </c>
      <c r="C2569" s="11" t="s">
        <v>21</v>
      </c>
      <c r="D2569" s="18">
        <f>VLOOKUP(C2569,'DISTRIBUIÇÃO NF4267'!$E$3:$FQ$75,MATCH(B2569,'DISTRIBUIÇÃO NF4267'!$E$3:$FQ$3,0)+1,0)</f>
        <v>0</v>
      </c>
      <c r="F2569" s="28">
        <f t="shared" si="128"/>
        <v>3</v>
      </c>
    </row>
    <row r="2570" spans="1:6" x14ac:dyDescent="0.35">
      <c r="A2570">
        <f t="shared" si="129"/>
        <v>0</v>
      </c>
      <c r="B2570" t="str">
        <f t="shared" si="127"/>
        <v>J7</v>
      </c>
      <c r="C2570" s="12" t="s">
        <v>130</v>
      </c>
      <c r="D2570" s="18">
        <f>VLOOKUP(C2570,'DISTRIBUIÇÃO NF4267'!$E$3:$FQ$75,MATCH(B2570,'DISTRIBUIÇÃO NF4267'!$E$3:$FQ$3,0)+1,0)</f>
        <v>0</v>
      </c>
      <c r="F2570" s="28">
        <f t="shared" si="128"/>
        <v>3</v>
      </c>
    </row>
    <row r="2571" spans="1:6" x14ac:dyDescent="0.35">
      <c r="A2571">
        <f t="shared" si="129"/>
        <v>0</v>
      </c>
      <c r="B2571" t="str">
        <f t="shared" si="127"/>
        <v>J7</v>
      </c>
      <c r="C2571" s="12" t="s">
        <v>131</v>
      </c>
      <c r="D2571" s="18">
        <f>VLOOKUP(C2571,'DISTRIBUIÇÃO NF4267'!$E$3:$FQ$75,MATCH(B2571,'DISTRIBUIÇÃO NF4267'!$E$3:$FQ$3,0)+1,0)</f>
        <v>0</v>
      </c>
      <c r="F2571" s="28">
        <f t="shared" si="128"/>
        <v>3</v>
      </c>
    </row>
    <row r="2572" spans="1:6" x14ac:dyDescent="0.35">
      <c r="A2572">
        <f t="shared" si="129"/>
        <v>0</v>
      </c>
      <c r="B2572" t="str">
        <f t="shared" si="127"/>
        <v>J7</v>
      </c>
      <c r="C2572" s="12" t="s">
        <v>132</v>
      </c>
      <c r="D2572" s="18">
        <f>VLOOKUP(C2572,'DISTRIBUIÇÃO NF4267'!$E$3:$FQ$75,MATCH(B2572,'DISTRIBUIÇÃO NF4267'!$E$3:$FQ$3,0)+1,0)</f>
        <v>0</v>
      </c>
      <c r="F2572" s="28">
        <f t="shared" si="128"/>
        <v>3</v>
      </c>
    </row>
    <row r="2573" spans="1:6" x14ac:dyDescent="0.35">
      <c r="A2573">
        <f t="shared" si="129"/>
        <v>0</v>
      </c>
      <c r="B2573" t="str">
        <f t="shared" si="127"/>
        <v>J7</v>
      </c>
      <c r="C2573" s="12" t="s">
        <v>133</v>
      </c>
      <c r="D2573" s="18">
        <f>VLOOKUP(C2573,'DISTRIBUIÇÃO NF4267'!$E$3:$FQ$75,MATCH(B2573,'DISTRIBUIÇÃO NF4267'!$E$3:$FQ$3,0)+1,0)</f>
        <v>0</v>
      </c>
      <c r="F2573" s="28">
        <f t="shared" si="128"/>
        <v>3</v>
      </c>
    </row>
    <row r="2574" spans="1:6" x14ac:dyDescent="0.35">
      <c r="A2574">
        <f t="shared" si="129"/>
        <v>0</v>
      </c>
      <c r="B2574" t="str">
        <f t="shared" si="127"/>
        <v>J7</v>
      </c>
      <c r="C2574" s="12" t="s">
        <v>134</v>
      </c>
      <c r="D2574" s="18">
        <f>VLOOKUP(C2574,'DISTRIBUIÇÃO NF4267'!$E$3:$FQ$75,MATCH(B2574,'DISTRIBUIÇÃO NF4267'!$E$3:$FQ$3,0)+1,0)</f>
        <v>0</v>
      </c>
      <c r="F2574" s="28">
        <f t="shared" si="128"/>
        <v>3</v>
      </c>
    </row>
    <row r="2575" spans="1:6" x14ac:dyDescent="0.35">
      <c r="A2575">
        <f t="shared" si="129"/>
        <v>0</v>
      </c>
      <c r="B2575" t="str">
        <f t="shared" si="127"/>
        <v>J7</v>
      </c>
      <c r="C2575" s="12" t="s">
        <v>135</v>
      </c>
      <c r="D2575" s="18">
        <f>VLOOKUP(C2575,'DISTRIBUIÇÃO NF4267'!$E$3:$FQ$75,MATCH(B2575,'DISTRIBUIÇÃO NF4267'!$E$3:$FQ$3,0)+1,0)</f>
        <v>0</v>
      </c>
      <c r="F2575" s="28">
        <f t="shared" si="128"/>
        <v>3</v>
      </c>
    </row>
    <row r="2576" spans="1:6" x14ac:dyDescent="0.35">
      <c r="A2576">
        <f t="shared" si="129"/>
        <v>0</v>
      </c>
      <c r="B2576" t="str">
        <f t="shared" si="127"/>
        <v>J7</v>
      </c>
      <c r="C2576" s="13" t="s">
        <v>22</v>
      </c>
      <c r="D2576" s="18">
        <f>VLOOKUP(C2576,'DISTRIBUIÇÃO NF4267'!$E$3:$FQ$75,MATCH(B2576,'DISTRIBUIÇÃO NF4267'!$E$3:$FQ$3,0)+1,0)</f>
        <v>0</v>
      </c>
      <c r="F2576" s="28">
        <f t="shared" si="128"/>
        <v>3</v>
      </c>
    </row>
    <row r="2577" spans="1:6" x14ac:dyDescent="0.35">
      <c r="A2577">
        <f t="shared" si="129"/>
        <v>0</v>
      </c>
      <c r="B2577" t="str">
        <f t="shared" si="127"/>
        <v>J7</v>
      </c>
      <c r="C2577" s="13" t="s">
        <v>23</v>
      </c>
      <c r="D2577" s="18">
        <f>VLOOKUP(C2577,'DISTRIBUIÇÃO NF4267'!$E$3:$FQ$75,MATCH(B2577,'DISTRIBUIÇÃO NF4267'!$E$3:$FQ$3,0)+1,0)</f>
        <v>0</v>
      </c>
      <c r="F2577" s="28">
        <f t="shared" si="128"/>
        <v>3</v>
      </c>
    </row>
    <row r="2578" spans="1:6" x14ac:dyDescent="0.35">
      <c r="A2578">
        <f t="shared" si="129"/>
        <v>0</v>
      </c>
      <c r="B2578" t="str">
        <f t="shared" si="127"/>
        <v>J7</v>
      </c>
      <c r="C2578" s="13" t="s">
        <v>24</v>
      </c>
      <c r="D2578" s="18">
        <f>VLOOKUP(C2578,'DISTRIBUIÇÃO NF4267'!$E$3:$FQ$75,MATCH(B2578,'DISTRIBUIÇÃO NF4267'!$E$3:$FQ$3,0)+1,0)</f>
        <v>0</v>
      </c>
      <c r="F2578" s="28">
        <f t="shared" si="128"/>
        <v>3</v>
      </c>
    </row>
    <row r="2579" spans="1:6" x14ac:dyDescent="0.35">
      <c r="A2579">
        <f t="shared" si="129"/>
        <v>0</v>
      </c>
      <c r="B2579" t="str">
        <f t="shared" si="127"/>
        <v>J7</v>
      </c>
      <c r="C2579" s="13" t="s">
        <v>25</v>
      </c>
      <c r="D2579" s="18">
        <f>VLOOKUP(C2579,'DISTRIBUIÇÃO NF4267'!$E$3:$FQ$75,MATCH(B2579,'DISTRIBUIÇÃO NF4267'!$E$3:$FQ$3,0)+1,0)</f>
        <v>0</v>
      </c>
      <c r="F2579" s="28">
        <f t="shared" si="128"/>
        <v>3</v>
      </c>
    </row>
    <row r="2580" spans="1:6" x14ac:dyDescent="0.35">
      <c r="A2580">
        <f t="shared" si="129"/>
        <v>0</v>
      </c>
      <c r="B2580" t="str">
        <f t="shared" si="127"/>
        <v>J7</v>
      </c>
      <c r="C2580" s="13" t="s">
        <v>26</v>
      </c>
      <c r="D2580" s="18">
        <f>VLOOKUP(C2580,'DISTRIBUIÇÃO NF4267'!$E$3:$FQ$75,MATCH(B2580,'DISTRIBUIÇÃO NF4267'!$E$3:$FQ$3,0)+1,0)</f>
        <v>0</v>
      </c>
      <c r="F2580" s="28">
        <f t="shared" si="128"/>
        <v>3</v>
      </c>
    </row>
    <row r="2581" spans="1:6" x14ac:dyDescent="0.35">
      <c r="A2581">
        <f t="shared" si="129"/>
        <v>0</v>
      </c>
      <c r="B2581" t="str">
        <f t="shared" si="127"/>
        <v>J7</v>
      </c>
      <c r="C2581" s="13" t="s">
        <v>27</v>
      </c>
      <c r="D2581" s="18">
        <f>VLOOKUP(C2581,'DISTRIBUIÇÃO NF4267'!$E$3:$FQ$75,MATCH(B2581,'DISTRIBUIÇÃO NF4267'!$E$3:$FQ$3,0)+1,0)</f>
        <v>0</v>
      </c>
      <c r="F2581" s="28">
        <f t="shared" si="128"/>
        <v>3</v>
      </c>
    </row>
    <row r="2582" spans="1:6" x14ac:dyDescent="0.35">
      <c r="A2582">
        <f t="shared" si="129"/>
        <v>0</v>
      </c>
      <c r="B2582" t="str">
        <f t="shared" si="127"/>
        <v>J7</v>
      </c>
      <c r="C2582" s="14" t="s">
        <v>138</v>
      </c>
      <c r="D2582" s="18">
        <f>VLOOKUP(C2582,'DISTRIBUIÇÃO NF4267'!$E$3:$FQ$75,MATCH(B2582,'DISTRIBUIÇÃO NF4267'!$E$3:$FQ$3,0)+1,0)</f>
        <v>0</v>
      </c>
      <c r="F2582" s="28">
        <f t="shared" si="128"/>
        <v>3</v>
      </c>
    </row>
    <row r="2583" spans="1:6" x14ac:dyDescent="0.35">
      <c r="A2583">
        <f t="shared" si="129"/>
        <v>0</v>
      </c>
      <c r="B2583" t="str">
        <f t="shared" si="127"/>
        <v>J7</v>
      </c>
      <c r="C2583" s="14" t="s">
        <v>139</v>
      </c>
      <c r="D2583" s="18">
        <f>VLOOKUP(C2583,'DISTRIBUIÇÃO NF4267'!$E$3:$FQ$75,MATCH(B2583,'DISTRIBUIÇÃO NF4267'!$E$3:$FQ$3,0)+1,0)</f>
        <v>2</v>
      </c>
      <c r="F2583" s="28">
        <f t="shared" si="128"/>
        <v>3</v>
      </c>
    </row>
    <row r="2584" spans="1:6" x14ac:dyDescent="0.35">
      <c r="A2584">
        <f t="shared" si="129"/>
        <v>0</v>
      </c>
      <c r="B2584" t="str">
        <f t="shared" si="127"/>
        <v>J7</v>
      </c>
      <c r="C2584" s="14" t="s">
        <v>140</v>
      </c>
      <c r="D2584" s="18">
        <f>VLOOKUP(C2584,'DISTRIBUIÇÃO NF4267'!$E$3:$FQ$75,MATCH(B2584,'DISTRIBUIÇÃO NF4267'!$E$3:$FQ$3,0)+1,0)</f>
        <v>4</v>
      </c>
      <c r="F2584" s="28">
        <f t="shared" si="128"/>
        <v>3</v>
      </c>
    </row>
    <row r="2585" spans="1:6" x14ac:dyDescent="0.35">
      <c r="A2585">
        <f t="shared" si="129"/>
        <v>0</v>
      </c>
      <c r="B2585" t="str">
        <f t="shared" si="127"/>
        <v>J7</v>
      </c>
      <c r="C2585" s="14" t="s">
        <v>141</v>
      </c>
      <c r="D2585" s="18">
        <f>VLOOKUP(C2585,'DISTRIBUIÇÃO NF4267'!$E$3:$FQ$75,MATCH(B2585,'DISTRIBUIÇÃO NF4267'!$E$3:$FQ$3,0)+1,0)</f>
        <v>2</v>
      </c>
      <c r="F2585" s="28">
        <f t="shared" si="128"/>
        <v>3</v>
      </c>
    </row>
    <row r="2586" spans="1:6" x14ac:dyDescent="0.35">
      <c r="A2586">
        <f t="shared" si="129"/>
        <v>0</v>
      </c>
      <c r="B2586" t="str">
        <f t="shared" si="127"/>
        <v>J7</v>
      </c>
      <c r="C2586" s="14" t="s">
        <v>142</v>
      </c>
      <c r="D2586" s="18">
        <f>VLOOKUP(C2586,'DISTRIBUIÇÃO NF4267'!$E$3:$FQ$75,MATCH(B2586,'DISTRIBUIÇÃO NF4267'!$E$3:$FQ$3,0)+1,0)</f>
        <v>2</v>
      </c>
      <c r="F2586" s="28">
        <f t="shared" si="128"/>
        <v>3</v>
      </c>
    </row>
    <row r="2587" spans="1:6" x14ac:dyDescent="0.35">
      <c r="A2587">
        <f t="shared" si="129"/>
        <v>0</v>
      </c>
      <c r="B2587" t="str">
        <f t="shared" si="127"/>
        <v>J7</v>
      </c>
      <c r="C2587" s="14" t="s">
        <v>143</v>
      </c>
      <c r="D2587" s="18">
        <f>VLOOKUP(C2587,'DISTRIBUIÇÃO NF4267'!$E$3:$FQ$75,MATCH(B2587,'DISTRIBUIÇÃO NF4267'!$E$3:$FQ$3,0)+1,0)</f>
        <v>0</v>
      </c>
      <c r="F2587" s="28">
        <f t="shared" si="128"/>
        <v>3</v>
      </c>
    </row>
    <row r="2588" spans="1:6" x14ac:dyDescent="0.35">
      <c r="A2588">
        <f t="shared" si="129"/>
        <v>0</v>
      </c>
      <c r="B2588" t="str">
        <f t="shared" si="127"/>
        <v>J7</v>
      </c>
      <c r="C2588" s="15" t="s">
        <v>145</v>
      </c>
      <c r="D2588" s="18">
        <f>VLOOKUP(C2588,'DISTRIBUIÇÃO NF4267'!$E$3:$FQ$75,MATCH(B2588,'DISTRIBUIÇÃO NF4267'!$E$3:$FQ$3,0)+1,0)</f>
        <v>0</v>
      </c>
      <c r="F2588" s="28">
        <f t="shared" si="128"/>
        <v>3</v>
      </c>
    </row>
    <row r="2589" spans="1:6" x14ac:dyDescent="0.35">
      <c r="A2589">
        <f t="shared" si="129"/>
        <v>0</v>
      </c>
      <c r="B2589" t="str">
        <f t="shared" si="127"/>
        <v>J7</v>
      </c>
      <c r="C2589" s="15" t="s">
        <v>146</v>
      </c>
      <c r="D2589" s="18">
        <f>VLOOKUP(C2589,'DISTRIBUIÇÃO NF4267'!$E$3:$FQ$75,MATCH(B2589,'DISTRIBUIÇÃO NF4267'!$E$3:$FQ$3,0)+1,0)</f>
        <v>2</v>
      </c>
      <c r="F2589" s="28">
        <f t="shared" si="128"/>
        <v>3</v>
      </c>
    </row>
    <row r="2590" spans="1:6" x14ac:dyDescent="0.35">
      <c r="A2590">
        <f t="shared" si="129"/>
        <v>0</v>
      </c>
      <c r="B2590" t="str">
        <f t="shared" si="127"/>
        <v>J7</v>
      </c>
      <c r="C2590" s="15" t="s">
        <v>147</v>
      </c>
      <c r="D2590" s="18">
        <f>VLOOKUP(C2590,'DISTRIBUIÇÃO NF4267'!$E$3:$FQ$75,MATCH(B2590,'DISTRIBUIÇÃO NF4267'!$E$3:$FQ$3,0)+1,0)</f>
        <v>4</v>
      </c>
      <c r="F2590" s="28">
        <f t="shared" si="128"/>
        <v>3</v>
      </c>
    </row>
    <row r="2591" spans="1:6" x14ac:dyDescent="0.35">
      <c r="A2591">
        <f t="shared" si="129"/>
        <v>0</v>
      </c>
      <c r="B2591" t="str">
        <f t="shared" si="127"/>
        <v>J7</v>
      </c>
      <c r="C2591" s="15" t="s">
        <v>148</v>
      </c>
      <c r="D2591" s="18">
        <f>VLOOKUP(C2591,'DISTRIBUIÇÃO NF4267'!$E$3:$FQ$75,MATCH(B2591,'DISTRIBUIÇÃO NF4267'!$E$3:$FQ$3,0)+1,0)</f>
        <v>2</v>
      </c>
      <c r="F2591" s="28">
        <f t="shared" si="128"/>
        <v>3</v>
      </c>
    </row>
    <row r="2592" spans="1:6" x14ac:dyDescent="0.35">
      <c r="A2592">
        <f t="shared" si="129"/>
        <v>0</v>
      </c>
      <c r="B2592" t="str">
        <f t="shared" si="127"/>
        <v>J7</v>
      </c>
      <c r="C2592" s="15" t="s">
        <v>149</v>
      </c>
      <c r="D2592" s="18">
        <f>VLOOKUP(C2592,'DISTRIBUIÇÃO NF4267'!$E$3:$FQ$75,MATCH(B2592,'DISTRIBUIÇÃO NF4267'!$E$3:$FQ$3,0)+1,0)</f>
        <v>2</v>
      </c>
      <c r="F2592" s="28">
        <f t="shared" si="128"/>
        <v>3</v>
      </c>
    </row>
    <row r="2593" spans="1:6" x14ac:dyDescent="0.35">
      <c r="A2593">
        <f t="shared" si="129"/>
        <v>0</v>
      </c>
      <c r="B2593" t="str">
        <f t="shared" si="127"/>
        <v>J7</v>
      </c>
      <c r="C2593" s="15" t="s">
        <v>150</v>
      </c>
      <c r="D2593" s="18">
        <f>VLOOKUP(C2593,'DISTRIBUIÇÃO NF4267'!$E$3:$FQ$75,MATCH(B2593,'DISTRIBUIÇÃO NF4267'!$E$3:$FQ$3,0)+1,0)</f>
        <v>0</v>
      </c>
      <c r="F2593" s="28">
        <f t="shared" si="128"/>
        <v>3</v>
      </c>
    </row>
    <row r="2594" spans="1:6" x14ac:dyDescent="0.35">
      <c r="A2594">
        <f t="shared" si="129"/>
        <v>0</v>
      </c>
      <c r="B2594">
        <v>12</v>
      </c>
      <c r="C2594" s="7" t="s">
        <v>98</v>
      </c>
      <c r="D2594" s="18">
        <f>VLOOKUP(C2594,'DISTRIBUIÇÃO NF4267'!$E$3:$FQ$75,MATCH(B2594,'DISTRIBUIÇÃO NF4267'!$E$3:$FQ$3,0)+1,0)</f>
        <v>0</v>
      </c>
      <c r="F2594" s="28">
        <f t="shared" si="128"/>
        <v>3</v>
      </c>
    </row>
    <row r="2595" spans="1:6" x14ac:dyDescent="0.35">
      <c r="A2595">
        <f t="shared" si="129"/>
        <v>0</v>
      </c>
      <c r="B2595">
        <f>B2594</f>
        <v>12</v>
      </c>
      <c r="C2595" s="7" t="s">
        <v>99</v>
      </c>
      <c r="D2595" s="18">
        <f>VLOOKUP(C2595,'DISTRIBUIÇÃO NF4267'!$E$3:$FQ$75,MATCH(B2595,'DISTRIBUIÇÃO NF4267'!$E$3:$FQ$3,0)+1,0)</f>
        <v>4</v>
      </c>
      <c r="F2595" s="28">
        <f t="shared" si="128"/>
        <v>3</v>
      </c>
    </row>
    <row r="2596" spans="1:6" x14ac:dyDescent="0.35">
      <c r="A2596">
        <f t="shared" si="129"/>
        <v>0</v>
      </c>
      <c r="B2596">
        <f t="shared" ref="B2596:B2647" si="130">B2595</f>
        <v>12</v>
      </c>
      <c r="C2596" s="7" t="s">
        <v>100</v>
      </c>
      <c r="D2596" s="18">
        <f>VLOOKUP(C2596,'DISTRIBUIÇÃO NF4267'!$E$3:$FQ$75,MATCH(B2596,'DISTRIBUIÇÃO NF4267'!$E$3:$FQ$3,0)+1,0)</f>
        <v>8</v>
      </c>
      <c r="F2596" s="28">
        <f t="shared" si="128"/>
        <v>3</v>
      </c>
    </row>
    <row r="2597" spans="1:6" x14ac:dyDescent="0.35">
      <c r="A2597">
        <f t="shared" si="129"/>
        <v>0</v>
      </c>
      <c r="B2597">
        <f t="shared" si="130"/>
        <v>12</v>
      </c>
      <c r="C2597" s="7" t="s">
        <v>101</v>
      </c>
      <c r="D2597" s="18">
        <f>VLOOKUP(C2597,'DISTRIBUIÇÃO NF4267'!$E$3:$FQ$75,MATCH(B2597,'DISTRIBUIÇÃO NF4267'!$E$3:$FQ$3,0)+1,0)</f>
        <v>4</v>
      </c>
      <c r="F2597" s="28">
        <f t="shared" si="128"/>
        <v>3</v>
      </c>
    </row>
    <row r="2598" spans="1:6" x14ac:dyDescent="0.35">
      <c r="A2598">
        <f t="shared" si="129"/>
        <v>0</v>
      </c>
      <c r="B2598">
        <f t="shared" si="130"/>
        <v>12</v>
      </c>
      <c r="C2598" s="7" t="s">
        <v>102</v>
      </c>
      <c r="D2598" s="18">
        <f>VLOOKUP(C2598,'DISTRIBUIÇÃO NF4267'!$E$3:$FQ$75,MATCH(B2598,'DISTRIBUIÇÃO NF4267'!$E$3:$FQ$3,0)+1,0)</f>
        <v>4</v>
      </c>
      <c r="F2598" s="28">
        <f t="shared" si="128"/>
        <v>3</v>
      </c>
    </row>
    <row r="2599" spans="1:6" x14ac:dyDescent="0.35">
      <c r="A2599">
        <f t="shared" si="129"/>
        <v>0</v>
      </c>
      <c r="B2599">
        <f t="shared" si="130"/>
        <v>12</v>
      </c>
      <c r="C2599" s="7" t="s">
        <v>103</v>
      </c>
      <c r="D2599" s="18">
        <f>VLOOKUP(C2599,'DISTRIBUIÇÃO NF4267'!$E$3:$FQ$75,MATCH(B2599,'DISTRIBUIÇÃO NF4267'!$E$3:$FQ$3,0)+1,0)</f>
        <v>0</v>
      </c>
      <c r="F2599" s="28">
        <f t="shared" si="128"/>
        <v>3</v>
      </c>
    </row>
    <row r="2600" spans="1:6" x14ac:dyDescent="0.35">
      <c r="A2600">
        <f t="shared" si="129"/>
        <v>0</v>
      </c>
      <c r="B2600">
        <f t="shared" si="130"/>
        <v>12</v>
      </c>
      <c r="C2600" s="8" t="s">
        <v>107</v>
      </c>
      <c r="D2600" s="18">
        <f>VLOOKUP(C2600,'DISTRIBUIÇÃO NF4267'!$E$3:$FQ$75,MATCH(B2600,'DISTRIBUIÇÃO NF4267'!$E$3:$FQ$3,0)+1,0)</f>
        <v>0</v>
      </c>
      <c r="F2600" s="28">
        <f t="shared" si="128"/>
        <v>3</v>
      </c>
    </row>
    <row r="2601" spans="1:6" x14ac:dyDescent="0.35">
      <c r="A2601">
        <f t="shared" si="129"/>
        <v>0</v>
      </c>
      <c r="B2601">
        <f t="shared" si="130"/>
        <v>12</v>
      </c>
      <c r="C2601" s="8" t="s">
        <v>108</v>
      </c>
      <c r="D2601" s="18">
        <f>VLOOKUP(C2601,'DISTRIBUIÇÃO NF4267'!$E$3:$FQ$75,MATCH(B2601,'DISTRIBUIÇÃO NF4267'!$E$3:$FQ$3,0)+1,0)</f>
        <v>2</v>
      </c>
      <c r="F2601" s="28">
        <f t="shared" si="128"/>
        <v>3</v>
      </c>
    </row>
    <row r="2602" spans="1:6" x14ac:dyDescent="0.35">
      <c r="A2602">
        <f t="shared" si="129"/>
        <v>0</v>
      </c>
      <c r="B2602">
        <f t="shared" si="130"/>
        <v>12</v>
      </c>
      <c r="C2602" s="8" t="s">
        <v>109</v>
      </c>
      <c r="D2602" s="18">
        <f>VLOOKUP(C2602,'DISTRIBUIÇÃO NF4267'!$E$3:$FQ$75,MATCH(B2602,'DISTRIBUIÇÃO NF4267'!$E$3:$FQ$3,0)+1,0)</f>
        <v>4</v>
      </c>
      <c r="F2602" s="28">
        <f t="shared" si="128"/>
        <v>3</v>
      </c>
    </row>
    <row r="2603" spans="1:6" x14ac:dyDescent="0.35">
      <c r="A2603">
        <f t="shared" si="129"/>
        <v>0</v>
      </c>
      <c r="B2603">
        <f t="shared" si="130"/>
        <v>12</v>
      </c>
      <c r="C2603" s="8" t="s">
        <v>110</v>
      </c>
      <c r="D2603" s="18">
        <f>VLOOKUP(C2603,'DISTRIBUIÇÃO NF4267'!$E$3:$FQ$75,MATCH(B2603,'DISTRIBUIÇÃO NF4267'!$E$3:$FQ$3,0)+1,0)</f>
        <v>2</v>
      </c>
      <c r="F2603" s="28">
        <f t="shared" si="128"/>
        <v>3</v>
      </c>
    </row>
    <row r="2604" spans="1:6" x14ac:dyDescent="0.35">
      <c r="A2604">
        <f t="shared" si="129"/>
        <v>0</v>
      </c>
      <c r="B2604">
        <f t="shared" si="130"/>
        <v>12</v>
      </c>
      <c r="C2604" s="8" t="s">
        <v>111</v>
      </c>
      <c r="D2604" s="18">
        <f>VLOOKUP(C2604,'DISTRIBUIÇÃO NF4267'!$E$3:$FQ$75,MATCH(B2604,'DISTRIBUIÇÃO NF4267'!$E$3:$FQ$3,0)+1,0)</f>
        <v>2</v>
      </c>
      <c r="F2604" s="28">
        <f t="shared" si="128"/>
        <v>3</v>
      </c>
    </row>
    <row r="2605" spans="1:6" x14ac:dyDescent="0.35">
      <c r="A2605">
        <f t="shared" si="129"/>
        <v>0</v>
      </c>
      <c r="B2605">
        <f t="shared" si="130"/>
        <v>12</v>
      </c>
      <c r="C2605" s="8" t="s">
        <v>112</v>
      </c>
      <c r="D2605" s="18">
        <f>VLOOKUP(C2605,'DISTRIBUIÇÃO NF4267'!$E$3:$FQ$75,MATCH(B2605,'DISTRIBUIÇÃO NF4267'!$E$3:$FQ$3,0)+1,0)</f>
        <v>0</v>
      </c>
      <c r="F2605" s="28">
        <f t="shared" si="128"/>
        <v>3</v>
      </c>
    </row>
    <row r="2606" spans="1:6" x14ac:dyDescent="0.35">
      <c r="A2606">
        <f t="shared" si="129"/>
        <v>0</v>
      </c>
      <c r="B2606">
        <f t="shared" si="130"/>
        <v>12</v>
      </c>
      <c r="C2606" s="9" t="s">
        <v>113</v>
      </c>
      <c r="D2606" s="18">
        <f>VLOOKUP(C2606,'DISTRIBUIÇÃO NF4267'!$E$3:$FQ$75,MATCH(B2606,'DISTRIBUIÇÃO NF4267'!$E$3:$FQ$3,0)+1,0)</f>
        <v>0</v>
      </c>
      <c r="F2606" s="28">
        <f t="shared" si="128"/>
        <v>3</v>
      </c>
    </row>
    <row r="2607" spans="1:6" x14ac:dyDescent="0.35">
      <c r="A2607">
        <f t="shared" si="129"/>
        <v>0</v>
      </c>
      <c r="B2607">
        <f t="shared" si="130"/>
        <v>12</v>
      </c>
      <c r="C2607" s="9" t="s">
        <v>114</v>
      </c>
      <c r="D2607" s="18">
        <f>VLOOKUP(C2607,'DISTRIBUIÇÃO NF4267'!$E$3:$FQ$75,MATCH(B2607,'DISTRIBUIÇÃO NF4267'!$E$3:$FQ$3,0)+1,0)</f>
        <v>3</v>
      </c>
      <c r="F2607" s="28">
        <f t="shared" si="128"/>
        <v>3</v>
      </c>
    </row>
    <row r="2608" spans="1:6" x14ac:dyDescent="0.35">
      <c r="A2608">
        <f t="shared" si="129"/>
        <v>0</v>
      </c>
      <c r="B2608">
        <f t="shared" si="130"/>
        <v>12</v>
      </c>
      <c r="C2608" s="9" t="s">
        <v>115</v>
      </c>
      <c r="D2608" s="18">
        <f>VLOOKUP(C2608,'DISTRIBUIÇÃO NF4267'!$E$3:$FQ$75,MATCH(B2608,'DISTRIBUIÇÃO NF4267'!$E$3:$FQ$3,0)+1,0)</f>
        <v>4</v>
      </c>
      <c r="F2608" s="28">
        <f t="shared" si="128"/>
        <v>3</v>
      </c>
    </row>
    <row r="2609" spans="1:6" x14ac:dyDescent="0.35">
      <c r="A2609">
        <f t="shared" si="129"/>
        <v>0</v>
      </c>
      <c r="B2609">
        <f t="shared" si="130"/>
        <v>12</v>
      </c>
      <c r="C2609" s="9" t="s">
        <v>116</v>
      </c>
      <c r="D2609" s="18">
        <f>VLOOKUP(C2609,'DISTRIBUIÇÃO NF4267'!$E$3:$FQ$75,MATCH(B2609,'DISTRIBUIÇÃO NF4267'!$E$3:$FQ$3,0)+1,0)</f>
        <v>2</v>
      </c>
      <c r="F2609" s="28">
        <f t="shared" si="128"/>
        <v>3</v>
      </c>
    </row>
    <row r="2610" spans="1:6" x14ac:dyDescent="0.35">
      <c r="A2610">
        <f t="shared" si="129"/>
        <v>0</v>
      </c>
      <c r="B2610">
        <f t="shared" si="130"/>
        <v>12</v>
      </c>
      <c r="C2610" s="9" t="s">
        <v>117</v>
      </c>
      <c r="D2610" s="18">
        <f>VLOOKUP(C2610,'DISTRIBUIÇÃO NF4267'!$E$3:$FQ$75,MATCH(B2610,'DISTRIBUIÇÃO NF4267'!$E$3:$FQ$3,0)+1,0)</f>
        <v>1</v>
      </c>
      <c r="F2610" s="28">
        <f t="shared" si="128"/>
        <v>3</v>
      </c>
    </row>
    <row r="2611" spans="1:6" x14ac:dyDescent="0.35">
      <c r="A2611">
        <f t="shared" si="129"/>
        <v>0</v>
      </c>
      <c r="B2611">
        <f t="shared" si="130"/>
        <v>12</v>
      </c>
      <c r="C2611" s="9" t="s">
        <v>118</v>
      </c>
      <c r="D2611" s="18">
        <f>VLOOKUP(C2611,'DISTRIBUIÇÃO NF4267'!$E$3:$FQ$75,MATCH(B2611,'DISTRIBUIÇÃO NF4267'!$E$3:$FQ$3,0)+1,0)</f>
        <v>0</v>
      </c>
      <c r="F2611" s="28">
        <f t="shared" si="128"/>
        <v>3</v>
      </c>
    </row>
    <row r="2612" spans="1:6" x14ac:dyDescent="0.35">
      <c r="A2612">
        <f t="shared" si="129"/>
        <v>0</v>
      </c>
      <c r="B2612">
        <f t="shared" si="130"/>
        <v>12</v>
      </c>
      <c r="C2612" s="10" t="s">
        <v>119</v>
      </c>
      <c r="D2612" s="18">
        <f>VLOOKUP(C2612,'DISTRIBUIÇÃO NF4267'!$E$3:$FQ$75,MATCH(B2612,'DISTRIBUIÇÃO NF4267'!$E$3:$FQ$3,0)+1,0)</f>
        <v>0</v>
      </c>
      <c r="F2612" s="28">
        <f t="shared" si="128"/>
        <v>3</v>
      </c>
    </row>
    <row r="2613" spans="1:6" x14ac:dyDescent="0.35">
      <c r="A2613">
        <f t="shared" si="129"/>
        <v>0</v>
      </c>
      <c r="B2613">
        <f t="shared" si="130"/>
        <v>12</v>
      </c>
      <c r="C2613" s="10" t="s">
        <v>120</v>
      </c>
      <c r="D2613" s="18">
        <f>VLOOKUP(C2613,'DISTRIBUIÇÃO NF4267'!$E$3:$FQ$75,MATCH(B2613,'DISTRIBUIÇÃO NF4267'!$E$3:$FQ$3,0)+1,0)</f>
        <v>48</v>
      </c>
      <c r="F2613" s="28">
        <f t="shared" si="128"/>
        <v>3</v>
      </c>
    </row>
    <row r="2614" spans="1:6" x14ac:dyDescent="0.35">
      <c r="A2614">
        <f t="shared" si="129"/>
        <v>0</v>
      </c>
      <c r="B2614">
        <f t="shared" si="130"/>
        <v>12</v>
      </c>
      <c r="C2614" s="10" t="s">
        <v>121</v>
      </c>
      <c r="D2614" s="18">
        <f>VLOOKUP(C2614,'DISTRIBUIÇÃO NF4267'!$E$3:$FQ$75,MATCH(B2614,'DISTRIBUIÇÃO NF4267'!$E$3:$FQ$3,0)+1,0)</f>
        <v>16</v>
      </c>
      <c r="F2614" s="28">
        <f t="shared" si="128"/>
        <v>3</v>
      </c>
    </row>
    <row r="2615" spans="1:6" x14ac:dyDescent="0.35">
      <c r="A2615">
        <f t="shared" si="129"/>
        <v>0</v>
      </c>
      <c r="B2615">
        <f t="shared" si="130"/>
        <v>12</v>
      </c>
      <c r="C2615" s="10" t="s">
        <v>122</v>
      </c>
      <c r="D2615" s="18">
        <f>VLOOKUP(C2615,'DISTRIBUIÇÃO NF4267'!$E$3:$FQ$75,MATCH(B2615,'DISTRIBUIÇÃO NF4267'!$E$3:$FQ$3,0)+1,0)</f>
        <v>16</v>
      </c>
      <c r="F2615" s="28">
        <f t="shared" si="128"/>
        <v>3</v>
      </c>
    </row>
    <row r="2616" spans="1:6" x14ac:dyDescent="0.35">
      <c r="A2616">
        <f t="shared" si="129"/>
        <v>0</v>
      </c>
      <c r="B2616">
        <f t="shared" si="130"/>
        <v>12</v>
      </c>
      <c r="C2616" s="10" t="s">
        <v>123</v>
      </c>
      <c r="D2616" s="18">
        <f>VLOOKUP(C2616,'DISTRIBUIÇÃO NF4267'!$E$3:$FQ$75,MATCH(B2616,'DISTRIBUIÇÃO NF4267'!$E$3:$FQ$3,0)+1,0)</f>
        <v>0</v>
      </c>
      <c r="F2616" s="28">
        <f t="shared" ref="F2616:F2679" si="131">ROUNDUP(SUMIFS(D:D,B:B,B2616)/80,0)</f>
        <v>3</v>
      </c>
    </row>
    <row r="2617" spans="1:6" x14ac:dyDescent="0.35">
      <c r="A2617">
        <f t="shared" si="129"/>
        <v>0</v>
      </c>
      <c r="B2617">
        <f t="shared" si="130"/>
        <v>12</v>
      </c>
      <c r="C2617" s="10" t="s">
        <v>124</v>
      </c>
      <c r="D2617" s="18">
        <f>VLOOKUP(C2617,'DISTRIBUIÇÃO NF4267'!$E$3:$FQ$75,MATCH(B2617,'DISTRIBUIÇÃO NF4267'!$E$3:$FQ$3,0)+1,0)</f>
        <v>0</v>
      </c>
      <c r="F2617" s="28">
        <f t="shared" si="131"/>
        <v>3</v>
      </c>
    </row>
    <row r="2618" spans="1:6" x14ac:dyDescent="0.35">
      <c r="A2618">
        <f t="shared" si="129"/>
        <v>0</v>
      </c>
      <c r="B2618">
        <f t="shared" si="130"/>
        <v>12</v>
      </c>
      <c r="C2618" s="11" t="s">
        <v>16</v>
      </c>
      <c r="D2618" s="18">
        <f>VLOOKUP(C2618,'DISTRIBUIÇÃO NF4267'!$E$3:$FQ$75,MATCH(B2618,'DISTRIBUIÇÃO NF4267'!$E$3:$FQ$3,0)+1,0)</f>
        <v>0</v>
      </c>
      <c r="F2618" s="28">
        <f t="shared" si="131"/>
        <v>3</v>
      </c>
    </row>
    <row r="2619" spans="1:6" x14ac:dyDescent="0.35">
      <c r="A2619">
        <f t="shared" si="129"/>
        <v>0</v>
      </c>
      <c r="B2619">
        <f t="shared" si="130"/>
        <v>12</v>
      </c>
      <c r="C2619" s="11" t="s">
        <v>17</v>
      </c>
      <c r="D2619" s="18">
        <f>VLOOKUP(C2619,'DISTRIBUIÇÃO NF4267'!$E$3:$FQ$75,MATCH(B2619,'DISTRIBUIÇÃO NF4267'!$E$3:$FQ$3,0)+1,0)</f>
        <v>9</v>
      </c>
      <c r="F2619" s="28">
        <f t="shared" si="131"/>
        <v>3</v>
      </c>
    </row>
    <row r="2620" spans="1:6" x14ac:dyDescent="0.35">
      <c r="A2620">
        <f t="shared" si="129"/>
        <v>0</v>
      </c>
      <c r="B2620">
        <f t="shared" si="130"/>
        <v>12</v>
      </c>
      <c r="C2620" s="11" t="s">
        <v>18</v>
      </c>
      <c r="D2620" s="18">
        <f>VLOOKUP(C2620,'DISTRIBUIÇÃO NF4267'!$E$3:$FQ$75,MATCH(B2620,'DISTRIBUIÇÃO NF4267'!$E$3:$FQ$3,0)+1,0)</f>
        <v>3</v>
      </c>
      <c r="F2620" s="28">
        <f t="shared" si="131"/>
        <v>3</v>
      </c>
    </row>
    <row r="2621" spans="1:6" x14ac:dyDescent="0.35">
      <c r="A2621">
        <f t="shared" si="129"/>
        <v>0</v>
      </c>
      <c r="B2621">
        <f t="shared" si="130"/>
        <v>12</v>
      </c>
      <c r="C2621" s="11" t="s">
        <v>19</v>
      </c>
      <c r="D2621" s="18">
        <f>VLOOKUP(C2621,'DISTRIBUIÇÃO NF4267'!$E$3:$FQ$75,MATCH(B2621,'DISTRIBUIÇÃO NF4267'!$E$3:$FQ$3,0)+1,0)</f>
        <v>3</v>
      </c>
      <c r="F2621" s="28">
        <f t="shared" si="131"/>
        <v>3</v>
      </c>
    </row>
    <row r="2622" spans="1:6" x14ac:dyDescent="0.35">
      <c r="A2622">
        <f t="shared" si="129"/>
        <v>0</v>
      </c>
      <c r="B2622">
        <f t="shared" si="130"/>
        <v>12</v>
      </c>
      <c r="C2622" s="11" t="s">
        <v>20</v>
      </c>
      <c r="D2622" s="18">
        <f>VLOOKUP(C2622,'DISTRIBUIÇÃO NF4267'!$E$3:$FQ$75,MATCH(B2622,'DISTRIBUIÇÃO NF4267'!$E$3:$FQ$3,0)+1,0)</f>
        <v>15</v>
      </c>
      <c r="F2622" s="28">
        <f t="shared" si="131"/>
        <v>3</v>
      </c>
    </row>
    <row r="2623" spans="1:6" x14ac:dyDescent="0.35">
      <c r="A2623">
        <f t="shared" si="129"/>
        <v>0</v>
      </c>
      <c r="B2623">
        <f t="shared" si="130"/>
        <v>12</v>
      </c>
      <c r="C2623" s="11" t="s">
        <v>21</v>
      </c>
      <c r="D2623" s="18">
        <f>VLOOKUP(C2623,'DISTRIBUIÇÃO NF4267'!$E$3:$FQ$75,MATCH(B2623,'DISTRIBUIÇÃO NF4267'!$E$3:$FQ$3,0)+1,0)</f>
        <v>0</v>
      </c>
      <c r="F2623" s="28">
        <f t="shared" si="131"/>
        <v>3</v>
      </c>
    </row>
    <row r="2624" spans="1:6" x14ac:dyDescent="0.35">
      <c r="A2624">
        <f t="shared" si="129"/>
        <v>0</v>
      </c>
      <c r="B2624">
        <f t="shared" si="130"/>
        <v>12</v>
      </c>
      <c r="C2624" s="12" t="s">
        <v>130</v>
      </c>
      <c r="D2624" s="18">
        <f>VLOOKUP(C2624,'DISTRIBUIÇÃO NF4267'!$E$3:$FQ$75,MATCH(B2624,'DISTRIBUIÇÃO NF4267'!$E$3:$FQ$3,0)+1,0)</f>
        <v>0</v>
      </c>
      <c r="F2624" s="28">
        <f t="shared" si="131"/>
        <v>3</v>
      </c>
    </row>
    <row r="2625" spans="1:6" x14ac:dyDescent="0.35">
      <c r="A2625">
        <f t="shared" si="129"/>
        <v>0</v>
      </c>
      <c r="B2625">
        <f t="shared" si="130"/>
        <v>12</v>
      </c>
      <c r="C2625" s="12" t="s">
        <v>131</v>
      </c>
      <c r="D2625" s="18">
        <f>VLOOKUP(C2625,'DISTRIBUIÇÃO NF4267'!$E$3:$FQ$75,MATCH(B2625,'DISTRIBUIÇÃO NF4267'!$E$3:$FQ$3,0)+1,0)</f>
        <v>0</v>
      </c>
      <c r="F2625" s="28">
        <f t="shared" si="131"/>
        <v>3</v>
      </c>
    </row>
    <row r="2626" spans="1:6" x14ac:dyDescent="0.35">
      <c r="A2626">
        <f t="shared" ref="A2626:A2689" si="132">IF(ISERROR(VLOOKUP(C2626,I:I,1,0)),0,1)</f>
        <v>0</v>
      </c>
      <c r="B2626">
        <f t="shared" si="130"/>
        <v>12</v>
      </c>
      <c r="C2626" s="12" t="s">
        <v>132</v>
      </c>
      <c r="D2626" s="18">
        <f>VLOOKUP(C2626,'DISTRIBUIÇÃO NF4267'!$E$3:$FQ$75,MATCH(B2626,'DISTRIBUIÇÃO NF4267'!$E$3:$FQ$3,0)+1,0)</f>
        <v>0</v>
      </c>
      <c r="F2626" s="28">
        <f t="shared" si="131"/>
        <v>3</v>
      </c>
    </row>
    <row r="2627" spans="1:6" x14ac:dyDescent="0.35">
      <c r="A2627">
        <f t="shared" si="132"/>
        <v>0</v>
      </c>
      <c r="B2627">
        <f t="shared" si="130"/>
        <v>12</v>
      </c>
      <c r="C2627" s="12" t="s">
        <v>133</v>
      </c>
      <c r="D2627" s="18">
        <f>VLOOKUP(C2627,'DISTRIBUIÇÃO NF4267'!$E$3:$FQ$75,MATCH(B2627,'DISTRIBUIÇÃO NF4267'!$E$3:$FQ$3,0)+1,0)</f>
        <v>0</v>
      </c>
      <c r="F2627" s="28">
        <f t="shared" si="131"/>
        <v>3</v>
      </c>
    </row>
    <row r="2628" spans="1:6" x14ac:dyDescent="0.35">
      <c r="A2628">
        <f t="shared" si="132"/>
        <v>0</v>
      </c>
      <c r="B2628">
        <f t="shared" si="130"/>
        <v>12</v>
      </c>
      <c r="C2628" s="12" t="s">
        <v>134</v>
      </c>
      <c r="D2628" s="18">
        <f>VLOOKUP(C2628,'DISTRIBUIÇÃO NF4267'!$E$3:$FQ$75,MATCH(B2628,'DISTRIBUIÇÃO NF4267'!$E$3:$FQ$3,0)+1,0)</f>
        <v>0</v>
      </c>
      <c r="F2628" s="28">
        <f t="shared" si="131"/>
        <v>3</v>
      </c>
    </row>
    <row r="2629" spans="1:6" x14ac:dyDescent="0.35">
      <c r="A2629">
        <f t="shared" si="132"/>
        <v>0</v>
      </c>
      <c r="B2629">
        <f t="shared" si="130"/>
        <v>12</v>
      </c>
      <c r="C2629" s="12" t="s">
        <v>135</v>
      </c>
      <c r="D2629" s="18">
        <f>VLOOKUP(C2629,'DISTRIBUIÇÃO NF4267'!$E$3:$FQ$75,MATCH(B2629,'DISTRIBUIÇÃO NF4267'!$E$3:$FQ$3,0)+1,0)</f>
        <v>0</v>
      </c>
      <c r="F2629" s="28">
        <f t="shared" si="131"/>
        <v>3</v>
      </c>
    </row>
    <row r="2630" spans="1:6" x14ac:dyDescent="0.35">
      <c r="A2630">
        <f t="shared" si="132"/>
        <v>0</v>
      </c>
      <c r="B2630">
        <f t="shared" si="130"/>
        <v>12</v>
      </c>
      <c r="C2630" s="13" t="s">
        <v>22</v>
      </c>
      <c r="D2630" s="18">
        <f>VLOOKUP(C2630,'DISTRIBUIÇÃO NF4267'!$E$3:$FQ$75,MATCH(B2630,'DISTRIBUIÇÃO NF4267'!$E$3:$FQ$3,0)+1,0)</f>
        <v>0</v>
      </c>
      <c r="F2630" s="28">
        <f t="shared" si="131"/>
        <v>3</v>
      </c>
    </row>
    <row r="2631" spans="1:6" x14ac:dyDescent="0.35">
      <c r="A2631">
        <f t="shared" si="132"/>
        <v>0</v>
      </c>
      <c r="B2631">
        <f t="shared" si="130"/>
        <v>12</v>
      </c>
      <c r="C2631" s="13" t="s">
        <v>23</v>
      </c>
      <c r="D2631" s="18">
        <f>VLOOKUP(C2631,'DISTRIBUIÇÃO NF4267'!$E$3:$FQ$75,MATCH(B2631,'DISTRIBUIÇÃO NF4267'!$E$3:$FQ$3,0)+1,0)</f>
        <v>0</v>
      </c>
      <c r="F2631" s="28">
        <f t="shared" si="131"/>
        <v>3</v>
      </c>
    </row>
    <row r="2632" spans="1:6" x14ac:dyDescent="0.35">
      <c r="A2632">
        <f t="shared" si="132"/>
        <v>0</v>
      </c>
      <c r="B2632">
        <f t="shared" si="130"/>
        <v>12</v>
      </c>
      <c r="C2632" s="13" t="s">
        <v>24</v>
      </c>
      <c r="D2632" s="18">
        <f>VLOOKUP(C2632,'DISTRIBUIÇÃO NF4267'!$E$3:$FQ$75,MATCH(B2632,'DISTRIBUIÇÃO NF4267'!$E$3:$FQ$3,0)+1,0)</f>
        <v>0</v>
      </c>
      <c r="F2632" s="28">
        <f t="shared" si="131"/>
        <v>3</v>
      </c>
    </row>
    <row r="2633" spans="1:6" x14ac:dyDescent="0.35">
      <c r="A2633">
        <f t="shared" si="132"/>
        <v>0</v>
      </c>
      <c r="B2633">
        <f t="shared" si="130"/>
        <v>12</v>
      </c>
      <c r="C2633" s="13" t="s">
        <v>25</v>
      </c>
      <c r="D2633" s="18">
        <f>VLOOKUP(C2633,'DISTRIBUIÇÃO NF4267'!$E$3:$FQ$75,MATCH(B2633,'DISTRIBUIÇÃO NF4267'!$E$3:$FQ$3,0)+1,0)</f>
        <v>0</v>
      </c>
      <c r="F2633" s="28">
        <f t="shared" si="131"/>
        <v>3</v>
      </c>
    </row>
    <row r="2634" spans="1:6" x14ac:dyDescent="0.35">
      <c r="A2634">
        <f t="shared" si="132"/>
        <v>0</v>
      </c>
      <c r="B2634">
        <f t="shared" si="130"/>
        <v>12</v>
      </c>
      <c r="C2634" s="13" t="s">
        <v>26</v>
      </c>
      <c r="D2634" s="18">
        <f>VLOOKUP(C2634,'DISTRIBUIÇÃO NF4267'!$E$3:$FQ$75,MATCH(B2634,'DISTRIBUIÇÃO NF4267'!$E$3:$FQ$3,0)+1,0)</f>
        <v>0</v>
      </c>
      <c r="F2634" s="28">
        <f t="shared" si="131"/>
        <v>3</v>
      </c>
    </row>
    <row r="2635" spans="1:6" x14ac:dyDescent="0.35">
      <c r="A2635">
        <f t="shared" si="132"/>
        <v>0</v>
      </c>
      <c r="B2635">
        <f t="shared" si="130"/>
        <v>12</v>
      </c>
      <c r="C2635" s="13" t="s">
        <v>27</v>
      </c>
      <c r="D2635" s="18">
        <f>VLOOKUP(C2635,'DISTRIBUIÇÃO NF4267'!$E$3:$FQ$75,MATCH(B2635,'DISTRIBUIÇÃO NF4267'!$E$3:$FQ$3,0)+1,0)</f>
        <v>0</v>
      </c>
      <c r="F2635" s="28">
        <f t="shared" si="131"/>
        <v>3</v>
      </c>
    </row>
    <row r="2636" spans="1:6" x14ac:dyDescent="0.35">
      <c r="A2636">
        <f t="shared" si="132"/>
        <v>0</v>
      </c>
      <c r="B2636">
        <f t="shared" si="130"/>
        <v>12</v>
      </c>
      <c r="C2636" s="14" t="s">
        <v>138</v>
      </c>
      <c r="D2636" s="18">
        <f>VLOOKUP(C2636,'DISTRIBUIÇÃO NF4267'!$E$3:$FQ$75,MATCH(B2636,'DISTRIBUIÇÃO NF4267'!$E$3:$FQ$3,0)+1,0)</f>
        <v>0</v>
      </c>
      <c r="F2636" s="28">
        <f t="shared" si="131"/>
        <v>3</v>
      </c>
    </row>
    <row r="2637" spans="1:6" x14ac:dyDescent="0.35">
      <c r="A2637">
        <f t="shared" si="132"/>
        <v>0</v>
      </c>
      <c r="B2637">
        <f t="shared" si="130"/>
        <v>12</v>
      </c>
      <c r="C2637" s="14" t="s">
        <v>139</v>
      </c>
      <c r="D2637" s="18">
        <f>VLOOKUP(C2637,'DISTRIBUIÇÃO NF4267'!$E$3:$FQ$75,MATCH(B2637,'DISTRIBUIÇÃO NF4267'!$E$3:$FQ$3,0)+1,0)</f>
        <v>2</v>
      </c>
      <c r="F2637" s="28">
        <f t="shared" si="131"/>
        <v>3</v>
      </c>
    </row>
    <row r="2638" spans="1:6" x14ac:dyDescent="0.35">
      <c r="A2638">
        <f t="shared" si="132"/>
        <v>0</v>
      </c>
      <c r="B2638">
        <f t="shared" si="130"/>
        <v>12</v>
      </c>
      <c r="C2638" s="14" t="s">
        <v>140</v>
      </c>
      <c r="D2638" s="18">
        <f>VLOOKUP(C2638,'DISTRIBUIÇÃO NF4267'!$E$3:$FQ$75,MATCH(B2638,'DISTRIBUIÇÃO NF4267'!$E$3:$FQ$3,0)+1,0)</f>
        <v>4</v>
      </c>
      <c r="F2638" s="28">
        <f t="shared" si="131"/>
        <v>3</v>
      </c>
    </row>
    <row r="2639" spans="1:6" x14ac:dyDescent="0.35">
      <c r="A2639">
        <f t="shared" si="132"/>
        <v>0</v>
      </c>
      <c r="B2639">
        <f t="shared" si="130"/>
        <v>12</v>
      </c>
      <c r="C2639" s="14" t="s">
        <v>141</v>
      </c>
      <c r="D2639" s="18">
        <f>VLOOKUP(C2639,'DISTRIBUIÇÃO NF4267'!$E$3:$FQ$75,MATCH(B2639,'DISTRIBUIÇÃO NF4267'!$E$3:$FQ$3,0)+1,0)</f>
        <v>2</v>
      </c>
      <c r="F2639" s="28">
        <f t="shared" si="131"/>
        <v>3</v>
      </c>
    </row>
    <row r="2640" spans="1:6" x14ac:dyDescent="0.35">
      <c r="A2640">
        <f t="shared" si="132"/>
        <v>0</v>
      </c>
      <c r="B2640">
        <f t="shared" si="130"/>
        <v>12</v>
      </c>
      <c r="C2640" s="14" t="s">
        <v>142</v>
      </c>
      <c r="D2640" s="18">
        <f>VLOOKUP(C2640,'DISTRIBUIÇÃO NF4267'!$E$3:$FQ$75,MATCH(B2640,'DISTRIBUIÇÃO NF4267'!$E$3:$FQ$3,0)+1,0)</f>
        <v>2</v>
      </c>
      <c r="F2640" s="28">
        <f t="shared" si="131"/>
        <v>3</v>
      </c>
    </row>
    <row r="2641" spans="1:6" x14ac:dyDescent="0.35">
      <c r="A2641">
        <f t="shared" si="132"/>
        <v>0</v>
      </c>
      <c r="B2641">
        <f t="shared" si="130"/>
        <v>12</v>
      </c>
      <c r="C2641" s="14" t="s">
        <v>143</v>
      </c>
      <c r="D2641" s="18">
        <f>VLOOKUP(C2641,'DISTRIBUIÇÃO NF4267'!$E$3:$FQ$75,MATCH(B2641,'DISTRIBUIÇÃO NF4267'!$E$3:$FQ$3,0)+1,0)</f>
        <v>0</v>
      </c>
      <c r="F2641" s="28">
        <f t="shared" si="131"/>
        <v>3</v>
      </c>
    </row>
    <row r="2642" spans="1:6" x14ac:dyDescent="0.35">
      <c r="A2642">
        <f t="shared" si="132"/>
        <v>0</v>
      </c>
      <c r="B2642">
        <f t="shared" si="130"/>
        <v>12</v>
      </c>
      <c r="C2642" s="15" t="s">
        <v>145</v>
      </c>
      <c r="D2642" s="18">
        <f>VLOOKUP(C2642,'DISTRIBUIÇÃO NF4267'!$E$3:$FQ$75,MATCH(B2642,'DISTRIBUIÇÃO NF4267'!$E$3:$FQ$3,0)+1,0)</f>
        <v>0</v>
      </c>
      <c r="F2642" s="28">
        <f t="shared" si="131"/>
        <v>3</v>
      </c>
    </row>
    <row r="2643" spans="1:6" x14ac:dyDescent="0.35">
      <c r="A2643">
        <f t="shared" si="132"/>
        <v>0</v>
      </c>
      <c r="B2643">
        <f t="shared" si="130"/>
        <v>12</v>
      </c>
      <c r="C2643" s="15" t="s">
        <v>146</v>
      </c>
      <c r="D2643" s="18">
        <f>VLOOKUP(C2643,'DISTRIBUIÇÃO NF4267'!$E$3:$FQ$75,MATCH(B2643,'DISTRIBUIÇÃO NF4267'!$E$3:$FQ$3,0)+1,0)</f>
        <v>2</v>
      </c>
      <c r="F2643" s="28">
        <f t="shared" si="131"/>
        <v>3</v>
      </c>
    </row>
    <row r="2644" spans="1:6" x14ac:dyDescent="0.35">
      <c r="A2644">
        <f t="shared" si="132"/>
        <v>0</v>
      </c>
      <c r="B2644">
        <f t="shared" si="130"/>
        <v>12</v>
      </c>
      <c r="C2644" s="15" t="s">
        <v>147</v>
      </c>
      <c r="D2644" s="18">
        <f>VLOOKUP(C2644,'DISTRIBUIÇÃO NF4267'!$E$3:$FQ$75,MATCH(B2644,'DISTRIBUIÇÃO NF4267'!$E$3:$FQ$3,0)+1,0)</f>
        <v>4</v>
      </c>
      <c r="F2644" s="28">
        <f t="shared" si="131"/>
        <v>3</v>
      </c>
    </row>
    <row r="2645" spans="1:6" x14ac:dyDescent="0.35">
      <c r="A2645">
        <f t="shared" si="132"/>
        <v>0</v>
      </c>
      <c r="B2645">
        <f t="shared" si="130"/>
        <v>12</v>
      </c>
      <c r="C2645" s="15" t="s">
        <v>148</v>
      </c>
      <c r="D2645" s="18">
        <f>VLOOKUP(C2645,'DISTRIBUIÇÃO NF4267'!$E$3:$FQ$75,MATCH(B2645,'DISTRIBUIÇÃO NF4267'!$E$3:$FQ$3,0)+1,0)</f>
        <v>2</v>
      </c>
      <c r="F2645" s="28">
        <f t="shared" si="131"/>
        <v>3</v>
      </c>
    </row>
    <row r="2646" spans="1:6" x14ac:dyDescent="0.35">
      <c r="A2646">
        <f t="shared" si="132"/>
        <v>0</v>
      </c>
      <c r="B2646">
        <f t="shared" si="130"/>
        <v>12</v>
      </c>
      <c r="C2646" s="15" t="s">
        <v>149</v>
      </c>
      <c r="D2646" s="18">
        <f>VLOOKUP(C2646,'DISTRIBUIÇÃO NF4267'!$E$3:$FQ$75,MATCH(B2646,'DISTRIBUIÇÃO NF4267'!$E$3:$FQ$3,0)+1,0)</f>
        <v>2</v>
      </c>
      <c r="F2646" s="28">
        <f t="shared" si="131"/>
        <v>3</v>
      </c>
    </row>
    <row r="2647" spans="1:6" x14ac:dyDescent="0.35">
      <c r="A2647">
        <f t="shared" si="132"/>
        <v>0</v>
      </c>
      <c r="B2647">
        <f t="shared" si="130"/>
        <v>12</v>
      </c>
      <c r="C2647" s="15" t="s">
        <v>150</v>
      </c>
      <c r="D2647" s="18">
        <f>VLOOKUP(C2647,'DISTRIBUIÇÃO NF4267'!$E$3:$FQ$75,MATCH(B2647,'DISTRIBUIÇÃO NF4267'!$E$3:$FQ$3,0)+1,0)</f>
        <v>0</v>
      </c>
      <c r="F2647" s="28">
        <f t="shared" si="131"/>
        <v>3</v>
      </c>
    </row>
    <row r="2648" spans="1:6" x14ac:dyDescent="0.35">
      <c r="A2648">
        <f t="shared" si="132"/>
        <v>0</v>
      </c>
      <c r="B2648">
        <v>85</v>
      </c>
      <c r="C2648" s="7" t="s">
        <v>98</v>
      </c>
      <c r="D2648" s="18">
        <f>VLOOKUP(C2648,'DISTRIBUIÇÃO NF4267'!$E$3:$FQ$75,MATCH(B2648,'DISTRIBUIÇÃO NF4267'!$E$3:$FQ$3,0)+1,0)</f>
        <v>0</v>
      </c>
      <c r="F2648" s="28">
        <f t="shared" si="131"/>
        <v>3</v>
      </c>
    </row>
    <row r="2649" spans="1:6" x14ac:dyDescent="0.35">
      <c r="A2649">
        <f t="shared" si="132"/>
        <v>0</v>
      </c>
      <c r="B2649">
        <f>B2648</f>
        <v>85</v>
      </c>
      <c r="C2649" s="7" t="s">
        <v>99</v>
      </c>
      <c r="D2649" s="18">
        <f>VLOOKUP(C2649,'DISTRIBUIÇÃO NF4267'!$E$3:$FQ$75,MATCH(B2649,'DISTRIBUIÇÃO NF4267'!$E$3:$FQ$3,0)+1,0)</f>
        <v>4</v>
      </c>
      <c r="F2649" s="28">
        <f t="shared" si="131"/>
        <v>3</v>
      </c>
    </row>
    <row r="2650" spans="1:6" x14ac:dyDescent="0.35">
      <c r="A2650">
        <f t="shared" si="132"/>
        <v>0</v>
      </c>
      <c r="B2650">
        <f t="shared" ref="B2650:B2701" si="133">B2649</f>
        <v>85</v>
      </c>
      <c r="C2650" s="7" t="s">
        <v>100</v>
      </c>
      <c r="D2650" s="18">
        <f>VLOOKUP(C2650,'DISTRIBUIÇÃO NF4267'!$E$3:$FQ$75,MATCH(B2650,'DISTRIBUIÇÃO NF4267'!$E$3:$FQ$3,0)+1,0)</f>
        <v>8</v>
      </c>
      <c r="F2650" s="28">
        <f t="shared" si="131"/>
        <v>3</v>
      </c>
    </row>
    <row r="2651" spans="1:6" x14ac:dyDescent="0.35">
      <c r="A2651">
        <f t="shared" si="132"/>
        <v>0</v>
      </c>
      <c r="B2651">
        <f t="shared" si="133"/>
        <v>85</v>
      </c>
      <c r="C2651" s="7" t="s">
        <v>101</v>
      </c>
      <c r="D2651" s="18">
        <f>VLOOKUP(C2651,'DISTRIBUIÇÃO NF4267'!$E$3:$FQ$75,MATCH(B2651,'DISTRIBUIÇÃO NF4267'!$E$3:$FQ$3,0)+1,0)</f>
        <v>4</v>
      </c>
      <c r="F2651" s="28">
        <f t="shared" si="131"/>
        <v>3</v>
      </c>
    </row>
    <row r="2652" spans="1:6" x14ac:dyDescent="0.35">
      <c r="A2652">
        <f t="shared" si="132"/>
        <v>0</v>
      </c>
      <c r="B2652">
        <f t="shared" si="133"/>
        <v>85</v>
      </c>
      <c r="C2652" s="7" t="s">
        <v>102</v>
      </c>
      <c r="D2652" s="18">
        <f>VLOOKUP(C2652,'DISTRIBUIÇÃO NF4267'!$E$3:$FQ$75,MATCH(B2652,'DISTRIBUIÇÃO NF4267'!$E$3:$FQ$3,0)+1,0)</f>
        <v>4</v>
      </c>
      <c r="F2652" s="28">
        <f t="shared" si="131"/>
        <v>3</v>
      </c>
    </row>
    <row r="2653" spans="1:6" x14ac:dyDescent="0.35">
      <c r="A2653">
        <f t="shared" si="132"/>
        <v>0</v>
      </c>
      <c r="B2653">
        <f t="shared" si="133"/>
        <v>85</v>
      </c>
      <c r="C2653" s="7" t="s">
        <v>103</v>
      </c>
      <c r="D2653" s="18">
        <f>VLOOKUP(C2653,'DISTRIBUIÇÃO NF4267'!$E$3:$FQ$75,MATCH(B2653,'DISTRIBUIÇÃO NF4267'!$E$3:$FQ$3,0)+1,0)</f>
        <v>0</v>
      </c>
      <c r="F2653" s="28">
        <f t="shared" si="131"/>
        <v>3</v>
      </c>
    </row>
    <row r="2654" spans="1:6" x14ac:dyDescent="0.35">
      <c r="A2654">
        <f t="shared" si="132"/>
        <v>0</v>
      </c>
      <c r="B2654">
        <f t="shared" si="133"/>
        <v>85</v>
      </c>
      <c r="C2654" s="8" t="s">
        <v>107</v>
      </c>
      <c r="D2654" s="18">
        <f>VLOOKUP(C2654,'DISTRIBUIÇÃO NF4267'!$E$3:$FQ$75,MATCH(B2654,'DISTRIBUIÇÃO NF4267'!$E$3:$FQ$3,0)+1,0)</f>
        <v>0</v>
      </c>
      <c r="F2654" s="28">
        <f t="shared" si="131"/>
        <v>3</v>
      </c>
    </row>
    <row r="2655" spans="1:6" x14ac:dyDescent="0.35">
      <c r="A2655">
        <f t="shared" si="132"/>
        <v>0</v>
      </c>
      <c r="B2655">
        <f t="shared" si="133"/>
        <v>85</v>
      </c>
      <c r="C2655" s="8" t="s">
        <v>108</v>
      </c>
      <c r="D2655" s="18">
        <f>VLOOKUP(C2655,'DISTRIBUIÇÃO NF4267'!$E$3:$FQ$75,MATCH(B2655,'DISTRIBUIÇÃO NF4267'!$E$3:$FQ$3,0)+1,0)</f>
        <v>2</v>
      </c>
      <c r="F2655" s="28">
        <f t="shared" si="131"/>
        <v>3</v>
      </c>
    </row>
    <row r="2656" spans="1:6" x14ac:dyDescent="0.35">
      <c r="A2656">
        <f t="shared" si="132"/>
        <v>0</v>
      </c>
      <c r="B2656">
        <f t="shared" si="133"/>
        <v>85</v>
      </c>
      <c r="C2656" s="8" t="s">
        <v>109</v>
      </c>
      <c r="D2656" s="18">
        <f>VLOOKUP(C2656,'DISTRIBUIÇÃO NF4267'!$E$3:$FQ$75,MATCH(B2656,'DISTRIBUIÇÃO NF4267'!$E$3:$FQ$3,0)+1,0)</f>
        <v>4</v>
      </c>
      <c r="F2656" s="28">
        <f t="shared" si="131"/>
        <v>3</v>
      </c>
    </row>
    <row r="2657" spans="1:6" x14ac:dyDescent="0.35">
      <c r="A2657">
        <f t="shared" si="132"/>
        <v>0</v>
      </c>
      <c r="B2657">
        <f t="shared" si="133"/>
        <v>85</v>
      </c>
      <c r="C2657" s="8" t="s">
        <v>110</v>
      </c>
      <c r="D2657" s="18">
        <f>VLOOKUP(C2657,'DISTRIBUIÇÃO NF4267'!$E$3:$FQ$75,MATCH(B2657,'DISTRIBUIÇÃO NF4267'!$E$3:$FQ$3,0)+1,0)</f>
        <v>2</v>
      </c>
      <c r="F2657" s="28">
        <f t="shared" si="131"/>
        <v>3</v>
      </c>
    </row>
    <row r="2658" spans="1:6" x14ac:dyDescent="0.35">
      <c r="A2658">
        <f t="shared" si="132"/>
        <v>0</v>
      </c>
      <c r="B2658">
        <f t="shared" si="133"/>
        <v>85</v>
      </c>
      <c r="C2658" s="8" t="s">
        <v>111</v>
      </c>
      <c r="D2658" s="18">
        <f>VLOOKUP(C2658,'DISTRIBUIÇÃO NF4267'!$E$3:$FQ$75,MATCH(B2658,'DISTRIBUIÇÃO NF4267'!$E$3:$FQ$3,0)+1,0)</f>
        <v>2</v>
      </c>
      <c r="F2658" s="28">
        <f t="shared" si="131"/>
        <v>3</v>
      </c>
    </row>
    <row r="2659" spans="1:6" x14ac:dyDescent="0.35">
      <c r="A2659">
        <f t="shared" si="132"/>
        <v>0</v>
      </c>
      <c r="B2659">
        <f t="shared" si="133"/>
        <v>85</v>
      </c>
      <c r="C2659" s="8" t="s">
        <v>112</v>
      </c>
      <c r="D2659" s="18">
        <f>VLOOKUP(C2659,'DISTRIBUIÇÃO NF4267'!$E$3:$FQ$75,MATCH(B2659,'DISTRIBUIÇÃO NF4267'!$E$3:$FQ$3,0)+1,0)</f>
        <v>0</v>
      </c>
      <c r="F2659" s="28">
        <f t="shared" si="131"/>
        <v>3</v>
      </c>
    </row>
    <row r="2660" spans="1:6" x14ac:dyDescent="0.35">
      <c r="A2660">
        <f t="shared" si="132"/>
        <v>0</v>
      </c>
      <c r="B2660">
        <f t="shared" si="133"/>
        <v>85</v>
      </c>
      <c r="C2660" s="9" t="s">
        <v>113</v>
      </c>
      <c r="D2660" s="18">
        <f>VLOOKUP(C2660,'DISTRIBUIÇÃO NF4267'!$E$3:$FQ$75,MATCH(B2660,'DISTRIBUIÇÃO NF4267'!$E$3:$FQ$3,0)+1,0)</f>
        <v>0</v>
      </c>
      <c r="F2660" s="28">
        <f t="shared" si="131"/>
        <v>3</v>
      </c>
    </row>
    <row r="2661" spans="1:6" x14ac:dyDescent="0.35">
      <c r="A2661">
        <f t="shared" si="132"/>
        <v>0</v>
      </c>
      <c r="B2661">
        <f t="shared" si="133"/>
        <v>85</v>
      </c>
      <c r="C2661" s="9" t="s">
        <v>114</v>
      </c>
      <c r="D2661" s="18">
        <f>VLOOKUP(C2661,'DISTRIBUIÇÃO NF4267'!$E$3:$FQ$75,MATCH(B2661,'DISTRIBUIÇÃO NF4267'!$E$3:$FQ$3,0)+1,0)</f>
        <v>3</v>
      </c>
      <c r="F2661" s="28">
        <f t="shared" si="131"/>
        <v>3</v>
      </c>
    </row>
    <row r="2662" spans="1:6" x14ac:dyDescent="0.35">
      <c r="A2662">
        <f t="shared" si="132"/>
        <v>0</v>
      </c>
      <c r="B2662">
        <f t="shared" si="133"/>
        <v>85</v>
      </c>
      <c r="C2662" s="9" t="s">
        <v>115</v>
      </c>
      <c r="D2662" s="18">
        <f>VLOOKUP(C2662,'DISTRIBUIÇÃO NF4267'!$E$3:$FQ$75,MATCH(B2662,'DISTRIBUIÇÃO NF4267'!$E$3:$FQ$3,0)+1,0)</f>
        <v>4</v>
      </c>
      <c r="F2662" s="28">
        <f t="shared" si="131"/>
        <v>3</v>
      </c>
    </row>
    <row r="2663" spans="1:6" x14ac:dyDescent="0.35">
      <c r="A2663">
        <f t="shared" si="132"/>
        <v>0</v>
      </c>
      <c r="B2663">
        <f t="shared" si="133"/>
        <v>85</v>
      </c>
      <c r="C2663" s="9" t="s">
        <v>116</v>
      </c>
      <c r="D2663" s="18">
        <f>VLOOKUP(C2663,'DISTRIBUIÇÃO NF4267'!$E$3:$FQ$75,MATCH(B2663,'DISTRIBUIÇÃO NF4267'!$E$3:$FQ$3,0)+1,0)</f>
        <v>2</v>
      </c>
      <c r="F2663" s="28">
        <f t="shared" si="131"/>
        <v>3</v>
      </c>
    </row>
    <row r="2664" spans="1:6" x14ac:dyDescent="0.35">
      <c r="A2664">
        <f t="shared" si="132"/>
        <v>0</v>
      </c>
      <c r="B2664">
        <f t="shared" si="133"/>
        <v>85</v>
      </c>
      <c r="C2664" s="9" t="s">
        <v>117</v>
      </c>
      <c r="D2664" s="18">
        <f>VLOOKUP(C2664,'DISTRIBUIÇÃO NF4267'!$E$3:$FQ$75,MATCH(B2664,'DISTRIBUIÇÃO NF4267'!$E$3:$FQ$3,0)+1,0)</f>
        <v>1</v>
      </c>
      <c r="F2664" s="28">
        <f t="shared" si="131"/>
        <v>3</v>
      </c>
    </row>
    <row r="2665" spans="1:6" x14ac:dyDescent="0.35">
      <c r="A2665">
        <f t="shared" si="132"/>
        <v>0</v>
      </c>
      <c r="B2665">
        <f t="shared" si="133"/>
        <v>85</v>
      </c>
      <c r="C2665" s="9" t="s">
        <v>118</v>
      </c>
      <c r="D2665" s="18">
        <f>VLOOKUP(C2665,'DISTRIBUIÇÃO NF4267'!$E$3:$FQ$75,MATCH(B2665,'DISTRIBUIÇÃO NF4267'!$E$3:$FQ$3,0)+1,0)</f>
        <v>0</v>
      </c>
      <c r="F2665" s="28">
        <f t="shared" si="131"/>
        <v>3</v>
      </c>
    </row>
    <row r="2666" spans="1:6" x14ac:dyDescent="0.35">
      <c r="A2666">
        <f t="shared" si="132"/>
        <v>0</v>
      </c>
      <c r="B2666">
        <f t="shared" si="133"/>
        <v>85</v>
      </c>
      <c r="C2666" s="10" t="s">
        <v>119</v>
      </c>
      <c r="D2666" s="18">
        <f>VLOOKUP(C2666,'DISTRIBUIÇÃO NF4267'!$E$3:$FQ$75,MATCH(B2666,'DISTRIBUIÇÃO NF4267'!$E$3:$FQ$3,0)+1,0)</f>
        <v>0</v>
      </c>
      <c r="F2666" s="28">
        <f t="shared" si="131"/>
        <v>3</v>
      </c>
    </row>
    <row r="2667" spans="1:6" x14ac:dyDescent="0.35">
      <c r="A2667">
        <f t="shared" si="132"/>
        <v>0</v>
      </c>
      <c r="B2667">
        <f t="shared" si="133"/>
        <v>85</v>
      </c>
      <c r="C2667" s="10" t="s">
        <v>120</v>
      </c>
      <c r="D2667" s="18">
        <f>VLOOKUP(C2667,'DISTRIBUIÇÃO NF4267'!$E$3:$FQ$75,MATCH(B2667,'DISTRIBUIÇÃO NF4267'!$E$3:$FQ$3,0)+1,0)</f>
        <v>48</v>
      </c>
      <c r="F2667" s="28">
        <f t="shared" si="131"/>
        <v>3</v>
      </c>
    </row>
    <row r="2668" spans="1:6" x14ac:dyDescent="0.35">
      <c r="A2668">
        <f t="shared" si="132"/>
        <v>0</v>
      </c>
      <c r="B2668">
        <f t="shared" si="133"/>
        <v>85</v>
      </c>
      <c r="C2668" s="10" t="s">
        <v>121</v>
      </c>
      <c r="D2668" s="18">
        <f>VLOOKUP(C2668,'DISTRIBUIÇÃO NF4267'!$E$3:$FQ$75,MATCH(B2668,'DISTRIBUIÇÃO NF4267'!$E$3:$FQ$3,0)+1,0)</f>
        <v>16</v>
      </c>
      <c r="F2668" s="28">
        <f t="shared" si="131"/>
        <v>3</v>
      </c>
    </row>
    <row r="2669" spans="1:6" x14ac:dyDescent="0.35">
      <c r="A2669">
        <f t="shared" si="132"/>
        <v>0</v>
      </c>
      <c r="B2669">
        <f t="shared" si="133"/>
        <v>85</v>
      </c>
      <c r="C2669" s="10" t="s">
        <v>122</v>
      </c>
      <c r="D2669" s="18">
        <f>VLOOKUP(C2669,'DISTRIBUIÇÃO NF4267'!$E$3:$FQ$75,MATCH(B2669,'DISTRIBUIÇÃO NF4267'!$E$3:$FQ$3,0)+1,0)</f>
        <v>16</v>
      </c>
      <c r="F2669" s="28">
        <f t="shared" si="131"/>
        <v>3</v>
      </c>
    </row>
    <row r="2670" spans="1:6" x14ac:dyDescent="0.35">
      <c r="A2670">
        <f t="shared" si="132"/>
        <v>0</v>
      </c>
      <c r="B2670">
        <f t="shared" si="133"/>
        <v>85</v>
      </c>
      <c r="C2670" s="10" t="s">
        <v>123</v>
      </c>
      <c r="D2670" s="18">
        <f>VLOOKUP(C2670,'DISTRIBUIÇÃO NF4267'!$E$3:$FQ$75,MATCH(B2670,'DISTRIBUIÇÃO NF4267'!$E$3:$FQ$3,0)+1,0)</f>
        <v>0</v>
      </c>
      <c r="F2670" s="28">
        <f t="shared" si="131"/>
        <v>3</v>
      </c>
    </row>
    <row r="2671" spans="1:6" x14ac:dyDescent="0.35">
      <c r="A2671">
        <f t="shared" si="132"/>
        <v>0</v>
      </c>
      <c r="B2671">
        <f t="shared" si="133"/>
        <v>85</v>
      </c>
      <c r="C2671" s="10" t="s">
        <v>124</v>
      </c>
      <c r="D2671" s="18">
        <f>VLOOKUP(C2671,'DISTRIBUIÇÃO NF4267'!$E$3:$FQ$75,MATCH(B2671,'DISTRIBUIÇÃO NF4267'!$E$3:$FQ$3,0)+1,0)</f>
        <v>0</v>
      </c>
      <c r="F2671" s="28">
        <f t="shared" si="131"/>
        <v>3</v>
      </c>
    </row>
    <row r="2672" spans="1:6" x14ac:dyDescent="0.35">
      <c r="A2672">
        <f t="shared" si="132"/>
        <v>0</v>
      </c>
      <c r="B2672">
        <f t="shared" si="133"/>
        <v>85</v>
      </c>
      <c r="C2672" s="11" t="s">
        <v>16</v>
      </c>
      <c r="D2672" s="18">
        <f>VLOOKUP(C2672,'DISTRIBUIÇÃO NF4267'!$E$3:$FQ$75,MATCH(B2672,'DISTRIBUIÇÃO NF4267'!$E$3:$FQ$3,0)+1,0)</f>
        <v>0</v>
      </c>
      <c r="F2672" s="28">
        <f t="shared" si="131"/>
        <v>3</v>
      </c>
    </row>
    <row r="2673" spans="1:6" x14ac:dyDescent="0.35">
      <c r="A2673">
        <f t="shared" si="132"/>
        <v>0</v>
      </c>
      <c r="B2673">
        <f t="shared" si="133"/>
        <v>85</v>
      </c>
      <c r="C2673" s="11" t="s">
        <v>17</v>
      </c>
      <c r="D2673" s="18">
        <f>VLOOKUP(C2673,'DISTRIBUIÇÃO NF4267'!$E$3:$FQ$75,MATCH(B2673,'DISTRIBUIÇÃO NF4267'!$E$3:$FQ$3,0)+1,0)</f>
        <v>9</v>
      </c>
      <c r="F2673" s="28">
        <f t="shared" si="131"/>
        <v>3</v>
      </c>
    </row>
    <row r="2674" spans="1:6" x14ac:dyDescent="0.35">
      <c r="A2674">
        <f t="shared" si="132"/>
        <v>0</v>
      </c>
      <c r="B2674">
        <f t="shared" si="133"/>
        <v>85</v>
      </c>
      <c r="C2674" s="11" t="s">
        <v>18</v>
      </c>
      <c r="D2674" s="18">
        <f>VLOOKUP(C2674,'DISTRIBUIÇÃO NF4267'!$E$3:$FQ$75,MATCH(B2674,'DISTRIBUIÇÃO NF4267'!$E$3:$FQ$3,0)+1,0)</f>
        <v>3</v>
      </c>
      <c r="F2674" s="28">
        <f t="shared" si="131"/>
        <v>3</v>
      </c>
    </row>
    <row r="2675" spans="1:6" x14ac:dyDescent="0.35">
      <c r="A2675">
        <f t="shared" si="132"/>
        <v>0</v>
      </c>
      <c r="B2675">
        <f t="shared" si="133"/>
        <v>85</v>
      </c>
      <c r="C2675" s="11" t="s">
        <v>19</v>
      </c>
      <c r="D2675" s="18">
        <f>VLOOKUP(C2675,'DISTRIBUIÇÃO NF4267'!$E$3:$FQ$75,MATCH(B2675,'DISTRIBUIÇÃO NF4267'!$E$3:$FQ$3,0)+1,0)</f>
        <v>3</v>
      </c>
      <c r="F2675" s="28">
        <f t="shared" si="131"/>
        <v>3</v>
      </c>
    </row>
    <row r="2676" spans="1:6" x14ac:dyDescent="0.35">
      <c r="A2676">
        <f t="shared" si="132"/>
        <v>0</v>
      </c>
      <c r="B2676">
        <f t="shared" si="133"/>
        <v>85</v>
      </c>
      <c r="C2676" s="11" t="s">
        <v>20</v>
      </c>
      <c r="D2676" s="18">
        <f>VLOOKUP(C2676,'DISTRIBUIÇÃO NF4267'!$E$3:$FQ$75,MATCH(B2676,'DISTRIBUIÇÃO NF4267'!$E$3:$FQ$3,0)+1,0)</f>
        <v>15</v>
      </c>
      <c r="F2676" s="28">
        <f t="shared" si="131"/>
        <v>3</v>
      </c>
    </row>
    <row r="2677" spans="1:6" x14ac:dyDescent="0.35">
      <c r="A2677">
        <f t="shared" si="132"/>
        <v>0</v>
      </c>
      <c r="B2677">
        <f t="shared" si="133"/>
        <v>85</v>
      </c>
      <c r="C2677" s="11" t="s">
        <v>21</v>
      </c>
      <c r="D2677" s="18">
        <f>VLOOKUP(C2677,'DISTRIBUIÇÃO NF4267'!$E$3:$FQ$75,MATCH(B2677,'DISTRIBUIÇÃO NF4267'!$E$3:$FQ$3,0)+1,0)</f>
        <v>0</v>
      </c>
      <c r="F2677" s="28">
        <f t="shared" si="131"/>
        <v>3</v>
      </c>
    </row>
    <row r="2678" spans="1:6" x14ac:dyDescent="0.35">
      <c r="A2678">
        <f t="shared" si="132"/>
        <v>0</v>
      </c>
      <c r="B2678">
        <f t="shared" si="133"/>
        <v>85</v>
      </c>
      <c r="C2678" s="12" t="s">
        <v>130</v>
      </c>
      <c r="D2678" s="18">
        <f>VLOOKUP(C2678,'DISTRIBUIÇÃO NF4267'!$E$3:$FQ$75,MATCH(B2678,'DISTRIBUIÇÃO NF4267'!$E$3:$FQ$3,0)+1,0)</f>
        <v>0</v>
      </c>
      <c r="F2678" s="28">
        <f t="shared" si="131"/>
        <v>3</v>
      </c>
    </row>
    <row r="2679" spans="1:6" x14ac:dyDescent="0.35">
      <c r="A2679">
        <f t="shared" si="132"/>
        <v>0</v>
      </c>
      <c r="B2679">
        <f t="shared" si="133"/>
        <v>85</v>
      </c>
      <c r="C2679" s="12" t="s">
        <v>131</v>
      </c>
      <c r="D2679" s="18">
        <f>VLOOKUP(C2679,'DISTRIBUIÇÃO NF4267'!$E$3:$FQ$75,MATCH(B2679,'DISTRIBUIÇÃO NF4267'!$E$3:$FQ$3,0)+1,0)</f>
        <v>0</v>
      </c>
      <c r="F2679" s="28">
        <f t="shared" si="131"/>
        <v>3</v>
      </c>
    </row>
    <row r="2680" spans="1:6" x14ac:dyDescent="0.35">
      <c r="A2680">
        <f t="shared" si="132"/>
        <v>0</v>
      </c>
      <c r="B2680">
        <f t="shared" si="133"/>
        <v>85</v>
      </c>
      <c r="C2680" s="12" t="s">
        <v>132</v>
      </c>
      <c r="D2680" s="18">
        <f>VLOOKUP(C2680,'DISTRIBUIÇÃO NF4267'!$E$3:$FQ$75,MATCH(B2680,'DISTRIBUIÇÃO NF4267'!$E$3:$FQ$3,0)+1,0)</f>
        <v>0</v>
      </c>
      <c r="F2680" s="28">
        <f t="shared" ref="F2680:F2743" si="134">ROUNDUP(SUMIFS(D:D,B:B,B2680)/80,0)</f>
        <v>3</v>
      </c>
    </row>
    <row r="2681" spans="1:6" x14ac:dyDescent="0.35">
      <c r="A2681">
        <f t="shared" si="132"/>
        <v>0</v>
      </c>
      <c r="B2681">
        <f t="shared" si="133"/>
        <v>85</v>
      </c>
      <c r="C2681" s="12" t="s">
        <v>133</v>
      </c>
      <c r="D2681" s="18">
        <f>VLOOKUP(C2681,'DISTRIBUIÇÃO NF4267'!$E$3:$FQ$75,MATCH(B2681,'DISTRIBUIÇÃO NF4267'!$E$3:$FQ$3,0)+1,0)</f>
        <v>0</v>
      </c>
      <c r="F2681" s="28">
        <f t="shared" si="134"/>
        <v>3</v>
      </c>
    </row>
    <row r="2682" spans="1:6" x14ac:dyDescent="0.35">
      <c r="A2682">
        <f t="shared" si="132"/>
        <v>0</v>
      </c>
      <c r="B2682">
        <f t="shared" si="133"/>
        <v>85</v>
      </c>
      <c r="C2682" s="12" t="s">
        <v>134</v>
      </c>
      <c r="D2682" s="18">
        <f>VLOOKUP(C2682,'DISTRIBUIÇÃO NF4267'!$E$3:$FQ$75,MATCH(B2682,'DISTRIBUIÇÃO NF4267'!$E$3:$FQ$3,0)+1,0)</f>
        <v>0</v>
      </c>
      <c r="F2682" s="28">
        <f t="shared" si="134"/>
        <v>3</v>
      </c>
    </row>
    <row r="2683" spans="1:6" x14ac:dyDescent="0.35">
      <c r="A2683">
        <f t="shared" si="132"/>
        <v>0</v>
      </c>
      <c r="B2683">
        <f t="shared" si="133"/>
        <v>85</v>
      </c>
      <c r="C2683" s="12" t="s">
        <v>135</v>
      </c>
      <c r="D2683" s="18">
        <f>VLOOKUP(C2683,'DISTRIBUIÇÃO NF4267'!$E$3:$FQ$75,MATCH(B2683,'DISTRIBUIÇÃO NF4267'!$E$3:$FQ$3,0)+1,0)</f>
        <v>0</v>
      </c>
      <c r="F2683" s="28">
        <f t="shared" si="134"/>
        <v>3</v>
      </c>
    </row>
    <row r="2684" spans="1:6" x14ac:dyDescent="0.35">
      <c r="A2684">
        <f t="shared" si="132"/>
        <v>0</v>
      </c>
      <c r="B2684">
        <f t="shared" si="133"/>
        <v>85</v>
      </c>
      <c r="C2684" s="13" t="s">
        <v>22</v>
      </c>
      <c r="D2684" s="18">
        <f>VLOOKUP(C2684,'DISTRIBUIÇÃO NF4267'!$E$3:$FQ$75,MATCH(B2684,'DISTRIBUIÇÃO NF4267'!$E$3:$FQ$3,0)+1,0)</f>
        <v>0</v>
      </c>
      <c r="F2684" s="28">
        <f t="shared" si="134"/>
        <v>3</v>
      </c>
    </row>
    <row r="2685" spans="1:6" x14ac:dyDescent="0.35">
      <c r="A2685">
        <f t="shared" si="132"/>
        <v>0</v>
      </c>
      <c r="B2685">
        <f t="shared" si="133"/>
        <v>85</v>
      </c>
      <c r="C2685" s="13" t="s">
        <v>23</v>
      </c>
      <c r="D2685" s="18">
        <f>VLOOKUP(C2685,'DISTRIBUIÇÃO NF4267'!$E$3:$FQ$75,MATCH(B2685,'DISTRIBUIÇÃO NF4267'!$E$3:$FQ$3,0)+1,0)</f>
        <v>0</v>
      </c>
      <c r="F2685" s="28">
        <f t="shared" si="134"/>
        <v>3</v>
      </c>
    </row>
    <row r="2686" spans="1:6" x14ac:dyDescent="0.35">
      <c r="A2686">
        <f t="shared" si="132"/>
        <v>0</v>
      </c>
      <c r="B2686">
        <f t="shared" si="133"/>
        <v>85</v>
      </c>
      <c r="C2686" s="13" t="s">
        <v>24</v>
      </c>
      <c r="D2686" s="18">
        <f>VLOOKUP(C2686,'DISTRIBUIÇÃO NF4267'!$E$3:$FQ$75,MATCH(B2686,'DISTRIBUIÇÃO NF4267'!$E$3:$FQ$3,0)+1,0)</f>
        <v>0</v>
      </c>
      <c r="F2686" s="28">
        <f t="shared" si="134"/>
        <v>3</v>
      </c>
    </row>
    <row r="2687" spans="1:6" x14ac:dyDescent="0.35">
      <c r="A2687">
        <f t="shared" si="132"/>
        <v>0</v>
      </c>
      <c r="B2687">
        <f t="shared" si="133"/>
        <v>85</v>
      </c>
      <c r="C2687" s="13" t="s">
        <v>25</v>
      </c>
      <c r="D2687" s="18">
        <f>VLOOKUP(C2687,'DISTRIBUIÇÃO NF4267'!$E$3:$FQ$75,MATCH(B2687,'DISTRIBUIÇÃO NF4267'!$E$3:$FQ$3,0)+1,0)</f>
        <v>0</v>
      </c>
      <c r="F2687" s="28">
        <f t="shared" si="134"/>
        <v>3</v>
      </c>
    </row>
    <row r="2688" spans="1:6" x14ac:dyDescent="0.35">
      <c r="A2688">
        <f t="shared" si="132"/>
        <v>0</v>
      </c>
      <c r="B2688">
        <f t="shared" si="133"/>
        <v>85</v>
      </c>
      <c r="C2688" s="13" t="s">
        <v>26</v>
      </c>
      <c r="D2688" s="18">
        <f>VLOOKUP(C2688,'DISTRIBUIÇÃO NF4267'!$E$3:$FQ$75,MATCH(B2688,'DISTRIBUIÇÃO NF4267'!$E$3:$FQ$3,0)+1,0)</f>
        <v>0</v>
      </c>
      <c r="F2688" s="28">
        <f t="shared" si="134"/>
        <v>3</v>
      </c>
    </row>
    <row r="2689" spans="1:6" x14ac:dyDescent="0.35">
      <c r="A2689">
        <f t="shared" si="132"/>
        <v>0</v>
      </c>
      <c r="B2689">
        <f t="shared" si="133"/>
        <v>85</v>
      </c>
      <c r="C2689" s="13" t="s">
        <v>27</v>
      </c>
      <c r="D2689" s="18">
        <f>VLOOKUP(C2689,'DISTRIBUIÇÃO NF4267'!$E$3:$FQ$75,MATCH(B2689,'DISTRIBUIÇÃO NF4267'!$E$3:$FQ$3,0)+1,0)</f>
        <v>0</v>
      </c>
      <c r="F2689" s="28">
        <f t="shared" si="134"/>
        <v>3</v>
      </c>
    </row>
    <row r="2690" spans="1:6" x14ac:dyDescent="0.35">
      <c r="A2690">
        <f t="shared" ref="A2690:A2753" si="135">IF(ISERROR(VLOOKUP(C2690,I:I,1,0)),0,1)</f>
        <v>0</v>
      </c>
      <c r="B2690">
        <f t="shared" si="133"/>
        <v>85</v>
      </c>
      <c r="C2690" s="14" t="s">
        <v>138</v>
      </c>
      <c r="D2690" s="18">
        <f>VLOOKUP(C2690,'DISTRIBUIÇÃO NF4267'!$E$3:$FQ$75,MATCH(B2690,'DISTRIBUIÇÃO NF4267'!$E$3:$FQ$3,0)+1,0)</f>
        <v>0</v>
      </c>
      <c r="F2690" s="28">
        <f t="shared" si="134"/>
        <v>3</v>
      </c>
    </row>
    <row r="2691" spans="1:6" x14ac:dyDescent="0.35">
      <c r="A2691">
        <f t="shared" si="135"/>
        <v>0</v>
      </c>
      <c r="B2691">
        <f t="shared" si="133"/>
        <v>85</v>
      </c>
      <c r="C2691" s="14" t="s">
        <v>139</v>
      </c>
      <c r="D2691" s="18">
        <f>VLOOKUP(C2691,'DISTRIBUIÇÃO NF4267'!$E$3:$FQ$75,MATCH(B2691,'DISTRIBUIÇÃO NF4267'!$E$3:$FQ$3,0)+1,0)</f>
        <v>2</v>
      </c>
      <c r="F2691" s="28">
        <f t="shared" si="134"/>
        <v>3</v>
      </c>
    </row>
    <row r="2692" spans="1:6" x14ac:dyDescent="0.35">
      <c r="A2692">
        <f t="shared" si="135"/>
        <v>0</v>
      </c>
      <c r="B2692">
        <f t="shared" si="133"/>
        <v>85</v>
      </c>
      <c r="C2692" s="14" t="s">
        <v>140</v>
      </c>
      <c r="D2692" s="18">
        <f>VLOOKUP(C2692,'DISTRIBUIÇÃO NF4267'!$E$3:$FQ$75,MATCH(B2692,'DISTRIBUIÇÃO NF4267'!$E$3:$FQ$3,0)+1,0)</f>
        <v>4</v>
      </c>
      <c r="F2692" s="28">
        <f t="shared" si="134"/>
        <v>3</v>
      </c>
    </row>
    <row r="2693" spans="1:6" x14ac:dyDescent="0.35">
      <c r="A2693">
        <f t="shared" si="135"/>
        <v>0</v>
      </c>
      <c r="B2693">
        <f t="shared" si="133"/>
        <v>85</v>
      </c>
      <c r="C2693" s="14" t="s">
        <v>141</v>
      </c>
      <c r="D2693" s="18">
        <f>VLOOKUP(C2693,'DISTRIBUIÇÃO NF4267'!$E$3:$FQ$75,MATCH(B2693,'DISTRIBUIÇÃO NF4267'!$E$3:$FQ$3,0)+1,0)</f>
        <v>2</v>
      </c>
      <c r="F2693" s="28">
        <f t="shared" si="134"/>
        <v>3</v>
      </c>
    </row>
    <row r="2694" spans="1:6" x14ac:dyDescent="0.35">
      <c r="A2694">
        <f t="shared" si="135"/>
        <v>0</v>
      </c>
      <c r="B2694">
        <f t="shared" si="133"/>
        <v>85</v>
      </c>
      <c r="C2694" s="14" t="s">
        <v>142</v>
      </c>
      <c r="D2694" s="18">
        <f>VLOOKUP(C2694,'DISTRIBUIÇÃO NF4267'!$E$3:$FQ$75,MATCH(B2694,'DISTRIBUIÇÃO NF4267'!$E$3:$FQ$3,0)+1,0)</f>
        <v>2</v>
      </c>
      <c r="F2694" s="28">
        <f t="shared" si="134"/>
        <v>3</v>
      </c>
    </row>
    <row r="2695" spans="1:6" x14ac:dyDescent="0.35">
      <c r="A2695">
        <f t="shared" si="135"/>
        <v>0</v>
      </c>
      <c r="B2695">
        <f t="shared" si="133"/>
        <v>85</v>
      </c>
      <c r="C2695" s="14" t="s">
        <v>143</v>
      </c>
      <c r="D2695" s="18">
        <f>VLOOKUP(C2695,'DISTRIBUIÇÃO NF4267'!$E$3:$FQ$75,MATCH(B2695,'DISTRIBUIÇÃO NF4267'!$E$3:$FQ$3,0)+1,0)</f>
        <v>0</v>
      </c>
      <c r="F2695" s="28">
        <f t="shared" si="134"/>
        <v>3</v>
      </c>
    </row>
    <row r="2696" spans="1:6" x14ac:dyDescent="0.35">
      <c r="A2696">
        <f t="shared" si="135"/>
        <v>0</v>
      </c>
      <c r="B2696">
        <f t="shared" si="133"/>
        <v>85</v>
      </c>
      <c r="C2696" s="15" t="s">
        <v>145</v>
      </c>
      <c r="D2696" s="18">
        <f>VLOOKUP(C2696,'DISTRIBUIÇÃO NF4267'!$E$3:$FQ$75,MATCH(B2696,'DISTRIBUIÇÃO NF4267'!$E$3:$FQ$3,0)+1,0)</f>
        <v>0</v>
      </c>
      <c r="F2696" s="28">
        <f t="shared" si="134"/>
        <v>3</v>
      </c>
    </row>
    <row r="2697" spans="1:6" x14ac:dyDescent="0.35">
      <c r="A2697">
        <f t="shared" si="135"/>
        <v>0</v>
      </c>
      <c r="B2697">
        <f t="shared" si="133"/>
        <v>85</v>
      </c>
      <c r="C2697" s="15" t="s">
        <v>146</v>
      </c>
      <c r="D2697" s="18">
        <f>VLOOKUP(C2697,'DISTRIBUIÇÃO NF4267'!$E$3:$FQ$75,MATCH(B2697,'DISTRIBUIÇÃO NF4267'!$E$3:$FQ$3,0)+1,0)</f>
        <v>2</v>
      </c>
      <c r="F2697" s="28">
        <f t="shared" si="134"/>
        <v>3</v>
      </c>
    </row>
    <row r="2698" spans="1:6" x14ac:dyDescent="0.35">
      <c r="A2698">
        <f t="shared" si="135"/>
        <v>0</v>
      </c>
      <c r="B2698">
        <f t="shared" si="133"/>
        <v>85</v>
      </c>
      <c r="C2698" s="15" t="s">
        <v>147</v>
      </c>
      <c r="D2698" s="18">
        <f>VLOOKUP(C2698,'DISTRIBUIÇÃO NF4267'!$E$3:$FQ$75,MATCH(B2698,'DISTRIBUIÇÃO NF4267'!$E$3:$FQ$3,0)+1,0)</f>
        <v>4</v>
      </c>
      <c r="F2698" s="28">
        <f t="shared" si="134"/>
        <v>3</v>
      </c>
    </row>
    <row r="2699" spans="1:6" x14ac:dyDescent="0.35">
      <c r="A2699">
        <f t="shared" si="135"/>
        <v>0</v>
      </c>
      <c r="B2699">
        <f t="shared" si="133"/>
        <v>85</v>
      </c>
      <c r="C2699" s="15" t="s">
        <v>148</v>
      </c>
      <c r="D2699" s="18">
        <f>VLOOKUP(C2699,'DISTRIBUIÇÃO NF4267'!$E$3:$FQ$75,MATCH(B2699,'DISTRIBUIÇÃO NF4267'!$E$3:$FQ$3,0)+1,0)</f>
        <v>2</v>
      </c>
      <c r="F2699" s="28">
        <f t="shared" si="134"/>
        <v>3</v>
      </c>
    </row>
    <row r="2700" spans="1:6" x14ac:dyDescent="0.35">
      <c r="A2700">
        <f t="shared" si="135"/>
        <v>0</v>
      </c>
      <c r="B2700">
        <f t="shared" si="133"/>
        <v>85</v>
      </c>
      <c r="C2700" s="15" t="s">
        <v>149</v>
      </c>
      <c r="D2700" s="18">
        <f>VLOOKUP(C2700,'DISTRIBUIÇÃO NF4267'!$E$3:$FQ$75,MATCH(B2700,'DISTRIBUIÇÃO NF4267'!$E$3:$FQ$3,0)+1,0)</f>
        <v>2</v>
      </c>
      <c r="F2700" s="28">
        <f t="shared" si="134"/>
        <v>3</v>
      </c>
    </row>
    <row r="2701" spans="1:6" x14ac:dyDescent="0.35">
      <c r="A2701">
        <f t="shared" si="135"/>
        <v>0</v>
      </c>
      <c r="B2701">
        <f t="shared" si="133"/>
        <v>85</v>
      </c>
      <c r="C2701" s="15" t="s">
        <v>150</v>
      </c>
      <c r="D2701" s="18">
        <f>VLOOKUP(C2701,'DISTRIBUIÇÃO NF4267'!$E$3:$FQ$75,MATCH(B2701,'DISTRIBUIÇÃO NF4267'!$E$3:$FQ$3,0)+1,0)</f>
        <v>0</v>
      </c>
      <c r="F2701" s="28">
        <f t="shared" si="134"/>
        <v>3</v>
      </c>
    </row>
    <row r="2702" spans="1:6" x14ac:dyDescent="0.35">
      <c r="A2702">
        <f t="shared" si="135"/>
        <v>0</v>
      </c>
      <c r="B2702">
        <v>13</v>
      </c>
      <c r="C2702" s="7" t="s">
        <v>98</v>
      </c>
      <c r="D2702" s="18">
        <f>VLOOKUP(C2702,'DISTRIBUIÇÃO NF4267'!$E$3:$FQ$75,MATCH(B2702,'DISTRIBUIÇÃO NF4267'!$E$3:$FQ$3,0)+1,0)</f>
        <v>0</v>
      </c>
      <c r="F2702" s="28">
        <f t="shared" si="134"/>
        <v>3</v>
      </c>
    </row>
    <row r="2703" spans="1:6" x14ac:dyDescent="0.35">
      <c r="A2703">
        <f t="shared" si="135"/>
        <v>0</v>
      </c>
      <c r="B2703">
        <f>B2702</f>
        <v>13</v>
      </c>
      <c r="C2703" s="7" t="s">
        <v>99</v>
      </c>
      <c r="D2703" s="18">
        <f>VLOOKUP(C2703,'DISTRIBUIÇÃO NF4267'!$E$3:$FQ$75,MATCH(B2703,'DISTRIBUIÇÃO NF4267'!$E$3:$FQ$3,0)+1,0)</f>
        <v>4</v>
      </c>
      <c r="F2703" s="28">
        <f t="shared" si="134"/>
        <v>3</v>
      </c>
    </row>
    <row r="2704" spans="1:6" x14ac:dyDescent="0.35">
      <c r="A2704">
        <f t="shared" si="135"/>
        <v>0</v>
      </c>
      <c r="B2704">
        <f t="shared" ref="B2704:B2755" si="136">B2703</f>
        <v>13</v>
      </c>
      <c r="C2704" s="7" t="s">
        <v>100</v>
      </c>
      <c r="D2704" s="18">
        <f>VLOOKUP(C2704,'DISTRIBUIÇÃO NF4267'!$E$3:$FQ$75,MATCH(B2704,'DISTRIBUIÇÃO NF4267'!$E$3:$FQ$3,0)+1,0)</f>
        <v>8</v>
      </c>
      <c r="F2704" s="28">
        <f t="shared" si="134"/>
        <v>3</v>
      </c>
    </row>
    <row r="2705" spans="1:6" x14ac:dyDescent="0.35">
      <c r="A2705">
        <f t="shared" si="135"/>
        <v>0</v>
      </c>
      <c r="B2705">
        <f t="shared" si="136"/>
        <v>13</v>
      </c>
      <c r="C2705" s="7" t="s">
        <v>101</v>
      </c>
      <c r="D2705" s="18">
        <f>VLOOKUP(C2705,'DISTRIBUIÇÃO NF4267'!$E$3:$FQ$75,MATCH(B2705,'DISTRIBUIÇÃO NF4267'!$E$3:$FQ$3,0)+1,0)</f>
        <v>4</v>
      </c>
      <c r="F2705" s="28">
        <f t="shared" si="134"/>
        <v>3</v>
      </c>
    </row>
    <row r="2706" spans="1:6" x14ac:dyDescent="0.35">
      <c r="A2706">
        <f t="shared" si="135"/>
        <v>0</v>
      </c>
      <c r="B2706">
        <f t="shared" si="136"/>
        <v>13</v>
      </c>
      <c r="C2706" s="7" t="s">
        <v>102</v>
      </c>
      <c r="D2706" s="18">
        <f>VLOOKUP(C2706,'DISTRIBUIÇÃO NF4267'!$E$3:$FQ$75,MATCH(B2706,'DISTRIBUIÇÃO NF4267'!$E$3:$FQ$3,0)+1,0)</f>
        <v>4</v>
      </c>
      <c r="F2706" s="28">
        <f t="shared" si="134"/>
        <v>3</v>
      </c>
    </row>
    <row r="2707" spans="1:6" x14ac:dyDescent="0.35">
      <c r="A2707">
        <f t="shared" si="135"/>
        <v>0</v>
      </c>
      <c r="B2707">
        <f t="shared" si="136"/>
        <v>13</v>
      </c>
      <c r="C2707" s="7" t="s">
        <v>103</v>
      </c>
      <c r="D2707" s="18">
        <f>VLOOKUP(C2707,'DISTRIBUIÇÃO NF4267'!$E$3:$FQ$75,MATCH(B2707,'DISTRIBUIÇÃO NF4267'!$E$3:$FQ$3,0)+1,0)</f>
        <v>0</v>
      </c>
      <c r="F2707" s="28">
        <f t="shared" si="134"/>
        <v>3</v>
      </c>
    </row>
    <row r="2708" spans="1:6" x14ac:dyDescent="0.35">
      <c r="A2708">
        <f t="shared" si="135"/>
        <v>0</v>
      </c>
      <c r="B2708">
        <f t="shared" si="136"/>
        <v>13</v>
      </c>
      <c r="C2708" s="8" t="s">
        <v>107</v>
      </c>
      <c r="D2708" s="18">
        <f>VLOOKUP(C2708,'DISTRIBUIÇÃO NF4267'!$E$3:$FQ$75,MATCH(B2708,'DISTRIBUIÇÃO NF4267'!$E$3:$FQ$3,0)+1,0)</f>
        <v>0</v>
      </c>
      <c r="F2708" s="28">
        <f t="shared" si="134"/>
        <v>3</v>
      </c>
    </row>
    <row r="2709" spans="1:6" x14ac:dyDescent="0.35">
      <c r="A2709">
        <f t="shared" si="135"/>
        <v>0</v>
      </c>
      <c r="B2709">
        <f t="shared" si="136"/>
        <v>13</v>
      </c>
      <c r="C2709" s="8" t="s">
        <v>108</v>
      </c>
      <c r="D2709" s="18">
        <f>VLOOKUP(C2709,'DISTRIBUIÇÃO NF4267'!$E$3:$FQ$75,MATCH(B2709,'DISTRIBUIÇÃO NF4267'!$E$3:$FQ$3,0)+1,0)</f>
        <v>2</v>
      </c>
      <c r="F2709" s="28">
        <f t="shared" si="134"/>
        <v>3</v>
      </c>
    </row>
    <row r="2710" spans="1:6" x14ac:dyDescent="0.35">
      <c r="A2710">
        <f t="shared" si="135"/>
        <v>0</v>
      </c>
      <c r="B2710">
        <f t="shared" si="136"/>
        <v>13</v>
      </c>
      <c r="C2710" s="8" t="s">
        <v>109</v>
      </c>
      <c r="D2710" s="18">
        <f>VLOOKUP(C2710,'DISTRIBUIÇÃO NF4267'!$E$3:$FQ$75,MATCH(B2710,'DISTRIBUIÇÃO NF4267'!$E$3:$FQ$3,0)+1,0)</f>
        <v>4</v>
      </c>
      <c r="F2710" s="28">
        <f t="shared" si="134"/>
        <v>3</v>
      </c>
    </row>
    <row r="2711" spans="1:6" x14ac:dyDescent="0.35">
      <c r="A2711">
        <f t="shared" si="135"/>
        <v>0</v>
      </c>
      <c r="B2711">
        <f t="shared" si="136"/>
        <v>13</v>
      </c>
      <c r="C2711" s="8" t="s">
        <v>110</v>
      </c>
      <c r="D2711" s="18">
        <f>VLOOKUP(C2711,'DISTRIBUIÇÃO NF4267'!$E$3:$FQ$75,MATCH(B2711,'DISTRIBUIÇÃO NF4267'!$E$3:$FQ$3,0)+1,0)</f>
        <v>2</v>
      </c>
      <c r="F2711" s="28">
        <f t="shared" si="134"/>
        <v>3</v>
      </c>
    </row>
    <row r="2712" spans="1:6" x14ac:dyDescent="0.35">
      <c r="A2712">
        <f t="shared" si="135"/>
        <v>0</v>
      </c>
      <c r="B2712">
        <f t="shared" si="136"/>
        <v>13</v>
      </c>
      <c r="C2712" s="8" t="s">
        <v>111</v>
      </c>
      <c r="D2712" s="18">
        <f>VLOOKUP(C2712,'DISTRIBUIÇÃO NF4267'!$E$3:$FQ$75,MATCH(B2712,'DISTRIBUIÇÃO NF4267'!$E$3:$FQ$3,0)+1,0)</f>
        <v>2</v>
      </c>
      <c r="F2712" s="28">
        <f t="shared" si="134"/>
        <v>3</v>
      </c>
    </row>
    <row r="2713" spans="1:6" x14ac:dyDescent="0.35">
      <c r="A2713">
        <f t="shared" si="135"/>
        <v>0</v>
      </c>
      <c r="B2713">
        <f t="shared" si="136"/>
        <v>13</v>
      </c>
      <c r="C2713" s="8" t="s">
        <v>112</v>
      </c>
      <c r="D2713" s="18">
        <f>VLOOKUP(C2713,'DISTRIBUIÇÃO NF4267'!$E$3:$FQ$75,MATCH(B2713,'DISTRIBUIÇÃO NF4267'!$E$3:$FQ$3,0)+1,0)</f>
        <v>0</v>
      </c>
      <c r="F2713" s="28">
        <f t="shared" si="134"/>
        <v>3</v>
      </c>
    </row>
    <row r="2714" spans="1:6" x14ac:dyDescent="0.35">
      <c r="A2714">
        <f t="shared" si="135"/>
        <v>0</v>
      </c>
      <c r="B2714">
        <f t="shared" si="136"/>
        <v>13</v>
      </c>
      <c r="C2714" s="9" t="s">
        <v>113</v>
      </c>
      <c r="D2714" s="18">
        <f>VLOOKUP(C2714,'DISTRIBUIÇÃO NF4267'!$E$3:$FQ$75,MATCH(B2714,'DISTRIBUIÇÃO NF4267'!$E$3:$FQ$3,0)+1,0)</f>
        <v>0</v>
      </c>
      <c r="F2714" s="28">
        <f t="shared" si="134"/>
        <v>3</v>
      </c>
    </row>
    <row r="2715" spans="1:6" x14ac:dyDescent="0.35">
      <c r="A2715">
        <f t="shared" si="135"/>
        <v>0</v>
      </c>
      <c r="B2715">
        <f t="shared" si="136"/>
        <v>13</v>
      </c>
      <c r="C2715" s="9" t="s">
        <v>114</v>
      </c>
      <c r="D2715" s="18">
        <f>VLOOKUP(C2715,'DISTRIBUIÇÃO NF4267'!$E$3:$FQ$75,MATCH(B2715,'DISTRIBUIÇÃO NF4267'!$E$3:$FQ$3,0)+1,0)</f>
        <v>3</v>
      </c>
      <c r="F2715" s="28">
        <f t="shared" si="134"/>
        <v>3</v>
      </c>
    </row>
    <row r="2716" spans="1:6" x14ac:dyDescent="0.35">
      <c r="A2716">
        <f t="shared" si="135"/>
        <v>0</v>
      </c>
      <c r="B2716">
        <f t="shared" si="136"/>
        <v>13</v>
      </c>
      <c r="C2716" s="9" t="s">
        <v>115</v>
      </c>
      <c r="D2716" s="18">
        <f>VLOOKUP(C2716,'DISTRIBUIÇÃO NF4267'!$E$3:$FQ$75,MATCH(B2716,'DISTRIBUIÇÃO NF4267'!$E$3:$FQ$3,0)+1,0)</f>
        <v>4</v>
      </c>
      <c r="F2716" s="28">
        <f t="shared" si="134"/>
        <v>3</v>
      </c>
    </row>
    <row r="2717" spans="1:6" x14ac:dyDescent="0.35">
      <c r="A2717">
        <f t="shared" si="135"/>
        <v>0</v>
      </c>
      <c r="B2717">
        <f t="shared" si="136"/>
        <v>13</v>
      </c>
      <c r="C2717" s="9" t="s">
        <v>116</v>
      </c>
      <c r="D2717" s="18">
        <f>VLOOKUP(C2717,'DISTRIBUIÇÃO NF4267'!$E$3:$FQ$75,MATCH(B2717,'DISTRIBUIÇÃO NF4267'!$E$3:$FQ$3,0)+1,0)</f>
        <v>2</v>
      </c>
      <c r="F2717" s="28">
        <f t="shared" si="134"/>
        <v>3</v>
      </c>
    </row>
    <row r="2718" spans="1:6" x14ac:dyDescent="0.35">
      <c r="A2718">
        <f t="shared" si="135"/>
        <v>0</v>
      </c>
      <c r="B2718">
        <f t="shared" si="136"/>
        <v>13</v>
      </c>
      <c r="C2718" s="9" t="s">
        <v>117</v>
      </c>
      <c r="D2718" s="18">
        <f>VLOOKUP(C2718,'DISTRIBUIÇÃO NF4267'!$E$3:$FQ$75,MATCH(B2718,'DISTRIBUIÇÃO NF4267'!$E$3:$FQ$3,0)+1,0)</f>
        <v>1</v>
      </c>
      <c r="F2718" s="28">
        <f t="shared" si="134"/>
        <v>3</v>
      </c>
    </row>
    <row r="2719" spans="1:6" x14ac:dyDescent="0.35">
      <c r="A2719">
        <f t="shared" si="135"/>
        <v>0</v>
      </c>
      <c r="B2719">
        <f t="shared" si="136"/>
        <v>13</v>
      </c>
      <c r="C2719" s="9" t="s">
        <v>118</v>
      </c>
      <c r="D2719" s="18">
        <f>VLOOKUP(C2719,'DISTRIBUIÇÃO NF4267'!$E$3:$FQ$75,MATCH(B2719,'DISTRIBUIÇÃO NF4267'!$E$3:$FQ$3,0)+1,0)</f>
        <v>0</v>
      </c>
      <c r="F2719" s="28">
        <f t="shared" si="134"/>
        <v>3</v>
      </c>
    </row>
    <row r="2720" spans="1:6" x14ac:dyDescent="0.35">
      <c r="A2720">
        <f t="shared" si="135"/>
        <v>0</v>
      </c>
      <c r="B2720">
        <f t="shared" si="136"/>
        <v>13</v>
      </c>
      <c r="C2720" s="10" t="s">
        <v>119</v>
      </c>
      <c r="D2720" s="18">
        <f>VLOOKUP(C2720,'DISTRIBUIÇÃO NF4267'!$E$3:$FQ$75,MATCH(B2720,'DISTRIBUIÇÃO NF4267'!$E$3:$FQ$3,0)+1,0)</f>
        <v>0</v>
      </c>
      <c r="F2720" s="28">
        <f t="shared" si="134"/>
        <v>3</v>
      </c>
    </row>
    <row r="2721" spans="1:6" x14ac:dyDescent="0.35">
      <c r="A2721">
        <f t="shared" si="135"/>
        <v>0</v>
      </c>
      <c r="B2721">
        <f t="shared" si="136"/>
        <v>13</v>
      </c>
      <c r="C2721" s="10" t="s">
        <v>120</v>
      </c>
      <c r="D2721" s="18">
        <f>VLOOKUP(C2721,'DISTRIBUIÇÃO NF4267'!$E$3:$FQ$75,MATCH(B2721,'DISTRIBUIÇÃO NF4267'!$E$3:$FQ$3,0)+1,0)</f>
        <v>48</v>
      </c>
      <c r="F2721" s="28">
        <f t="shared" si="134"/>
        <v>3</v>
      </c>
    </row>
    <row r="2722" spans="1:6" x14ac:dyDescent="0.35">
      <c r="A2722">
        <f t="shared" si="135"/>
        <v>0</v>
      </c>
      <c r="B2722">
        <f t="shared" si="136"/>
        <v>13</v>
      </c>
      <c r="C2722" s="10" t="s">
        <v>121</v>
      </c>
      <c r="D2722" s="18">
        <f>VLOOKUP(C2722,'DISTRIBUIÇÃO NF4267'!$E$3:$FQ$75,MATCH(B2722,'DISTRIBUIÇÃO NF4267'!$E$3:$FQ$3,0)+1,0)</f>
        <v>16</v>
      </c>
      <c r="F2722" s="28">
        <f t="shared" si="134"/>
        <v>3</v>
      </c>
    </row>
    <row r="2723" spans="1:6" x14ac:dyDescent="0.35">
      <c r="A2723">
        <f t="shared" si="135"/>
        <v>0</v>
      </c>
      <c r="B2723">
        <f t="shared" si="136"/>
        <v>13</v>
      </c>
      <c r="C2723" s="10" t="s">
        <v>122</v>
      </c>
      <c r="D2723" s="18">
        <f>VLOOKUP(C2723,'DISTRIBUIÇÃO NF4267'!$E$3:$FQ$75,MATCH(B2723,'DISTRIBUIÇÃO NF4267'!$E$3:$FQ$3,0)+1,0)</f>
        <v>16</v>
      </c>
      <c r="F2723" s="28">
        <f t="shared" si="134"/>
        <v>3</v>
      </c>
    </row>
    <row r="2724" spans="1:6" x14ac:dyDescent="0.35">
      <c r="A2724">
        <f t="shared" si="135"/>
        <v>0</v>
      </c>
      <c r="B2724">
        <f t="shared" si="136"/>
        <v>13</v>
      </c>
      <c r="C2724" s="10" t="s">
        <v>123</v>
      </c>
      <c r="D2724" s="18">
        <f>VLOOKUP(C2724,'DISTRIBUIÇÃO NF4267'!$E$3:$FQ$75,MATCH(B2724,'DISTRIBUIÇÃO NF4267'!$E$3:$FQ$3,0)+1,0)</f>
        <v>0</v>
      </c>
      <c r="F2724" s="28">
        <f t="shared" si="134"/>
        <v>3</v>
      </c>
    </row>
    <row r="2725" spans="1:6" x14ac:dyDescent="0.35">
      <c r="A2725">
        <f t="shared" si="135"/>
        <v>0</v>
      </c>
      <c r="B2725">
        <f t="shared" si="136"/>
        <v>13</v>
      </c>
      <c r="C2725" s="10" t="s">
        <v>124</v>
      </c>
      <c r="D2725" s="18">
        <f>VLOOKUP(C2725,'DISTRIBUIÇÃO NF4267'!$E$3:$FQ$75,MATCH(B2725,'DISTRIBUIÇÃO NF4267'!$E$3:$FQ$3,0)+1,0)</f>
        <v>0</v>
      </c>
      <c r="F2725" s="28">
        <f t="shared" si="134"/>
        <v>3</v>
      </c>
    </row>
    <row r="2726" spans="1:6" x14ac:dyDescent="0.35">
      <c r="A2726">
        <f t="shared" si="135"/>
        <v>0</v>
      </c>
      <c r="B2726">
        <f t="shared" si="136"/>
        <v>13</v>
      </c>
      <c r="C2726" s="11" t="s">
        <v>16</v>
      </c>
      <c r="D2726" s="18">
        <f>VLOOKUP(C2726,'DISTRIBUIÇÃO NF4267'!$E$3:$FQ$75,MATCH(B2726,'DISTRIBUIÇÃO NF4267'!$E$3:$FQ$3,0)+1,0)</f>
        <v>0</v>
      </c>
      <c r="F2726" s="28">
        <f t="shared" si="134"/>
        <v>3</v>
      </c>
    </row>
    <row r="2727" spans="1:6" x14ac:dyDescent="0.35">
      <c r="A2727">
        <f t="shared" si="135"/>
        <v>0</v>
      </c>
      <c r="B2727">
        <f t="shared" si="136"/>
        <v>13</v>
      </c>
      <c r="C2727" s="11" t="s">
        <v>17</v>
      </c>
      <c r="D2727" s="18">
        <f>VLOOKUP(C2727,'DISTRIBUIÇÃO NF4267'!$E$3:$FQ$75,MATCH(B2727,'DISTRIBUIÇÃO NF4267'!$E$3:$FQ$3,0)+1,0)</f>
        <v>9</v>
      </c>
      <c r="F2727" s="28">
        <f t="shared" si="134"/>
        <v>3</v>
      </c>
    </row>
    <row r="2728" spans="1:6" x14ac:dyDescent="0.35">
      <c r="A2728">
        <f t="shared" si="135"/>
        <v>0</v>
      </c>
      <c r="B2728">
        <f t="shared" si="136"/>
        <v>13</v>
      </c>
      <c r="C2728" s="11" t="s">
        <v>18</v>
      </c>
      <c r="D2728" s="18">
        <f>VLOOKUP(C2728,'DISTRIBUIÇÃO NF4267'!$E$3:$FQ$75,MATCH(B2728,'DISTRIBUIÇÃO NF4267'!$E$3:$FQ$3,0)+1,0)</f>
        <v>3</v>
      </c>
      <c r="F2728" s="28">
        <f t="shared" si="134"/>
        <v>3</v>
      </c>
    </row>
    <row r="2729" spans="1:6" x14ac:dyDescent="0.35">
      <c r="A2729">
        <f t="shared" si="135"/>
        <v>0</v>
      </c>
      <c r="B2729">
        <f t="shared" si="136"/>
        <v>13</v>
      </c>
      <c r="C2729" s="11" t="s">
        <v>19</v>
      </c>
      <c r="D2729" s="18">
        <f>VLOOKUP(C2729,'DISTRIBUIÇÃO NF4267'!$E$3:$FQ$75,MATCH(B2729,'DISTRIBUIÇÃO NF4267'!$E$3:$FQ$3,0)+1,0)</f>
        <v>3</v>
      </c>
      <c r="F2729" s="28">
        <f t="shared" si="134"/>
        <v>3</v>
      </c>
    </row>
    <row r="2730" spans="1:6" x14ac:dyDescent="0.35">
      <c r="A2730">
        <f t="shared" si="135"/>
        <v>0</v>
      </c>
      <c r="B2730">
        <f t="shared" si="136"/>
        <v>13</v>
      </c>
      <c r="C2730" s="11" t="s">
        <v>20</v>
      </c>
      <c r="D2730" s="18">
        <f>VLOOKUP(C2730,'DISTRIBUIÇÃO NF4267'!$E$3:$FQ$75,MATCH(B2730,'DISTRIBUIÇÃO NF4267'!$E$3:$FQ$3,0)+1,0)</f>
        <v>15</v>
      </c>
      <c r="F2730" s="28">
        <f t="shared" si="134"/>
        <v>3</v>
      </c>
    </row>
    <row r="2731" spans="1:6" x14ac:dyDescent="0.35">
      <c r="A2731">
        <f t="shared" si="135"/>
        <v>0</v>
      </c>
      <c r="B2731">
        <f t="shared" si="136"/>
        <v>13</v>
      </c>
      <c r="C2731" s="11" t="s">
        <v>21</v>
      </c>
      <c r="D2731" s="18">
        <f>VLOOKUP(C2731,'DISTRIBUIÇÃO NF4267'!$E$3:$FQ$75,MATCH(B2731,'DISTRIBUIÇÃO NF4267'!$E$3:$FQ$3,0)+1,0)</f>
        <v>0</v>
      </c>
      <c r="F2731" s="28">
        <f t="shared" si="134"/>
        <v>3</v>
      </c>
    </row>
    <row r="2732" spans="1:6" x14ac:dyDescent="0.35">
      <c r="A2732">
        <f t="shared" si="135"/>
        <v>0</v>
      </c>
      <c r="B2732">
        <f t="shared" si="136"/>
        <v>13</v>
      </c>
      <c r="C2732" s="12" t="s">
        <v>130</v>
      </c>
      <c r="D2732" s="18">
        <f>VLOOKUP(C2732,'DISTRIBUIÇÃO NF4267'!$E$3:$FQ$75,MATCH(B2732,'DISTRIBUIÇÃO NF4267'!$E$3:$FQ$3,0)+1,0)</f>
        <v>0</v>
      </c>
      <c r="F2732" s="28">
        <f t="shared" si="134"/>
        <v>3</v>
      </c>
    </row>
    <row r="2733" spans="1:6" x14ac:dyDescent="0.35">
      <c r="A2733">
        <f t="shared" si="135"/>
        <v>0</v>
      </c>
      <c r="B2733">
        <f t="shared" si="136"/>
        <v>13</v>
      </c>
      <c r="C2733" s="12" t="s">
        <v>131</v>
      </c>
      <c r="D2733" s="18">
        <f>VLOOKUP(C2733,'DISTRIBUIÇÃO NF4267'!$E$3:$FQ$75,MATCH(B2733,'DISTRIBUIÇÃO NF4267'!$E$3:$FQ$3,0)+1,0)</f>
        <v>0</v>
      </c>
      <c r="F2733" s="28">
        <f t="shared" si="134"/>
        <v>3</v>
      </c>
    </row>
    <row r="2734" spans="1:6" x14ac:dyDescent="0.35">
      <c r="A2734">
        <f t="shared" si="135"/>
        <v>0</v>
      </c>
      <c r="B2734">
        <f t="shared" si="136"/>
        <v>13</v>
      </c>
      <c r="C2734" s="12" t="s">
        <v>132</v>
      </c>
      <c r="D2734" s="18">
        <f>VLOOKUP(C2734,'DISTRIBUIÇÃO NF4267'!$E$3:$FQ$75,MATCH(B2734,'DISTRIBUIÇÃO NF4267'!$E$3:$FQ$3,0)+1,0)</f>
        <v>0</v>
      </c>
      <c r="F2734" s="28">
        <f t="shared" si="134"/>
        <v>3</v>
      </c>
    </row>
    <row r="2735" spans="1:6" x14ac:dyDescent="0.35">
      <c r="A2735">
        <f t="shared" si="135"/>
        <v>0</v>
      </c>
      <c r="B2735">
        <f t="shared" si="136"/>
        <v>13</v>
      </c>
      <c r="C2735" s="12" t="s">
        <v>133</v>
      </c>
      <c r="D2735" s="18">
        <f>VLOOKUP(C2735,'DISTRIBUIÇÃO NF4267'!$E$3:$FQ$75,MATCH(B2735,'DISTRIBUIÇÃO NF4267'!$E$3:$FQ$3,0)+1,0)</f>
        <v>0</v>
      </c>
      <c r="F2735" s="28">
        <f t="shared" si="134"/>
        <v>3</v>
      </c>
    </row>
    <row r="2736" spans="1:6" x14ac:dyDescent="0.35">
      <c r="A2736">
        <f t="shared" si="135"/>
        <v>0</v>
      </c>
      <c r="B2736">
        <f t="shared" si="136"/>
        <v>13</v>
      </c>
      <c r="C2736" s="12" t="s">
        <v>134</v>
      </c>
      <c r="D2736" s="18">
        <f>VLOOKUP(C2736,'DISTRIBUIÇÃO NF4267'!$E$3:$FQ$75,MATCH(B2736,'DISTRIBUIÇÃO NF4267'!$E$3:$FQ$3,0)+1,0)</f>
        <v>0</v>
      </c>
      <c r="F2736" s="28">
        <f t="shared" si="134"/>
        <v>3</v>
      </c>
    </row>
    <row r="2737" spans="1:6" x14ac:dyDescent="0.35">
      <c r="A2737">
        <f t="shared" si="135"/>
        <v>0</v>
      </c>
      <c r="B2737">
        <f t="shared" si="136"/>
        <v>13</v>
      </c>
      <c r="C2737" s="12" t="s">
        <v>135</v>
      </c>
      <c r="D2737" s="18">
        <f>VLOOKUP(C2737,'DISTRIBUIÇÃO NF4267'!$E$3:$FQ$75,MATCH(B2737,'DISTRIBUIÇÃO NF4267'!$E$3:$FQ$3,0)+1,0)</f>
        <v>0</v>
      </c>
      <c r="F2737" s="28">
        <f t="shared" si="134"/>
        <v>3</v>
      </c>
    </row>
    <row r="2738" spans="1:6" x14ac:dyDescent="0.35">
      <c r="A2738">
        <f t="shared" si="135"/>
        <v>0</v>
      </c>
      <c r="B2738">
        <f t="shared" si="136"/>
        <v>13</v>
      </c>
      <c r="C2738" s="13" t="s">
        <v>22</v>
      </c>
      <c r="D2738" s="18">
        <f>VLOOKUP(C2738,'DISTRIBUIÇÃO NF4267'!$E$3:$FQ$75,MATCH(B2738,'DISTRIBUIÇÃO NF4267'!$E$3:$FQ$3,0)+1,0)</f>
        <v>0</v>
      </c>
      <c r="F2738" s="28">
        <f t="shared" si="134"/>
        <v>3</v>
      </c>
    </row>
    <row r="2739" spans="1:6" x14ac:dyDescent="0.35">
      <c r="A2739">
        <f t="shared" si="135"/>
        <v>0</v>
      </c>
      <c r="B2739">
        <f t="shared" si="136"/>
        <v>13</v>
      </c>
      <c r="C2739" s="13" t="s">
        <v>23</v>
      </c>
      <c r="D2739" s="18">
        <f>VLOOKUP(C2739,'DISTRIBUIÇÃO NF4267'!$E$3:$FQ$75,MATCH(B2739,'DISTRIBUIÇÃO NF4267'!$E$3:$FQ$3,0)+1,0)</f>
        <v>0</v>
      </c>
      <c r="F2739" s="28">
        <f t="shared" si="134"/>
        <v>3</v>
      </c>
    </row>
    <row r="2740" spans="1:6" x14ac:dyDescent="0.35">
      <c r="A2740">
        <f t="shared" si="135"/>
        <v>0</v>
      </c>
      <c r="B2740">
        <f t="shared" si="136"/>
        <v>13</v>
      </c>
      <c r="C2740" s="13" t="s">
        <v>24</v>
      </c>
      <c r="D2740" s="18">
        <f>VLOOKUP(C2740,'DISTRIBUIÇÃO NF4267'!$E$3:$FQ$75,MATCH(B2740,'DISTRIBUIÇÃO NF4267'!$E$3:$FQ$3,0)+1,0)</f>
        <v>0</v>
      </c>
      <c r="F2740" s="28">
        <f t="shared" si="134"/>
        <v>3</v>
      </c>
    </row>
    <row r="2741" spans="1:6" x14ac:dyDescent="0.35">
      <c r="A2741">
        <f t="shared" si="135"/>
        <v>0</v>
      </c>
      <c r="B2741">
        <f t="shared" si="136"/>
        <v>13</v>
      </c>
      <c r="C2741" s="13" t="s">
        <v>25</v>
      </c>
      <c r="D2741" s="18">
        <f>VLOOKUP(C2741,'DISTRIBUIÇÃO NF4267'!$E$3:$FQ$75,MATCH(B2741,'DISTRIBUIÇÃO NF4267'!$E$3:$FQ$3,0)+1,0)</f>
        <v>0</v>
      </c>
      <c r="F2741" s="28">
        <f t="shared" si="134"/>
        <v>3</v>
      </c>
    </row>
    <row r="2742" spans="1:6" x14ac:dyDescent="0.35">
      <c r="A2742">
        <f t="shared" si="135"/>
        <v>0</v>
      </c>
      <c r="B2742">
        <f t="shared" si="136"/>
        <v>13</v>
      </c>
      <c r="C2742" s="13" t="s">
        <v>26</v>
      </c>
      <c r="D2742" s="18">
        <f>VLOOKUP(C2742,'DISTRIBUIÇÃO NF4267'!$E$3:$FQ$75,MATCH(B2742,'DISTRIBUIÇÃO NF4267'!$E$3:$FQ$3,0)+1,0)</f>
        <v>0</v>
      </c>
      <c r="F2742" s="28">
        <f t="shared" si="134"/>
        <v>3</v>
      </c>
    </row>
    <row r="2743" spans="1:6" x14ac:dyDescent="0.35">
      <c r="A2743">
        <f t="shared" si="135"/>
        <v>0</v>
      </c>
      <c r="B2743">
        <f t="shared" si="136"/>
        <v>13</v>
      </c>
      <c r="C2743" s="13" t="s">
        <v>27</v>
      </c>
      <c r="D2743" s="18">
        <f>VLOOKUP(C2743,'DISTRIBUIÇÃO NF4267'!$E$3:$FQ$75,MATCH(B2743,'DISTRIBUIÇÃO NF4267'!$E$3:$FQ$3,0)+1,0)</f>
        <v>0</v>
      </c>
      <c r="F2743" s="28">
        <f t="shared" si="134"/>
        <v>3</v>
      </c>
    </row>
    <row r="2744" spans="1:6" x14ac:dyDescent="0.35">
      <c r="A2744">
        <f t="shared" si="135"/>
        <v>0</v>
      </c>
      <c r="B2744">
        <f t="shared" si="136"/>
        <v>13</v>
      </c>
      <c r="C2744" s="14" t="s">
        <v>138</v>
      </c>
      <c r="D2744" s="18">
        <f>VLOOKUP(C2744,'DISTRIBUIÇÃO NF4267'!$E$3:$FQ$75,MATCH(B2744,'DISTRIBUIÇÃO NF4267'!$E$3:$FQ$3,0)+1,0)</f>
        <v>0</v>
      </c>
      <c r="F2744" s="28">
        <f t="shared" ref="F2744:F2807" si="137">ROUNDUP(SUMIFS(D:D,B:B,B2744)/80,0)</f>
        <v>3</v>
      </c>
    </row>
    <row r="2745" spans="1:6" x14ac:dyDescent="0.35">
      <c r="A2745">
        <f t="shared" si="135"/>
        <v>0</v>
      </c>
      <c r="B2745">
        <f t="shared" si="136"/>
        <v>13</v>
      </c>
      <c r="C2745" s="14" t="s">
        <v>139</v>
      </c>
      <c r="D2745" s="18">
        <f>VLOOKUP(C2745,'DISTRIBUIÇÃO NF4267'!$E$3:$FQ$75,MATCH(B2745,'DISTRIBUIÇÃO NF4267'!$E$3:$FQ$3,0)+1,0)</f>
        <v>2</v>
      </c>
      <c r="F2745" s="28">
        <f t="shared" si="137"/>
        <v>3</v>
      </c>
    </row>
    <row r="2746" spans="1:6" x14ac:dyDescent="0.35">
      <c r="A2746">
        <f t="shared" si="135"/>
        <v>0</v>
      </c>
      <c r="B2746">
        <f t="shared" si="136"/>
        <v>13</v>
      </c>
      <c r="C2746" s="14" t="s">
        <v>140</v>
      </c>
      <c r="D2746" s="18">
        <f>VLOOKUP(C2746,'DISTRIBUIÇÃO NF4267'!$E$3:$FQ$75,MATCH(B2746,'DISTRIBUIÇÃO NF4267'!$E$3:$FQ$3,0)+1,0)</f>
        <v>4</v>
      </c>
      <c r="F2746" s="28">
        <f t="shared" si="137"/>
        <v>3</v>
      </c>
    </row>
    <row r="2747" spans="1:6" x14ac:dyDescent="0.35">
      <c r="A2747">
        <f t="shared" si="135"/>
        <v>0</v>
      </c>
      <c r="B2747">
        <f t="shared" si="136"/>
        <v>13</v>
      </c>
      <c r="C2747" s="14" t="s">
        <v>141</v>
      </c>
      <c r="D2747" s="18">
        <f>VLOOKUP(C2747,'DISTRIBUIÇÃO NF4267'!$E$3:$FQ$75,MATCH(B2747,'DISTRIBUIÇÃO NF4267'!$E$3:$FQ$3,0)+1,0)</f>
        <v>2</v>
      </c>
      <c r="F2747" s="28">
        <f t="shared" si="137"/>
        <v>3</v>
      </c>
    </row>
    <row r="2748" spans="1:6" x14ac:dyDescent="0.35">
      <c r="A2748">
        <f t="shared" si="135"/>
        <v>0</v>
      </c>
      <c r="B2748">
        <f t="shared" si="136"/>
        <v>13</v>
      </c>
      <c r="C2748" s="14" t="s">
        <v>142</v>
      </c>
      <c r="D2748" s="18">
        <f>VLOOKUP(C2748,'DISTRIBUIÇÃO NF4267'!$E$3:$FQ$75,MATCH(B2748,'DISTRIBUIÇÃO NF4267'!$E$3:$FQ$3,0)+1,0)</f>
        <v>2</v>
      </c>
      <c r="F2748" s="28">
        <f t="shared" si="137"/>
        <v>3</v>
      </c>
    </row>
    <row r="2749" spans="1:6" x14ac:dyDescent="0.35">
      <c r="A2749">
        <f t="shared" si="135"/>
        <v>0</v>
      </c>
      <c r="B2749">
        <f t="shared" si="136"/>
        <v>13</v>
      </c>
      <c r="C2749" s="14" t="s">
        <v>143</v>
      </c>
      <c r="D2749" s="18">
        <f>VLOOKUP(C2749,'DISTRIBUIÇÃO NF4267'!$E$3:$FQ$75,MATCH(B2749,'DISTRIBUIÇÃO NF4267'!$E$3:$FQ$3,0)+1,0)</f>
        <v>0</v>
      </c>
      <c r="F2749" s="28">
        <f t="shared" si="137"/>
        <v>3</v>
      </c>
    </row>
    <row r="2750" spans="1:6" x14ac:dyDescent="0.35">
      <c r="A2750">
        <f t="shared" si="135"/>
        <v>0</v>
      </c>
      <c r="B2750">
        <f t="shared" si="136"/>
        <v>13</v>
      </c>
      <c r="C2750" s="15" t="s">
        <v>145</v>
      </c>
      <c r="D2750" s="18">
        <f>VLOOKUP(C2750,'DISTRIBUIÇÃO NF4267'!$E$3:$FQ$75,MATCH(B2750,'DISTRIBUIÇÃO NF4267'!$E$3:$FQ$3,0)+1,0)</f>
        <v>0</v>
      </c>
      <c r="F2750" s="28">
        <f t="shared" si="137"/>
        <v>3</v>
      </c>
    </row>
    <row r="2751" spans="1:6" x14ac:dyDescent="0.35">
      <c r="A2751">
        <f t="shared" si="135"/>
        <v>0</v>
      </c>
      <c r="B2751">
        <f t="shared" si="136"/>
        <v>13</v>
      </c>
      <c r="C2751" s="15" t="s">
        <v>146</v>
      </c>
      <c r="D2751" s="18">
        <f>VLOOKUP(C2751,'DISTRIBUIÇÃO NF4267'!$E$3:$FQ$75,MATCH(B2751,'DISTRIBUIÇÃO NF4267'!$E$3:$FQ$3,0)+1,0)</f>
        <v>2</v>
      </c>
      <c r="F2751" s="28">
        <f t="shared" si="137"/>
        <v>3</v>
      </c>
    </row>
    <row r="2752" spans="1:6" x14ac:dyDescent="0.35">
      <c r="A2752">
        <f t="shared" si="135"/>
        <v>0</v>
      </c>
      <c r="B2752">
        <f t="shared" si="136"/>
        <v>13</v>
      </c>
      <c r="C2752" s="15" t="s">
        <v>147</v>
      </c>
      <c r="D2752" s="18">
        <f>VLOOKUP(C2752,'DISTRIBUIÇÃO NF4267'!$E$3:$FQ$75,MATCH(B2752,'DISTRIBUIÇÃO NF4267'!$E$3:$FQ$3,0)+1,0)</f>
        <v>4</v>
      </c>
      <c r="F2752" s="28">
        <f t="shared" si="137"/>
        <v>3</v>
      </c>
    </row>
    <row r="2753" spans="1:6" x14ac:dyDescent="0.35">
      <c r="A2753">
        <f t="shared" si="135"/>
        <v>0</v>
      </c>
      <c r="B2753">
        <f t="shared" si="136"/>
        <v>13</v>
      </c>
      <c r="C2753" s="15" t="s">
        <v>148</v>
      </c>
      <c r="D2753" s="18">
        <f>VLOOKUP(C2753,'DISTRIBUIÇÃO NF4267'!$E$3:$FQ$75,MATCH(B2753,'DISTRIBUIÇÃO NF4267'!$E$3:$FQ$3,0)+1,0)</f>
        <v>2</v>
      </c>
      <c r="F2753" s="28">
        <f t="shared" si="137"/>
        <v>3</v>
      </c>
    </row>
    <row r="2754" spans="1:6" x14ac:dyDescent="0.35">
      <c r="A2754">
        <f t="shared" ref="A2754:A2817" si="138">IF(ISERROR(VLOOKUP(C2754,I:I,1,0)),0,1)</f>
        <v>0</v>
      </c>
      <c r="B2754">
        <f t="shared" si="136"/>
        <v>13</v>
      </c>
      <c r="C2754" s="15" t="s">
        <v>149</v>
      </c>
      <c r="D2754" s="18">
        <f>VLOOKUP(C2754,'DISTRIBUIÇÃO NF4267'!$E$3:$FQ$75,MATCH(B2754,'DISTRIBUIÇÃO NF4267'!$E$3:$FQ$3,0)+1,0)</f>
        <v>2</v>
      </c>
      <c r="F2754" s="28">
        <f t="shared" si="137"/>
        <v>3</v>
      </c>
    </row>
    <row r="2755" spans="1:6" x14ac:dyDescent="0.35">
      <c r="A2755">
        <f t="shared" si="138"/>
        <v>0</v>
      </c>
      <c r="B2755">
        <f t="shared" si="136"/>
        <v>13</v>
      </c>
      <c r="C2755" s="15" t="s">
        <v>150</v>
      </c>
      <c r="D2755" s="18">
        <f>VLOOKUP(C2755,'DISTRIBUIÇÃO NF4267'!$E$3:$FQ$75,MATCH(B2755,'DISTRIBUIÇÃO NF4267'!$E$3:$FQ$3,0)+1,0)</f>
        <v>0</v>
      </c>
      <c r="F2755" s="28">
        <f t="shared" si="137"/>
        <v>3</v>
      </c>
    </row>
    <row r="2756" spans="1:6" x14ac:dyDescent="0.35">
      <c r="A2756">
        <f t="shared" si="138"/>
        <v>0</v>
      </c>
      <c r="B2756" t="s">
        <v>61</v>
      </c>
      <c r="C2756" s="7" t="s">
        <v>98</v>
      </c>
      <c r="D2756" s="18">
        <f>VLOOKUP(C2756,'DISTRIBUIÇÃO NF4267'!$E$3:$FQ$75,MATCH(B2756,'DISTRIBUIÇÃO NF4267'!$E$3:$FQ$3,0)+1,0)</f>
        <v>0</v>
      </c>
      <c r="F2756" s="28">
        <f t="shared" si="137"/>
        <v>3</v>
      </c>
    </row>
    <row r="2757" spans="1:6" x14ac:dyDescent="0.35">
      <c r="A2757">
        <f t="shared" si="138"/>
        <v>0</v>
      </c>
      <c r="B2757" t="str">
        <f>B2756</f>
        <v>EL</v>
      </c>
      <c r="C2757" s="7" t="s">
        <v>99</v>
      </c>
      <c r="D2757" s="18">
        <f>VLOOKUP(C2757,'DISTRIBUIÇÃO NF4267'!$E$3:$FQ$75,MATCH(B2757,'DISTRIBUIÇÃO NF4267'!$E$3:$FQ$3,0)+1,0)</f>
        <v>4</v>
      </c>
      <c r="F2757" s="28">
        <f t="shared" si="137"/>
        <v>3</v>
      </c>
    </row>
    <row r="2758" spans="1:6" x14ac:dyDescent="0.35">
      <c r="A2758">
        <f t="shared" si="138"/>
        <v>0</v>
      </c>
      <c r="B2758" t="str">
        <f t="shared" ref="B2758:B2809" si="139">B2757</f>
        <v>EL</v>
      </c>
      <c r="C2758" s="7" t="s">
        <v>100</v>
      </c>
      <c r="D2758" s="18">
        <f>VLOOKUP(C2758,'DISTRIBUIÇÃO NF4267'!$E$3:$FQ$75,MATCH(B2758,'DISTRIBUIÇÃO NF4267'!$E$3:$FQ$3,0)+1,0)</f>
        <v>8</v>
      </c>
      <c r="F2758" s="28">
        <f t="shared" si="137"/>
        <v>3</v>
      </c>
    </row>
    <row r="2759" spans="1:6" x14ac:dyDescent="0.35">
      <c r="A2759">
        <f t="shared" si="138"/>
        <v>0</v>
      </c>
      <c r="B2759" t="str">
        <f t="shared" si="139"/>
        <v>EL</v>
      </c>
      <c r="C2759" s="7" t="s">
        <v>101</v>
      </c>
      <c r="D2759" s="18">
        <f>VLOOKUP(C2759,'DISTRIBUIÇÃO NF4267'!$E$3:$FQ$75,MATCH(B2759,'DISTRIBUIÇÃO NF4267'!$E$3:$FQ$3,0)+1,0)</f>
        <v>4</v>
      </c>
      <c r="F2759" s="28">
        <f t="shared" si="137"/>
        <v>3</v>
      </c>
    </row>
    <row r="2760" spans="1:6" x14ac:dyDescent="0.35">
      <c r="A2760">
        <f t="shared" si="138"/>
        <v>0</v>
      </c>
      <c r="B2760" t="str">
        <f t="shared" si="139"/>
        <v>EL</v>
      </c>
      <c r="C2760" s="7" t="s">
        <v>102</v>
      </c>
      <c r="D2760" s="18">
        <f>VLOOKUP(C2760,'DISTRIBUIÇÃO NF4267'!$E$3:$FQ$75,MATCH(B2760,'DISTRIBUIÇÃO NF4267'!$E$3:$FQ$3,0)+1,0)</f>
        <v>4</v>
      </c>
      <c r="F2760" s="28">
        <f t="shared" si="137"/>
        <v>3</v>
      </c>
    </row>
    <row r="2761" spans="1:6" x14ac:dyDescent="0.35">
      <c r="A2761">
        <f t="shared" si="138"/>
        <v>0</v>
      </c>
      <c r="B2761" t="str">
        <f t="shared" si="139"/>
        <v>EL</v>
      </c>
      <c r="C2761" s="7" t="s">
        <v>103</v>
      </c>
      <c r="D2761" s="18">
        <f>VLOOKUP(C2761,'DISTRIBUIÇÃO NF4267'!$E$3:$FQ$75,MATCH(B2761,'DISTRIBUIÇÃO NF4267'!$E$3:$FQ$3,0)+1,0)</f>
        <v>0</v>
      </c>
      <c r="F2761" s="28">
        <f t="shared" si="137"/>
        <v>3</v>
      </c>
    </row>
    <row r="2762" spans="1:6" x14ac:dyDescent="0.35">
      <c r="A2762">
        <f t="shared" si="138"/>
        <v>0</v>
      </c>
      <c r="B2762" t="str">
        <f t="shared" si="139"/>
        <v>EL</v>
      </c>
      <c r="C2762" s="8" t="s">
        <v>107</v>
      </c>
      <c r="D2762" s="18">
        <f>VLOOKUP(C2762,'DISTRIBUIÇÃO NF4267'!$E$3:$FQ$75,MATCH(B2762,'DISTRIBUIÇÃO NF4267'!$E$3:$FQ$3,0)+1,0)</f>
        <v>0</v>
      </c>
      <c r="F2762" s="28">
        <f t="shared" si="137"/>
        <v>3</v>
      </c>
    </row>
    <row r="2763" spans="1:6" x14ac:dyDescent="0.35">
      <c r="A2763">
        <f t="shared" si="138"/>
        <v>0</v>
      </c>
      <c r="B2763" t="str">
        <f t="shared" si="139"/>
        <v>EL</v>
      </c>
      <c r="C2763" s="8" t="s">
        <v>108</v>
      </c>
      <c r="D2763" s="18">
        <f>VLOOKUP(C2763,'DISTRIBUIÇÃO NF4267'!$E$3:$FQ$75,MATCH(B2763,'DISTRIBUIÇÃO NF4267'!$E$3:$FQ$3,0)+1,0)</f>
        <v>2</v>
      </c>
      <c r="F2763" s="28">
        <f t="shared" si="137"/>
        <v>3</v>
      </c>
    </row>
    <row r="2764" spans="1:6" x14ac:dyDescent="0.35">
      <c r="A2764">
        <f t="shared" si="138"/>
        <v>0</v>
      </c>
      <c r="B2764" t="str">
        <f t="shared" si="139"/>
        <v>EL</v>
      </c>
      <c r="C2764" s="8" t="s">
        <v>109</v>
      </c>
      <c r="D2764" s="18">
        <f>VLOOKUP(C2764,'DISTRIBUIÇÃO NF4267'!$E$3:$FQ$75,MATCH(B2764,'DISTRIBUIÇÃO NF4267'!$E$3:$FQ$3,0)+1,0)</f>
        <v>4</v>
      </c>
      <c r="F2764" s="28">
        <f t="shared" si="137"/>
        <v>3</v>
      </c>
    </row>
    <row r="2765" spans="1:6" x14ac:dyDescent="0.35">
      <c r="A2765">
        <f t="shared" si="138"/>
        <v>0</v>
      </c>
      <c r="B2765" t="str">
        <f t="shared" si="139"/>
        <v>EL</v>
      </c>
      <c r="C2765" s="8" t="s">
        <v>110</v>
      </c>
      <c r="D2765" s="18">
        <f>VLOOKUP(C2765,'DISTRIBUIÇÃO NF4267'!$E$3:$FQ$75,MATCH(B2765,'DISTRIBUIÇÃO NF4267'!$E$3:$FQ$3,0)+1,0)</f>
        <v>2</v>
      </c>
      <c r="F2765" s="28">
        <f t="shared" si="137"/>
        <v>3</v>
      </c>
    </row>
    <row r="2766" spans="1:6" x14ac:dyDescent="0.35">
      <c r="A2766">
        <f t="shared" si="138"/>
        <v>0</v>
      </c>
      <c r="B2766" t="str">
        <f t="shared" si="139"/>
        <v>EL</v>
      </c>
      <c r="C2766" s="8" t="s">
        <v>111</v>
      </c>
      <c r="D2766" s="18">
        <f>VLOOKUP(C2766,'DISTRIBUIÇÃO NF4267'!$E$3:$FQ$75,MATCH(B2766,'DISTRIBUIÇÃO NF4267'!$E$3:$FQ$3,0)+1,0)</f>
        <v>2</v>
      </c>
      <c r="F2766" s="28">
        <f t="shared" si="137"/>
        <v>3</v>
      </c>
    </row>
    <row r="2767" spans="1:6" x14ac:dyDescent="0.35">
      <c r="A2767">
        <f t="shared" si="138"/>
        <v>0</v>
      </c>
      <c r="B2767" t="str">
        <f t="shared" si="139"/>
        <v>EL</v>
      </c>
      <c r="C2767" s="8" t="s">
        <v>112</v>
      </c>
      <c r="D2767" s="18">
        <f>VLOOKUP(C2767,'DISTRIBUIÇÃO NF4267'!$E$3:$FQ$75,MATCH(B2767,'DISTRIBUIÇÃO NF4267'!$E$3:$FQ$3,0)+1,0)</f>
        <v>0</v>
      </c>
      <c r="F2767" s="28">
        <f t="shared" si="137"/>
        <v>3</v>
      </c>
    </row>
    <row r="2768" spans="1:6" x14ac:dyDescent="0.35">
      <c r="A2768">
        <f t="shared" si="138"/>
        <v>0</v>
      </c>
      <c r="B2768" t="str">
        <f t="shared" si="139"/>
        <v>EL</v>
      </c>
      <c r="C2768" s="9" t="s">
        <v>113</v>
      </c>
      <c r="D2768" s="18">
        <f>VLOOKUP(C2768,'DISTRIBUIÇÃO NF4267'!$E$3:$FQ$75,MATCH(B2768,'DISTRIBUIÇÃO NF4267'!$E$3:$FQ$3,0)+1,0)</f>
        <v>0</v>
      </c>
      <c r="F2768" s="28">
        <f t="shared" si="137"/>
        <v>3</v>
      </c>
    </row>
    <row r="2769" spans="1:6" x14ac:dyDescent="0.35">
      <c r="A2769">
        <f t="shared" si="138"/>
        <v>0</v>
      </c>
      <c r="B2769" t="str">
        <f t="shared" si="139"/>
        <v>EL</v>
      </c>
      <c r="C2769" s="9" t="s">
        <v>114</v>
      </c>
      <c r="D2769" s="18">
        <f>VLOOKUP(C2769,'DISTRIBUIÇÃO NF4267'!$E$3:$FQ$75,MATCH(B2769,'DISTRIBUIÇÃO NF4267'!$E$3:$FQ$3,0)+1,0)</f>
        <v>3</v>
      </c>
      <c r="F2769" s="28">
        <f t="shared" si="137"/>
        <v>3</v>
      </c>
    </row>
    <row r="2770" spans="1:6" x14ac:dyDescent="0.35">
      <c r="A2770">
        <f t="shared" si="138"/>
        <v>0</v>
      </c>
      <c r="B2770" t="str">
        <f t="shared" si="139"/>
        <v>EL</v>
      </c>
      <c r="C2770" s="9" t="s">
        <v>115</v>
      </c>
      <c r="D2770" s="18">
        <f>VLOOKUP(C2770,'DISTRIBUIÇÃO NF4267'!$E$3:$FQ$75,MATCH(B2770,'DISTRIBUIÇÃO NF4267'!$E$3:$FQ$3,0)+1,0)</f>
        <v>4</v>
      </c>
      <c r="F2770" s="28">
        <f t="shared" si="137"/>
        <v>3</v>
      </c>
    </row>
    <row r="2771" spans="1:6" x14ac:dyDescent="0.35">
      <c r="A2771">
        <f t="shared" si="138"/>
        <v>0</v>
      </c>
      <c r="B2771" t="str">
        <f t="shared" si="139"/>
        <v>EL</v>
      </c>
      <c r="C2771" s="9" t="s">
        <v>116</v>
      </c>
      <c r="D2771" s="18">
        <f>VLOOKUP(C2771,'DISTRIBUIÇÃO NF4267'!$E$3:$FQ$75,MATCH(B2771,'DISTRIBUIÇÃO NF4267'!$E$3:$FQ$3,0)+1,0)</f>
        <v>2</v>
      </c>
      <c r="F2771" s="28">
        <f t="shared" si="137"/>
        <v>3</v>
      </c>
    </row>
    <row r="2772" spans="1:6" x14ac:dyDescent="0.35">
      <c r="A2772">
        <f t="shared" si="138"/>
        <v>0</v>
      </c>
      <c r="B2772" t="str">
        <f t="shared" si="139"/>
        <v>EL</v>
      </c>
      <c r="C2772" s="9" t="s">
        <v>117</v>
      </c>
      <c r="D2772" s="18">
        <f>VLOOKUP(C2772,'DISTRIBUIÇÃO NF4267'!$E$3:$FQ$75,MATCH(B2772,'DISTRIBUIÇÃO NF4267'!$E$3:$FQ$3,0)+1,0)</f>
        <v>1</v>
      </c>
      <c r="F2772" s="28">
        <f t="shared" si="137"/>
        <v>3</v>
      </c>
    </row>
    <row r="2773" spans="1:6" x14ac:dyDescent="0.35">
      <c r="A2773">
        <f t="shared" si="138"/>
        <v>0</v>
      </c>
      <c r="B2773" t="str">
        <f t="shared" si="139"/>
        <v>EL</v>
      </c>
      <c r="C2773" s="9" t="s">
        <v>118</v>
      </c>
      <c r="D2773" s="18">
        <f>VLOOKUP(C2773,'DISTRIBUIÇÃO NF4267'!$E$3:$FQ$75,MATCH(B2773,'DISTRIBUIÇÃO NF4267'!$E$3:$FQ$3,0)+1,0)</f>
        <v>0</v>
      </c>
      <c r="F2773" s="28">
        <f t="shared" si="137"/>
        <v>3</v>
      </c>
    </row>
    <row r="2774" spans="1:6" x14ac:dyDescent="0.35">
      <c r="A2774">
        <f t="shared" si="138"/>
        <v>0</v>
      </c>
      <c r="B2774" t="str">
        <f t="shared" si="139"/>
        <v>EL</v>
      </c>
      <c r="C2774" s="10" t="s">
        <v>119</v>
      </c>
      <c r="D2774" s="18">
        <f>VLOOKUP(C2774,'DISTRIBUIÇÃO NF4267'!$E$3:$FQ$75,MATCH(B2774,'DISTRIBUIÇÃO NF4267'!$E$3:$FQ$3,0)+1,0)</f>
        <v>0</v>
      </c>
      <c r="F2774" s="28">
        <f t="shared" si="137"/>
        <v>3</v>
      </c>
    </row>
    <row r="2775" spans="1:6" x14ac:dyDescent="0.35">
      <c r="A2775">
        <f t="shared" si="138"/>
        <v>0</v>
      </c>
      <c r="B2775" t="str">
        <f t="shared" si="139"/>
        <v>EL</v>
      </c>
      <c r="C2775" s="10" t="s">
        <v>120</v>
      </c>
      <c r="D2775" s="18">
        <f>VLOOKUP(C2775,'DISTRIBUIÇÃO NF4267'!$E$3:$FQ$75,MATCH(B2775,'DISTRIBUIÇÃO NF4267'!$E$3:$FQ$3,0)+1,0)</f>
        <v>48</v>
      </c>
      <c r="F2775" s="28">
        <f t="shared" si="137"/>
        <v>3</v>
      </c>
    </row>
    <row r="2776" spans="1:6" x14ac:dyDescent="0.35">
      <c r="A2776">
        <f t="shared" si="138"/>
        <v>0</v>
      </c>
      <c r="B2776" t="str">
        <f t="shared" si="139"/>
        <v>EL</v>
      </c>
      <c r="C2776" s="10" t="s">
        <v>121</v>
      </c>
      <c r="D2776" s="18">
        <f>VLOOKUP(C2776,'DISTRIBUIÇÃO NF4267'!$E$3:$FQ$75,MATCH(B2776,'DISTRIBUIÇÃO NF4267'!$E$3:$FQ$3,0)+1,0)</f>
        <v>16</v>
      </c>
      <c r="F2776" s="28">
        <f t="shared" si="137"/>
        <v>3</v>
      </c>
    </row>
    <row r="2777" spans="1:6" x14ac:dyDescent="0.35">
      <c r="A2777">
        <f t="shared" si="138"/>
        <v>0</v>
      </c>
      <c r="B2777" t="str">
        <f t="shared" si="139"/>
        <v>EL</v>
      </c>
      <c r="C2777" s="10" t="s">
        <v>122</v>
      </c>
      <c r="D2777" s="18">
        <f>VLOOKUP(C2777,'DISTRIBUIÇÃO NF4267'!$E$3:$FQ$75,MATCH(B2777,'DISTRIBUIÇÃO NF4267'!$E$3:$FQ$3,0)+1,0)</f>
        <v>16</v>
      </c>
      <c r="F2777" s="28">
        <f t="shared" si="137"/>
        <v>3</v>
      </c>
    </row>
    <row r="2778" spans="1:6" x14ac:dyDescent="0.35">
      <c r="A2778">
        <f t="shared" si="138"/>
        <v>0</v>
      </c>
      <c r="B2778" t="str">
        <f t="shared" si="139"/>
        <v>EL</v>
      </c>
      <c r="C2778" s="10" t="s">
        <v>123</v>
      </c>
      <c r="D2778" s="18">
        <f>VLOOKUP(C2778,'DISTRIBUIÇÃO NF4267'!$E$3:$FQ$75,MATCH(B2778,'DISTRIBUIÇÃO NF4267'!$E$3:$FQ$3,0)+1,0)</f>
        <v>0</v>
      </c>
      <c r="F2778" s="28">
        <f t="shared" si="137"/>
        <v>3</v>
      </c>
    </row>
    <row r="2779" spans="1:6" x14ac:dyDescent="0.35">
      <c r="A2779">
        <f t="shared" si="138"/>
        <v>0</v>
      </c>
      <c r="B2779" t="str">
        <f t="shared" si="139"/>
        <v>EL</v>
      </c>
      <c r="C2779" s="10" t="s">
        <v>124</v>
      </c>
      <c r="D2779" s="18">
        <f>VLOOKUP(C2779,'DISTRIBUIÇÃO NF4267'!$E$3:$FQ$75,MATCH(B2779,'DISTRIBUIÇÃO NF4267'!$E$3:$FQ$3,0)+1,0)</f>
        <v>0</v>
      </c>
      <c r="F2779" s="28">
        <f t="shared" si="137"/>
        <v>3</v>
      </c>
    </row>
    <row r="2780" spans="1:6" x14ac:dyDescent="0.35">
      <c r="A2780">
        <f t="shared" si="138"/>
        <v>0</v>
      </c>
      <c r="B2780" t="str">
        <f t="shared" si="139"/>
        <v>EL</v>
      </c>
      <c r="C2780" s="11" t="s">
        <v>16</v>
      </c>
      <c r="D2780" s="18">
        <f>VLOOKUP(C2780,'DISTRIBUIÇÃO NF4267'!$E$3:$FQ$75,MATCH(B2780,'DISTRIBUIÇÃO NF4267'!$E$3:$FQ$3,0)+1,0)</f>
        <v>0</v>
      </c>
      <c r="F2780" s="28">
        <f t="shared" si="137"/>
        <v>3</v>
      </c>
    </row>
    <row r="2781" spans="1:6" x14ac:dyDescent="0.35">
      <c r="A2781">
        <f t="shared" si="138"/>
        <v>0</v>
      </c>
      <c r="B2781" t="str">
        <f t="shared" si="139"/>
        <v>EL</v>
      </c>
      <c r="C2781" s="11" t="s">
        <v>17</v>
      </c>
      <c r="D2781" s="18">
        <f>VLOOKUP(C2781,'DISTRIBUIÇÃO NF4267'!$E$3:$FQ$75,MATCH(B2781,'DISTRIBUIÇÃO NF4267'!$E$3:$FQ$3,0)+1,0)</f>
        <v>9</v>
      </c>
      <c r="F2781" s="28">
        <f t="shared" si="137"/>
        <v>3</v>
      </c>
    </row>
    <row r="2782" spans="1:6" x14ac:dyDescent="0.35">
      <c r="A2782">
        <f t="shared" si="138"/>
        <v>0</v>
      </c>
      <c r="B2782" t="str">
        <f t="shared" si="139"/>
        <v>EL</v>
      </c>
      <c r="C2782" s="11" t="s">
        <v>18</v>
      </c>
      <c r="D2782" s="18">
        <f>VLOOKUP(C2782,'DISTRIBUIÇÃO NF4267'!$E$3:$FQ$75,MATCH(B2782,'DISTRIBUIÇÃO NF4267'!$E$3:$FQ$3,0)+1,0)</f>
        <v>3</v>
      </c>
      <c r="F2782" s="28">
        <f t="shared" si="137"/>
        <v>3</v>
      </c>
    </row>
    <row r="2783" spans="1:6" x14ac:dyDescent="0.35">
      <c r="A2783">
        <f t="shared" si="138"/>
        <v>0</v>
      </c>
      <c r="B2783" t="str">
        <f t="shared" si="139"/>
        <v>EL</v>
      </c>
      <c r="C2783" s="11" t="s">
        <v>19</v>
      </c>
      <c r="D2783" s="18">
        <f>VLOOKUP(C2783,'DISTRIBUIÇÃO NF4267'!$E$3:$FQ$75,MATCH(B2783,'DISTRIBUIÇÃO NF4267'!$E$3:$FQ$3,0)+1,0)</f>
        <v>3</v>
      </c>
      <c r="F2783" s="28">
        <f t="shared" si="137"/>
        <v>3</v>
      </c>
    </row>
    <row r="2784" spans="1:6" x14ac:dyDescent="0.35">
      <c r="A2784">
        <f t="shared" si="138"/>
        <v>0</v>
      </c>
      <c r="B2784" t="str">
        <f t="shared" si="139"/>
        <v>EL</v>
      </c>
      <c r="C2784" s="11" t="s">
        <v>20</v>
      </c>
      <c r="D2784" s="18">
        <f>VLOOKUP(C2784,'DISTRIBUIÇÃO NF4267'!$E$3:$FQ$75,MATCH(B2784,'DISTRIBUIÇÃO NF4267'!$E$3:$FQ$3,0)+1,0)</f>
        <v>15</v>
      </c>
      <c r="F2784" s="28">
        <f t="shared" si="137"/>
        <v>3</v>
      </c>
    </row>
    <row r="2785" spans="1:6" x14ac:dyDescent="0.35">
      <c r="A2785">
        <f t="shared" si="138"/>
        <v>0</v>
      </c>
      <c r="B2785" t="str">
        <f t="shared" si="139"/>
        <v>EL</v>
      </c>
      <c r="C2785" s="11" t="s">
        <v>21</v>
      </c>
      <c r="D2785" s="18">
        <f>VLOOKUP(C2785,'DISTRIBUIÇÃO NF4267'!$E$3:$FQ$75,MATCH(B2785,'DISTRIBUIÇÃO NF4267'!$E$3:$FQ$3,0)+1,0)</f>
        <v>0</v>
      </c>
      <c r="F2785" s="28">
        <f t="shared" si="137"/>
        <v>3</v>
      </c>
    </row>
    <row r="2786" spans="1:6" x14ac:dyDescent="0.35">
      <c r="A2786">
        <f t="shared" si="138"/>
        <v>0</v>
      </c>
      <c r="B2786" t="str">
        <f t="shared" si="139"/>
        <v>EL</v>
      </c>
      <c r="C2786" s="12" t="s">
        <v>130</v>
      </c>
      <c r="D2786" s="18">
        <f>VLOOKUP(C2786,'DISTRIBUIÇÃO NF4267'!$E$3:$FQ$75,MATCH(B2786,'DISTRIBUIÇÃO NF4267'!$E$3:$FQ$3,0)+1,0)</f>
        <v>0</v>
      </c>
      <c r="F2786" s="28">
        <f t="shared" si="137"/>
        <v>3</v>
      </c>
    </row>
    <row r="2787" spans="1:6" x14ac:dyDescent="0.35">
      <c r="A2787">
        <f t="shared" si="138"/>
        <v>0</v>
      </c>
      <c r="B2787" t="str">
        <f t="shared" si="139"/>
        <v>EL</v>
      </c>
      <c r="C2787" s="12" t="s">
        <v>131</v>
      </c>
      <c r="D2787" s="18">
        <f>VLOOKUP(C2787,'DISTRIBUIÇÃO NF4267'!$E$3:$FQ$75,MATCH(B2787,'DISTRIBUIÇÃO NF4267'!$E$3:$FQ$3,0)+1,0)</f>
        <v>0</v>
      </c>
      <c r="F2787" s="28">
        <f t="shared" si="137"/>
        <v>3</v>
      </c>
    </row>
    <row r="2788" spans="1:6" x14ac:dyDescent="0.35">
      <c r="A2788">
        <f t="shared" si="138"/>
        <v>0</v>
      </c>
      <c r="B2788" t="str">
        <f t="shared" si="139"/>
        <v>EL</v>
      </c>
      <c r="C2788" s="12" t="s">
        <v>132</v>
      </c>
      <c r="D2788" s="18">
        <f>VLOOKUP(C2788,'DISTRIBUIÇÃO NF4267'!$E$3:$FQ$75,MATCH(B2788,'DISTRIBUIÇÃO NF4267'!$E$3:$FQ$3,0)+1,0)</f>
        <v>0</v>
      </c>
      <c r="F2788" s="28">
        <f t="shared" si="137"/>
        <v>3</v>
      </c>
    </row>
    <row r="2789" spans="1:6" x14ac:dyDescent="0.35">
      <c r="A2789">
        <f t="shared" si="138"/>
        <v>0</v>
      </c>
      <c r="B2789" t="str">
        <f t="shared" si="139"/>
        <v>EL</v>
      </c>
      <c r="C2789" s="12" t="s">
        <v>133</v>
      </c>
      <c r="D2789" s="18">
        <f>VLOOKUP(C2789,'DISTRIBUIÇÃO NF4267'!$E$3:$FQ$75,MATCH(B2789,'DISTRIBUIÇÃO NF4267'!$E$3:$FQ$3,0)+1,0)</f>
        <v>0</v>
      </c>
      <c r="F2789" s="28">
        <f t="shared" si="137"/>
        <v>3</v>
      </c>
    </row>
    <row r="2790" spans="1:6" x14ac:dyDescent="0.35">
      <c r="A2790">
        <f t="shared" si="138"/>
        <v>0</v>
      </c>
      <c r="B2790" t="str">
        <f t="shared" si="139"/>
        <v>EL</v>
      </c>
      <c r="C2790" s="12" t="s">
        <v>134</v>
      </c>
      <c r="D2790" s="18">
        <f>VLOOKUP(C2790,'DISTRIBUIÇÃO NF4267'!$E$3:$FQ$75,MATCH(B2790,'DISTRIBUIÇÃO NF4267'!$E$3:$FQ$3,0)+1,0)</f>
        <v>0</v>
      </c>
      <c r="F2790" s="28">
        <f t="shared" si="137"/>
        <v>3</v>
      </c>
    </row>
    <row r="2791" spans="1:6" x14ac:dyDescent="0.35">
      <c r="A2791">
        <f t="shared" si="138"/>
        <v>0</v>
      </c>
      <c r="B2791" t="str">
        <f t="shared" si="139"/>
        <v>EL</v>
      </c>
      <c r="C2791" s="12" t="s">
        <v>135</v>
      </c>
      <c r="D2791" s="18">
        <f>VLOOKUP(C2791,'DISTRIBUIÇÃO NF4267'!$E$3:$FQ$75,MATCH(B2791,'DISTRIBUIÇÃO NF4267'!$E$3:$FQ$3,0)+1,0)</f>
        <v>0</v>
      </c>
      <c r="F2791" s="28">
        <f t="shared" si="137"/>
        <v>3</v>
      </c>
    </row>
    <row r="2792" spans="1:6" x14ac:dyDescent="0.35">
      <c r="A2792">
        <f t="shared" si="138"/>
        <v>0</v>
      </c>
      <c r="B2792" t="str">
        <f t="shared" si="139"/>
        <v>EL</v>
      </c>
      <c r="C2792" s="13" t="s">
        <v>22</v>
      </c>
      <c r="D2792" s="18">
        <f>VLOOKUP(C2792,'DISTRIBUIÇÃO NF4267'!$E$3:$FQ$75,MATCH(B2792,'DISTRIBUIÇÃO NF4267'!$E$3:$FQ$3,0)+1,0)</f>
        <v>0</v>
      </c>
      <c r="F2792" s="28">
        <f t="shared" si="137"/>
        <v>3</v>
      </c>
    </row>
    <row r="2793" spans="1:6" x14ac:dyDescent="0.35">
      <c r="A2793">
        <f t="shared" si="138"/>
        <v>0</v>
      </c>
      <c r="B2793" t="str">
        <f t="shared" si="139"/>
        <v>EL</v>
      </c>
      <c r="C2793" s="13" t="s">
        <v>23</v>
      </c>
      <c r="D2793" s="18">
        <f>VLOOKUP(C2793,'DISTRIBUIÇÃO NF4267'!$E$3:$FQ$75,MATCH(B2793,'DISTRIBUIÇÃO NF4267'!$E$3:$FQ$3,0)+1,0)</f>
        <v>0</v>
      </c>
      <c r="F2793" s="28">
        <f t="shared" si="137"/>
        <v>3</v>
      </c>
    </row>
    <row r="2794" spans="1:6" x14ac:dyDescent="0.35">
      <c r="A2794">
        <f t="shared" si="138"/>
        <v>0</v>
      </c>
      <c r="B2794" t="str">
        <f t="shared" si="139"/>
        <v>EL</v>
      </c>
      <c r="C2794" s="13" t="s">
        <v>24</v>
      </c>
      <c r="D2794" s="18">
        <f>VLOOKUP(C2794,'DISTRIBUIÇÃO NF4267'!$E$3:$FQ$75,MATCH(B2794,'DISTRIBUIÇÃO NF4267'!$E$3:$FQ$3,0)+1,0)</f>
        <v>0</v>
      </c>
      <c r="F2794" s="28">
        <f t="shared" si="137"/>
        <v>3</v>
      </c>
    </row>
    <row r="2795" spans="1:6" x14ac:dyDescent="0.35">
      <c r="A2795">
        <f t="shared" si="138"/>
        <v>0</v>
      </c>
      <c r="B2795" t="str">
        <f t="shared" si="139"/>
        <v>EL</v>
      </c>
      <c r="C2795" s="13" t="s">
        <v>25</v>
      </c>
      <c r="D2795" s="18">
        <f>VLOOKUP(C2795,'DISTRIBUIÇÃO NF4267'!$E$3:$FQ$75,MATCH(B2795,'DISTRIBUIÇÃO NF4267'!$E$3:$FQ$3,0)+1,0)</f>
        <v>0</v>
      </c>
      <c r="F2795" s="28">
        <f t="shared" si="137"/>
        <v>3</v>
      </c>
    </row>
    <row r="2796" spans="1:6" x14ac:dyDescent="0.35">
      <c r="A2796">
        <f t="shared" si="138"/>
        <v>0</v>
      </c>
      <c r="B2796" t="str">
        <f t="shared" si="139"/>
        <v>EL</v>
      </c>
      <c r="C2796" s="13" t="s">
        <v>26</v>
      </c>
      <c r="D2796" s="18">
        <f>VLOOKUP(C2796,'DISTRIBUIÇÃO NF4267'!$E$3:$FQ$75,MATCH(B2796,'DISTRIBUIÇÃO NF4267'!$E$3:$FQ$3,0)+1,0)</f>
        <v>0</v>
      </c>
      <c r="F2796" s="28">
        <f t="shared" si="137"/>
        <v>3</v>
      </c>
    </row>
    <row r="2797" spans="1:6" x14ac:dyDescent="0.35">
      <c r="A2797">
        <f t="shared" si="138"/>
        <v>0</v>
      </c>
      <c r="B2797" t="str">
        <f t="shared" si="139"/>
        <v>EL</v>
      </c>
      <c r="C2797" s="13" t="s">
        <v>27</v>
      </c>
      <c r="D2797" s="18">
        <f>VLOOKUP(C2797,'DISTRIBUIÇÃO NF4267'!$E$3:$FQ$75,MATCH(B2797,'DISTRIBUIÇÃO NF4267'!$E$3:$FQ$3,0)+1,0)</f>
        <v>0</v>
      </c>
      <c r="F2797" s="28">
        <f t="shared" si="137"/>
        <v>3</v>
      </c>
    </row>
    <row r="2798" spans="1:6" x14ac:dyDescent="0.35">
      <c r="A2798">
        <f t="shared" si="138"/>
        <v>0</v>
      </c>
      <c r="B2798" t="str">
        <f t="shared" si="139"/>
        <v>EL</v>
      </c>
      <c r="C2798" s="14" t="s">
        <v>138</v>
      </c>
      <c r="D2798" s="18">
        <f>VLOOKUP(C2798,'DISTRIBUIÇÃO NF4267'!$E$3:$FQ$75,MATCH(B2798,'DISTRIBUIÇÃO NF4267'!$E$3:$FQ$3,0)+1,0)</f>
        <v>0</v>
      </c>
      <c r="F2798" s="28">
        <f t="shared" si="137"/>
        <v>3</v>
      </c>
    </row>
    <row r="2799" spans="1:6" x14ac:dyDescent="0.35">
      <c r="A2799">
        <f t="shared" si="138"/>
        <v>0</v>
      </c>
      <c r="B2799" t="str">
        <f t="shared" si="139"/>
        <v>EL</v>
      </c>
      <c r="C2799" s="14" t="s">
        <v>139</v>
      </c>
      <c r="D2799" s="18">
        <f>VLOOKUP(C2799,'DISTRIBUIÇÃO NF4267'!$E$3:$FQ$75,MATCH(B2799,'DISTRIBUIÇÃO NF4267'!$E$3:$FQ$3,0)+1,0)</f>
        <v>2</v>
      </c>
      <c r="F2799" s="28">
        <f t="shared" si="137"/>
        <v>3</v>
      </c>
    </row>
    <row r="2800" spans="1:6" x14ac:dyDescent="0.35">
      <c r="A2800">
        <f t="shared" si="138"/>
        <v>0</v>
      </c>
      <c r="B2800" t="str">
        <f t="shared" si="139"/>
        <v>EL</v>
      </c>
      <c r="C2800" s="14" t="s">
        <v>140</v>
      </c>
      <c r="D2800" s="18">
        <f>VLOOKUP(C2800,'DISTRIBUIÇÃO NF4267'!$E$3:$FQ$75,MATCH(B2800,'DISTRIBUIÇÃO NF4267'!$E$3:$FQ$3,0)+1,0)</f>
        <v>4</v>
      </c>
      <c r="F2800" s="28">
        <f t="shared" si="137"/>
        <v>3</v>
      </c>
    </row>
    <row r="2801" spans="1:6" x14ac:dyDescent="0.35">
      <c r="A2801">
        <f t="shared" si="138"/>
        <v>0</v>
      </c>
      <c r="B2801" t="str">
        <f t="shared" si="139"/>
        <v>EL</v>
      </c>
      <c r="C2801" s="14" t="s">
        <v>141</v>
      </c>
      <c r="D2801" s="18">
        <f>VLOOKUP(C2801,'DISTRIBUIÇÃO NF4267'!$E$3:$FQ$75,MATCH(B2801,'DISTRIBUIÇÃO NF4267'!$E$3:$FQ$3,0)+1,0)</f>
        <v>2</v>
      </c>
      <c r="F2801" s="28">
        <f t="shared" si="137"/>
        <v>3</v>
      </c>
    </row>
    <row r="2802" spans="1:6" x14ac:dyDescent="0.35">
      <c r="A2802">
        <f t="shared" si="138"/>
        <v>0</v>
      </c>
      <c r="B2802" t="str">
        <f t="shared" si="139"/>
        <v>EL</v>
      </c>
      <c r="C2802" s="14" t="s">
        <v>142</v>
      </c>
      <c r="D2802" s="18">
        <f>VLOOKUP(C2802,'DISTRIBUIÇÃO NF4267'!$E$3:$FQ$75,MATCH(B2802,'DISTRIBUIÇÃO NF4267'!$E$3:$FQ$3,0)+1,0)</f>
        <v>2</v>
      </c>
      <c r="F2802" s="28">
        <f t="shared" si="137"/>
        <v>3</v>
      </c>
    </row>
    <row r="2803" spans="1:6" x14ac:dyDescent="0.35">
      <c r="A2803">
        <f t="shared" si="138"/>
        <v>0</v>
      </c>
      <c r="B2803" t="str">
        <f t="shared" si="139"/>
        <v>EL</v>
      </c>
      <c r="C2803" s="14" t="s">
        <v>143</v>
      </c>
      <c r="D2803" s="18">
        <f>VLOOKUP(C2803,'DISTRIBUIÇÃO NF4267'!$E$3:$FQ$75,MATCH(B2803,'DISTRIBUIÇÃO NF4267'!$E$3:$FQ$3,0)+1,0)</f>
        <v>0</v>
      </c>
      <c r="F2803" s="28">
        <f t="shared" si="137"/>
        <v>3</v>
      </c>
    </row>
    <row r="2804" spans="1:6" x14ac:dyDescent="0.35">
      <c r="A2804">
        <f t="shared" si="138"/>
        <v>0</v>
      </c>
      <c r="B2804" t="str">
        <f t="shared" si="139"/>
        <v>EL</v>
      </c>
      <c r="C2804" s="15" t="s">
        <v>145</v>
      </c>
      <c r="D2804" s="18">
        <f>VLOOKUP(C2804,'DISTRIBUIÇÃO NF4267'!$E$3:$FQ$75,MATCH(B2804,'DISTRIBUIÇÃO NF4267'!$E$3:$FQ$3,0)+1,0)</f>
        <v>0</v>
      </c>
      <c r="F2804" s="28">
        <f t="shared" si="137"/>
        <v>3</v>
      </c>
    </row>
    <row r="2805" spans="1:6" x14ac:dyDescent="0.35">
      <c r="A2805">
        <f t="shared" si="138"/>
        <v>0</v>
      </c>
      <c r="B2805" t="str">
        <f t="shared" si="139"/>
        <v>EL</v>
      </c>
      <c r="C2805" s="15" t="s">
        <v>146</v>
      </c>
      <c r="D2805" s="18">
        <f>VLOOKUP(C2805,'DISTRIBUIÇÃO NF4267'!$E$3:$FQ$75,MATCH(B2805,'DISTRIBUIÇÃO NF4267'!$E$3:$FQ$3,0)+1,0)</f>
        <v>2</v>
      </c>
      <c r="F2805" s="28">
        <f t="shared" si="137"/>
        <v>3</v>
      </c>
    </row>
    <row r="2806" spans="1:6" x14ac:dyDescent="0.35">
      <c r="A2806">
        <f t="shared" si="138"/>
        <v>0</v>
      </c>
      <c r="B2806" t="str">
        <f t="shared" si="139"/>
        <v>EL</v>
      </c>
      <c r="C2806" s="15" t="s">
        <v>147</v>
      </c>
      <c r="D2806" s="18">
        <f>VLOOKUP(C2806,'DISTRIBUIÇÃO NF4267'!$E$3:$FQ$75,MATCH(B2806,'DISTRIBUIÇÃO NF4267'!$E$3:$FQ$3,0)+1,0)</f>
        <v>4</v>
      </c>
      <c r="F2806" s="28">
        <f t="shared" si="137"/>
        <v>3</v>
      </c>
    </row>
    <row r="2807" spans="1:6" x14ac:dyDescent="0.35">
      <c r="A2807">
        <f t="shared" si="138"/>
        <v>0</v>
      </c>
      <c r="B2807" t="str">
        <f t="shared" si="139"/>
        <v>EL</v>
      </c>
      <c r="C2807" s="15" t="s">
        <v>148</v>
      </c>
      <c r="D2807" s="18">
        <f>VLOOKUP(C2807,'DISTRIBUIÇÃO NF4267'!$E$3:$FQ$75,MATCH(B2807,'DISTRIBUIÇÃO NF4267'!$E$3:$FQ$3,0)+1,0)</f>
        <v>2</v>
      </c>
      <c r="F2807" s="28">
        <f t="shared" si="137"/>
        <v>3</v>
      </c>
    </row>
    <row r="2808" spans="1:6" x14ac:dyDescent="0.35">
      <c r="A2808">
        <f t="shared" si="138"/>
        <v>0</v>
      </c>
      <c r="B2808" t="str">
        <f t="shared" si="139"/>
        <v>EL</v>
      </c>
      <c r="C2808" s="15" t="s">
        <v>149</v>
      </c>
      <c r="D2808" s="18">
        <f>VLOOKUP(C2808,'DISTRIBUIÇÃO NF4267'!$E$3:$FQ$75,MATCH(B2808,'DISTRIBUIÇÃO NF4267'!$E$3:$FQ$3,0)+1,0)</f>
        <v>2</v>
      </c>
      <c r="F2808" s="28">
        <f t="shared" ref="F2808:F2871" si="140">ROUNDUP(SUMIFS(D:D,B:B,B2808)/80,0)</f>
        <v>3</v>
      </c>
    </row>
    <row r="2809" spans="1:6" x14ac:dyDescent="0.35">
      <c r="A2809">
        <f t="shared" si="138"/>
        <v>0</v>
      </c>
      <c r="B2809" t="str">
        <f t="shared" si="139"/>
        <v>EL</v>
      </c>
      <c r="C2809" s="15" t="s">
        <v>150</v>
      </c>
      <c r="D2809" s="18">
        <f>VLOOKUP(C2809,'DISTRIBUIÇÃO NF4267'!$E$3:$FQ$75,MATCH(B2809,'DISTRIBUIÇÃO NF4267'!$E$3:$FQ$3,0)+1,0)</f>
        <v>0</v>
      </c>
      <c r="F2809" s="28">
        <f t="shared" si="140"/>
        <v>3</v>
      </c>
    </row>
    <row r="2810" spans="1:6" x14ac:dyDescent="0.35">
      <c r="A2810">
        <f t="shared" si="138"/>
        <v>0</v>
      </c>
      <c r="B2810" t="s">
        <v>62</v>
      </c>
      <c r="C2810" s="7" t="s">
        <v>98</v>
      </c>
      <c r="D2810" s="18">
        <f>VLOOKUP(C2810,'DISTRIBUIÇÃO NF4267'!$E$3:$FQ$75,MATCH(B2810,'DISTRIBUIÇÃO NF4267'!$E$3:$FQ$3,0)+1,0)</f>
        <v>0</v>
      </c>
      <c r="F2810" s="28">
        <f t="shared" si="140"/>
        <v>3</v>
      </c>
    </row>
    <row r="2811" spans="1:6" x14ac:dyDescent="0.35">
      <c r="A2811">
        <f t="shared" si="138"/>
        <v>0</v>
      </c>
      <c r="B2811" t="str">
        <f>B2810</f>
        <v>CF</v>
      </c>
      <c r="C2811" s="7" t="s">
        <v>99</v>
      </c>
      <c r="D2811" s="18">
        <f>VLOOKUP(C2811,'DISTRIBUIÇÃO NF4267'!$E$3:$FQ$75,MATCH(B2811,'DISTRIBUIÇÃO NF4267'!$E$3:$FQ$3,0)+1,0)</f>
        <v>4</v>
      </c>
      <c r="F2811" s="28">
        <f t="shared" si="140"/>
        <v>3</v>
      </c>
    </row>
    <row r="2812" spans="1:6" x14ac:dyDescent="0.35">
      <c r="A2812">
        <f t="shared" si="138"/>
        <v>0</v>
      </c>
      <c r="B2812" t="str">
        <f t="shared" ref="B2812:B2863" si="141">B2811</f>
        <v>CF</v>
      </c>
      <c r="C2812" s="7" t="s">
        <v>100</v>
      </c>
      <c r="D2812" s="18">
        <f>VLOOKUP(C2812,'DISTRIBUIÇÃO NF4267'!$E$3:$FQ$75,MATCH(B2812,'DISTRIBUIÇÃO NF4267'!$E$3:$FQ$3,0)+1,0)</f>
        <v>8</v>
      </c>
      <c r="F2812" s="28">
        <f t="shared" si="140"/>
        <v>3</v>
      </c>
    </row>
    <row r="2813" spans="1:6" x14ac:dyDescent="0.35">
      <c r="A2813">
        <f t="shared" si="138"/>
        <v>0</v>
      </c>
      <c r="B2813" t="str">
        <f t="shared" si="141"/>
        <v>CF</v>
      </c>
      <c r="C2813" s="7" t="s">
        <v>101</v>
      </c>
      <c r="D2813" s="18">
        <f>VLOOKUP(C2813,'DISTRIBUIÇÃO NF4267'!$E$3:$FQ$75,MATCH(B2813,'DISTRIBUIÇÃO NF4267'!$E$3:$FQ$3,0)+1,0)</f>
        <v>4</v>
      </c>
      <c r="F2813" s="28">
        <f t="shared" si="140"/>
        <v>3</v>
      </c>
    </row>
    <row r="2814" spans="1:6" x14ac:dyDescent="0.35">
      <c r="A2814">
        <f t="shared" si="138"/>
        <v>0</v>
      </c>
      <c r="B2814" t="str">
        <f t="shared" si="141"/>
        <v>CF</v>
      </c>
      <c r="C2814" s="7" t="s">
        <v>102</v>
      </c>
      <c r="D2814" s="18">
        <f>VLOOKUP(C2814,'DISTRIBUIÇÃO NF4267'!$E$3:$FQ$75,MATCH(B2814,'DISTRIBUIÇÃO NF4267'!$E$3:$FQ$3,0)+1,0)</f>
        <v>4</v>
      </c>
      <c r="F2814" s="28">
        <f t="shared" si="140"/>
        <v>3</v>
      </c>
    </row>
    <row r="2815" spans="1:6" x14ac:dyDescent="0.35">
      <c r="A2815">
        <f t="shared" si="138"/>
        <v>0</v>
      </c>
      <c r="B2815" t="str">
        <f t="shared" si="141"/>
        <v>CF</v>
      </c>
      <c r="C2815" s="7" t="s">
        <v>103</v>
      </c>
      <c r="D2815" s="18">
        <f>VLOOKUP(C2815,'DISTRIBUIÇÃO NF4267'!$E$3:$FQ$75,MATCH(B2815,'DISTRIBUIÇÃO NF4267'!$E$3:$FQ$3,0)+1,0)</f>
        <v>0</v>
      </c>
      <c r="F2815" s="28">
        <f t="shared" si="140"/>
        <v>3</v>
      </c>
    </row>
    <row r="2816" spans="1:6" x14ac:dyDescent="0.35">
      <c r="A2816">
        <f t="shared" si="138"/>
        <v>0</v>
      </c>
      <c r="B2816" t="str">
        <f t="shared" si="141"/>
        <v>CF</v>
      </c>
      <c r="C2816" s="8" t="s">
        <v>107</v>
      </c>
      <c r="D2816" s="18">
        <f>VLOOKUP(C2816,'DISTRIBUIÇÃO NF4267'!$E$3:$FQ$75,MATCH(B2816,'DISTRIBUIÇÃO NF4267'!$E$3:$FQ$3,0)+1,0)</f>
        <v>0</v>
      </c>
      <c r="F2816" s="28">
        <f t="shared" si="140"/>
        <v>3</v>
      </c>
    </row>
    <row r="2817" spans="1:6" x14ac:dyDescent="0.35">
      <c r="A2817">
        <f t="shared" si="138"/>
        <v>0</v>
      </c>
      <c r="B2817" t="str">
        <f t="shared" si="141"/>
        <v>CF</v>
      </c>
      <c r="C2817" s="8" t="s">
        <v>108</v>
      </c>
      <c r="D2817" s="18">
        <f>VLOOKUP(C2817,'DISTRIBUIÇÃO NF4267'!$E$3:$FQ$75,MATCH(B2817,'DISTRIBUIÇÃO NF4267'!$E$3:$FQ$3,0)+1,0)</f>
        <v>2</v>
      </c>
      <c r="F2817" s="28">
        <f t="shared" si="140"/>
        <v>3</v>
      </c>
    </row>
    <row r="2818" spans="1:6" x14ac:dyDescent="0.35">
      <c r="A2818">
        <f t="shared" ref="A2818:A2881" si="142">IF(ISERROR(VLOOKUP(C2818,I:I,1,0)),0,1)</f>
        <v>0</v>
      </c>
      <c r="B2818" t="str">
        <f t="shared" si="141"/>
        <v>CF</v>
      </c>
      <c r="C2818" s="8" t="s">
        <v>109</v>
      </c>
      <c r="D2818" s="18">
        <f>VLOOKUP(C2818,'DISTRIBUIÇÃO NF4267'!$E$3:$FQ$75,MATCH(B2818,'DISTRIBUIÇÃO NF4267'!$E$3:$FQ$3,0)+1,0)</f>
        <v>4</v>
      </c>
      <c r="F2818" s="28">
        <f t="shared" si="140"/>
        <v>3</v>
      </c>
    </row>
    <row r="2819" spans="1:6" x14ac:dyDescent="0.35">
      <c r="A2819">
        <f t="shared" si="142"/>
        <v>0</v>
      </c>
      <c r="B2819" t="str">
        <f t="shared" si="141"/>
        <v>CF</v>
      </c>
      <c r="C2819" s="8" t="s">
        <v>110</v>
      </c>
      <c r="D2819" s="18">
        <f>VLOOKUP(C2819,'DISTRIBUIÇÃO NF4267'!$E$3:$FQ$75,MATCH(B2819,'DISTRIBUIÇÃO NF4267'!$E$3:$FQ$3,0)+1,0)</f>
        <v>2</v>
      </c>
      <c r="F2819" s="28">
        <f t="shared" si="140"/>
        <v>3</v>
      </c>
    </row>
    <row r="2820" spans="1:6" x14ac:dyDescent="0.35">
      <c r="A2820">
        <f t="shared" si="142"/>
        <v>0</v>
      </c>
      <c r="B2820" t="str">
        <f t="shared" si="141"/>
        <v>CF</v>
      </c>
      <c r="C2820" s="8" t="s">
        <v>111</v>
      </c>
      <c r="D2820" s="18">
        <f>VLOOKUP(C2820,'DISTRIBUIÇÃO NF4267'!$E$3:$FQ$75,MATCH(B2820,'DISTRIBUIÇÃO NF4267'!$E$3:$FQ$3,0)+1,0)</f>
        <v>2</v>
      </c>
      <c r="F2820" s="28">
        <f t="shared" si="140"/>
        <v>3</v>
      </c>
    </row>
    <row r="2821" spans="1:6" x14ac:dyDescent="0.35">
      <c r="A2821">
        <f t="shared" si="142"/>
        <v>0</v>
      </c>
      <c r="B2821" t="str">
        <f t="shared" si="141"/>
        <v>CF</v>
      </c>
      <c r="C2821" s="8" t="s">
        <v>112</v>
      </c>
      <c r="D2821" s="18">
        <f>VLOOKUP(C2821,'DISTRIBUIÇÃO NF4267'!$E$3:$FQ$75,MATCH(B2821,'DISTRIBUIÇÃO NF4267'!$E$3:$FQ$3,0)+1,0)</f>
        <v>0</v>
      </c>
      <c r="F2821" s="28">
        <f t="shared" si="140"/>
        <v>3</v>
      </c>
    </row>
    <row r="2822" spans="1:6" x14ac:dyDescent="0.35">
      <c r="A2822">
        <f t="shared" si="142"/>
        <v>0</v>
      </c>
      <c r="B2822" t="str">
        <f t="shared" si="141"/>
        <v>CF</v>
      </c>
      <c r="C2822" s="9" t="s">
        <v>113</v>
      </c>
      <c r="D2822" s="18">
        <f>VLOOKUP(C2822,'DISTRIBUIÇÃO NF4267'!$E$3:$FQ$75,MATCH(B2822,'DISTRIBUIÇÃO NF4267'!$E$3:$FQ$3,0)+1,0)</f>
        <v>0</v>
      </c>
      <c r="F2822" s="28">
        <f t="shared" si="140"/>
        <v>3</v>
      </c>
    </row>
    <row r="2823" spans="1:6" x14ac:dyDescent="0.35">
      <c r="A2823">
        <f t="shared" si="142"/>
        <v>0</v>
      </c>
      <c r="B2823" t="str">
        <f t="shared" si="141"/>
        <v>CF</v>
      </c>
      <c r="C2823" s="9" t="s">
        <v>114</v>
      </c>
      <c r="D2823" s="18">
        <f>VLOOKUP(C2823,'DISTRIBUIÇÃO NF4267'!$E$3:$FQ$75,MATCH(B2823,'DISTRIBUIÇÃO NF4267'!$E$3:$FQ$3,0)+1,0)</f>
        <v>3</v>
      </c>
      <c r="F2823" s="28">
        <f t="shared" si="140"/>
        <v>3</v>
      </c>
    </row>
    <row r="2824" spans="1:6" x14ac:dyDescent="0.35">
      <c r="A2824">
        <f t="shared" si="142"/>
        <v>0</v>
      </c>
      <c r="B2824" t="str">
        <f t="shared" si="141"/>
        <v>CF</v>
      </c>
      <c r="C2824" s="9" t="s">
        <v>115</v>
      </c>
      <c r="D2824" s="18">
        <f>VLOOKUP(C2824,'DISTRIBUIÇÃO NF4267'!$E$3:$FQ$75,MATCH(B2824,'DISTRIBUIÇÃO NF4267'!$E$3:$FQ$3,0)+1,0)</f>
        <v>4</v>
      </c>
      <c r="F2824" s="28">
        <f t="shared" si="140"/>
        <v>3</v>
      </c>
    </row>
    <row r="2825" spans="1:6" x14ac:dyDescent="0.35">
      <c r="A2825">
        <f t="shared" si="142"/>
        <v>0</v>
      </c>
      <c r="B2825" t="str">
        <f t="shared" si="141"/>
        <v>CF</v>
      </c>
      <c r="C2825" s="9" t="s">
        <v>116</v>
      </c>
      <c r="D2825" s="18">
        <f>VLOOKUP(C2825,'DISTRIBUIÇÃO NF4267'!$E$3:$FQ$75,MATCH(B2825,'DISTRIBUIÇÃO NF4267'!$E$3:$FQ$3,0)+1,0)</f>
        <v>2</v>
      </c>
      <c r="F2825" s="28">
        <f t="shared" si="140"/>
        <v>3</v>
      </c>
    </row>
    <row r="2826" spans="1:6" x14ac:dyDescent="0.35">
      <c r="A2826">
        <f t="shared" si="142"/>
        <v>0</v>
      </c>
      <c r="B2826" t="str">
        <f t="shared" si="141"/>
        <v>CF</v>
      </c>
      <c r="C2826" s="9" t="s">
        <v>117</v>
      </c>
      <c r="D2826" s="18">
        <f>VLOOKUP(C2826,'DISTRIBUIÇÃO NF4267'!$E$3:$FQ$75,MATCH(B2826,'DISTRIBUIÇÃO NF4267'!$E$3:$FQ$3,0)+1,0)</f>
        <v>1</v>
      </c>
      <c r="F2826" s="28">
        <f t="shared" si="140"/>
        <v>3</v>
      </c>
    </row>
    <row r="2827" spans="1:6" x14ac:dyDescent="0.35">
      <c r="A2827">
        <f t="shared" si="142"/>
        <v>0</v>
      </c>
      <c r="B2827" t="str">
        <f t="shared" si="141"/>
        <v>CF</v>
      </c>
      <c r="C2827" s="9" t="s">
        <v>118</v>
      </c>
      <c r="D2827" s="18">
        <f>VLOOKUP(C2827,'DISTRIBUIÇÃO NF4267'!$E$3:$FQ$75,MATCH(B2827,'DISTRIBUIÇÃO NF4267'!$E$3:$FQ$3,0)+1,0)</f>
        <v>0</v>
      </c>
      <c r="F2827" s="28">
        <f t="shared" si="140"/>
        <v>3</v>
      </c>
    </row>
    <row r="2828" spans="1:6" x14ac:dyDescent="0.35">
      <c r="A2828">
        <f t="shared" si="142"/>
        <v>0</v>
      </c>
      <c r="B2828" t="str">
        <f t="shared" si="141"/>
        <v>CF</v>
      </c>
      <c r="C2828" s="10" t="s">
        <v>119</v>
      </c>
      <c r="D2828" s="18">
        <f>VLOOKUP(C2828,'DISTRIBUIÇÃO NF4267'!$E$3:$FQ$75,MATCH(B2828,'DISTRIBUIÇÃO NF4267'!$E$3:$FQ$3,0)+1,0)</f>
        <v>0</v>
      </c>
      <c r="F2828" s="28">
        <f t="shared" si="140"/>
        <v>3</v>
      </c>
    </row>
    <row r="2829" spans="1:6" x14ac:dyDescent="0.35">
      <c r="A2829">
        <f t="shared" si="142"/>
        <v>0</v>
      </c>
      <c r="B2829" t="str">
        <f t="shared" si="141"/>
        <v>CF</v>
      </c>
      <c r="C2829" s="10" t="s">
        <v>120</v>
      </c>
      <c r="D2829" s="18">
        <f>VLOOKUP(C2829,'DISTRIBUIÇÃO NF4267'!$E$3:$FQ$75,MATCH(B2829,'DISTRIBUIÇÃO NF4267'!$E$3:$FQ$3,0)+1,0)</f>
        <v>48</v>
      </c>
      <c r="F2829" s="28">
        <f t="shared" si="140"/>
        <v>3</v>
      </c>
    </row>
    <row r="2830" spans="1:6" x14ac:dyDescent="0.35">
      <c r="A2830">
        <f t="shared" si="142"/>
        <v>0</v>
      </c>
      <c r="B2830" t="str">
        <f t="shared" si="141"/>
        <v>CF</v>
      </c>
      <c r="C2830" s="10" t="s">
        <v>121</v>
      </c>
      <c r="D2830" s="18">
        <f>VLOOKUP(C2830,'DISTRIBUIÇÃO NF4267'!$E$3:$FQ$75,MATCH(B2830,'DISTRIBUIÇÃO NF4267'!$E$3:$FQ$3,0)+1,0)</f>
        <v>16</v>
      </c>
      <c r="F2830" s="28">
        <f t="shared" si="140"/>
        <v>3</v>
      </c>
    </row>
    <row r="2831" spans="1:6" x14ac:dyDescent="0.35">
      <c r="A2831">
        <f t="shared" si="142"/>
        <v>0</v>
      </c>
      <c r="B2831" t="str">
        <f t="shared" si="141"/>
        <v>CF</v>
      </c>
      <c r="C2831" s="10" t="s">
        <v>122</v>
      </c>
      <c r="D2831" s="18">
        <f>VLOOKUP(C2831,'DISTRIBUIÇÃO NF4267'!$E$3:$FQ$75,MATCH(B2831,'DISTRIBUIÇÃO NF4267'!$E$3:$FQ$3,0)+1,0)</f>
        <v>16</v>
      </c>
      <c r="F2831" s="28">
        <f t="shared" si="140"/>
        <v>3</v>
      </c>
    </row>
    <row r="2832" spans="1:6" x14ac:dyDescent="0.35">
      <c r="A2832">
        <f t="shared" si="142"/>
        <v>0</v>
      </c>
      <c r="B2832" t="str">
        <f t="shared" si="141"/>
        <v>CF</v>
      </c>
      <c r="C2832" s="10" t="s">
        <v>123</v>
      </c>
      <c r="D2832" s="18">
        <f>VLOOKUP(C2832,'DISTRIBUIÇÃO NF4267'!$E$3:$FQ$75,MATCH(B2832,'DISTRIBUIÇÃO NF4267'!$E$3:$FQ$3,0)+1,0)</f>
        <v>0</v>
      </c>
      <c r="F2832" s="28">
        <f t="shared" si="140"/>
        <v>3</v>
      </c>
    </row>
    <row r="2833" spans="1:6" x14ac:dyDescent="0.35">
      <c r="A2833">
        <f t="shared" si="142"/>
        <v>0</v>
      </c>
      <c r="B2833" t="str">
        <f t="shared" si="141"/>
        <v>CF</v>
      </c>
      <c r="C2833" s="10" t="s">
        <v>124</v>
      </c>
      <c r="D2833" s="18">
        <f>VLOOKUP(C2833,'DISTRIBUIÇÃO NF4267'!$E$3:$FQ$75,MATCH(B2833,'DISTRIBUIÇÃO NF4267'!$E$3:$FQ$3,0)+1,0)</f>
        <v>0</v>
      </c>
      <c r="F2833" s="28">
        <f t="shared" si="140"/>
        <v>3</v>
      </c>
    </row>
    <row r="2834" spans="1:6" x14ac:dyDescent="0.35">
      <c r="A2834">
        <f t="shared" si="142"/>
        <v>0</v>
      </c>
      <c r="B2834" t="str">
        <f t="shared" si="141"/>
        <v>CF</v>
      </c>
      <c r="C2834" s="11" t="s">
        <v>16</v>
      </c>
      <c r="D2834" s="18">
        <f>VLOOKUP(C2834,'DISTRIBUIÇÃO NF4267'!$E$3:$FQ$75,MATCH(B2834,'DISTRIBUIÇÃO NF4267'!$E$3:$FQ$3,0)+1,0)</f>
        <v>0</v>
      </c>
      <c r="F2834" s="28">
        <f t="shared" si="140"/>
        <v>3</v>
      </c>
    </row>
    <row r="2835" spans="1:6" x14ac:dyDescent="0.35">
      <c r="A2835">
        <f t="shared" si="142"/>
        <v>0</v>
      </c>
      <c r="B2835" t="str">
        <f t="shared" si="141"/>
        <v>CF</v>
      </c>
      <c r="C2835" s="11" t="s">
        <v>17</v>
      </c>
      <c r="D2835" s="18">
        <f>VLOOKUP(C2835,'DISTRIBUIÇÃO NF4267'!$E$3:$FQ$75,MATCH(B2835,'DISTRIBUIÇÃO NF4267'!$E$3:$FQ$3,0)+1,0)</f>
        <v>9</v>
      </c>
      <c r="F2835" s="28">
        <f t="shared" si="140"/>
        <v>3</v>
      </c>
    </row>
    <row r="2836" spans="1:6" x14ac:dyDescent="0.35">
      <c r="A2836">
        <f t="shared" si="142"/>
        <v>0</v>
      </c>
      <c r="B2836" t="str">
        <f t="shared" si="141"/>
        <v>CF</v>
      </c>
      <c r="C2836" s="11" t="s">
        <v>18</v>
      </c>
      <c r="D2836" s="18">
        <f>VLOOKUP(C2836,'DISTRIBUIÇÃO NF4267'!$E$3:$FQ$75,MATCH(B2836,'DISTRIBUIÇÃO NF4267'!$E$3:$FQ$3,0)+1,0)</f>
        <v>3</v>
      </c>
      <c r="F2836" s="28">
        <f t="shared" si="140"/>
        <v>3</v>
      </c>
    </row>
    <row r="2837" spans="1:6" x14ac:dyDescent="0.35">
      <c r="A2837">
        <f t="shared" si="142"/>
        <v>0</v>
      </c>
      <c r="B2837" t="str">
        <f t="shared" si="141"/>
        <v>CF</v>
      </c>
      <c r="C2837" s="11" t="s">
        <v>19</v>
      </c>
      <c r="D2837" s="18">
        <f>VLOOKUP(C2837,'DISTRIBUIÇÃO NF4267'!$E$3:$FQ$75,MATCH(B2837,'DISTRIBUIÇÃO NF4267'!$E$3:$FQ$3,0)+1,0)</f>
        <v>3</v>
      </c>
      <c r="F2837" s="28">
        <f t="shared" si="140"/>
        <v>3</v>
      </c>
    </row>
    <row r="2838" spans="1:6" x14ac:dyDescent="0.35">
      <c r="A2838">
        <f t="shared" si="142"/>
        <v>0</v>
      </c>
      <c r="B2838" t="str">
        <f t="shared" si="141"/>
        <v>CF</v>
      </c>
      <c r="C2838" s="11" t="s">
        <v>20</v>
      </c>
      <c r="D2838" s="18">
        <f>VLOOKUP(C2838,'DISTRIBUIÇÃO NF4267'!$E$3:$FQ$75,MATCH(B2838,'DISTRIBUIÇÃO NF4267'!$E$3:$FQ$3,0)+1,0)</f>
        <v>15</v>
      </c>
      <c r="F2838" s="28">
        <f t="shared" si="140"/>
        <v>3</v>
      </c>
    </row>
    <row r="2839" spans="1:6" x14ac:dyDescent="0.35">
      <c r="A2839">
        <f t="shared" si="142"/>
        <v>0</v>
      </c>
      <c r="B2839" t="str">
        <f t="shared" si="141"/>
        <v>CF</v>
      </c>
      <c r="C2839" s="11" t="s">
        <v>21</v>
      </c>
      <c r="D2839" s="18">
        <f>VLOOKUP(C2839,'DISTRIBUIÇÃO NF4267'!$E$3:$FQ$75,MATCH(B2839,'DISTRIBUIÇÃO NF4267'!$E$3:$FQ$3,0)+1,0)</f>
        <v>0</v>
      </c>
      <c r="F2839" s="28">
        <f t="shared" si="140"/>
        <v>3</v>
      </c>
    </row>
    <row r="2840" spans="1:6" x14ac:dyDescent="0.35">
      <c r="A2840">
        <f t="shared" si="142"/>
        <v>0</v>
      </c>
      <c r="B2840" t="str">
        <f t="shared" si="141"/>
        <v>CF</v>
      </c>
      <c r="C2840" s="12" t="s">
        <v>130</v>
      </c>
      <c r="D2840" s="18">
        <f>VLOOKUP(C2840,'DISTRIBUIÇÃO NF4267'!$E$3:$FQ$75,MATCH(B2840,'DISTRIBUIÇÃO NF4267'!$E$3:$FQ$3,0)+1,0)</f>
        <v>0</v>
      </c>
      <c r="F2840" s="28">
        <f t="shared" si="140"/>
        <v>3</v>
      </c>
    </row>
    <row r="2841" spans="1:6" x14ac:dyDescent="0.35">
      <c r="A2841">
        <f t="shared" si="142"/>
        <v>0</v>
      </c>
      <c r="B2841" t="str">
        <f t="shared" si="141"/>
        <v>CF</v>
      </c>
      <c r="C2841" s="12" t="s">
        <v>131</v>
      </c>
      <c r="D2841" s="18">
        <f>VLOOKUP(C2841,'DISTRIBUIÇÃO NF4267'!$E$3:$FQ$75,MATCH(B2841,'DISTRIBUIÇÃO NF4267'!$E$3:$FQ$3,0)+1,0)</f>
        <v>0</v>
      </c>
      <c r="F2841" s="28">
        <f t="shared" si="140"/>
        <v>3</v>
      </c>
    </row>
    <row r="2842" spans="1:6" x14ac:dyDescent="0.35">
      <c r="A2842">
        <f t="shared" si="142"/>
        <v>0</v>
      </c>
      <c r="B2842" t="str">
        <f t="shared" si="141"/>
        <v>CF</v>
      </c>
      <c r="C2842" s="12" t="s">
        <v>132</v>
      </c>
      <c r="D2842" s="18">
        <f>VLOOKUP(C2842,'DISTRIBUIÇÃO NF4267'!$E$3:$FQ$75,MATCH(B2842,'DISTRIBUIÇÃO NF4267'!$E$3:$FQ$3,0)+1,0)</f>
        <v>0</v>
      </c>
      <c r="F2842" s="28">
        <f t="shared" si="140"/>
        <v>3</v>
      </c>
    </row>
    <row r="2843" spans="1:6" x14ac:dyDescent="0.35">
      <c r="A2843">
        <f t="shared" si="142"/>
        <v>0</v>
      </c>
      <c r="B2843" t="str">
        <f t="shared" si="141"/>
        <v>CF</v>
      </c>
      <c r="C2843" s="12" t="s">
        <v>133</v>
      </c>
      <c r="D2843" s="18">
        <f>VLOOKUP(C2843,'DISTRIBUIÇÃO NF4267'!$E$3:$FQ$75,MATCH(B2843,'DISTRIBUIÇÃO NF4267'!$E$3:$FQ$3,0)+1,0)</f>
        <v>0</v>
      </c>
      <c r="F2843" s="28">
        <f t="shared" si="140"/>
        <v>3</v>
      </c>
    </row>
    <row r="2844" spans="1:6" x14ac:dyDescent="0.35">
      <c r="A2844">
        <f t="shared" si="142"/>
        <v>0</v>
      </c>
      <c r="B2844" t="str">
        <f t="shared" si="141"/>
        <v>CF</v>
      </c>
      <c r="C2844" s="12" t="s">
        <v>134</v>
      </c>
      <c r="D2844" s="18">
        <f>VLOOKUP(C2844,'DISTRIBUIÇÃO NF4267'!$E$3:$FQ$75,MATCH(B2844,'DISTRIBUIÇÃO NF4267'!$E$3:$FQ$3,0)+1,0)</f>
        <v>0</v>
      </c>
      <c r="F2844" s="28">
        <f t="shared" si="140"/>
        <v>3</v>
      </c>
    </row>
    <row r="2845" spans="1:6" x14ac:dyDescent="0.35">
      <c r="A2845">
        <f t="shared" si="142"/>
        <v>0</v>
      </c>
      <c r="B2845" t="str">
        <f t="shared" si="141"/>
        <v>CF</v>
      </c>
      <c r="C2845" s="12" t="s">
        <v>135</v>
      </c>
      <c r="D2845" s="18">
        <f>VLOOKUP(C2845,'DISTRIBUIÇÃO NF4267'!$E$3:$FQ$75,MATCH(B2845,'DISTRIBUIÇÃO NF4267'!$E$3:$FQ$3,0)+1,0)</f>
        <v>0</v>
      </c>
      <c r="F2845" s="28">
        <f t="shared" si="140"/>
        <v>3</v>
      </c>
    </row>
    <row r="2846" spans="1:6" x14ac:dyDescent="0.35">
      <c r="A2846">
        <f t="shared" si="142"/>
        <v>0</v>
      </c>
      <c r="B2846" t="str">
        <f t="shared" si="141"/>
        <v>CF</v>
      </c>
      <c r="C2846" s="13" t="s">
        <v>22</v>
      </c>
      <c r="D2846" s="18">
        <f>VLOOKUP(C2846,'DISTRIBUIÇÃO NF4267'!$E$3:$FQ$75,MATCH(B2846,'DISTRIBUIÇÃO NF4267'!$E$3:$FQ$3,0)+1,0)</f>
        <v>0</v>
      </c>
      <c r="F2846" s="28">
        <f t="shared" si="140"/>
        <v>3</v>
      </c>
    </row>
    <row r="2847" spans="1:6" x14ac:dyDescent="0.35">
      <c r="A2847">
        <f t="shared" si="142"/>
        <v>0</v>
      </c>
      <c r="B2847" t="str">
        <f t="shared" si="141"/>
        <v>CF</v>
      </c>
      <c r="C2847" s="13" t="s">
        <v>23</v>
      </c>
      <c r="D2847" s="18">
        <f>VLOOKUP(C2847,'DISTRIBUIÇÃO NF4267'!$E$3:$FQ$75,MATCH(B2847,'DISTRIBUIÇÃO NF4267'!$E$3:$FQ$3,0)+1,0)</f>
        <v>0</v>
      </c>
      <c r="F2847" s="28">
        <f t="shared" si="140"/>
        <v>3</v>
      </c>
    </row>
    <row r="2848" spans="1:6" x14ac:dyDescent="0.35">
      <c r="A2848">
        <f t="shared" si="142"/>
        <v>0</v>
      </c>
      <c r="B2848" t="str">
        <f t="shared" si="141"/>
        <v>CF</v>
      </c>
      <c r="C2848" s="13" t="s">
        <v>24</v>
      </c>
      <c r="D2848" s="18">
        <f>VLOOKUP(C2848,'DISTRIBUIÇÃO NF4267'!$E$3:$FQ$75,MATCH(B2848,'DISTRIBUIÇÃO NF4267'!$E$3:$FQ$3,0)+1,0)</f>
        <v>0</v>
      </c>
      <c r="F2848" s="28">
        <f t="shared" si="140"/>
        <v>3</v>
      </c>
    </row>
    <row r="2849" spans="1:6" x14ac:dyDescent="0.35">
      <c r="A2849">
        <f t="shared" si="142"/>
        <v>0</v>
      </c>
      <c r="B2849" t="str">
        <f t="shared" si="141"/>
        <v>CF</v>
      </c>
      <c r="C2849" s="13" t="s">
        <v>25</v>
      </c>
      <c r="D2849" s="18">
        <f>VLOOKUP(C2849,'DISTRIBUIÇÃO NF4267'!$E$3:$FQ$75,MATCH(B2849,'DISTRIBUIÇÃO NF4267'!$E$3:$FQ$3,0)+1,0)</f>
        <v>0</v>
      </c>
      <c r="F2849" s="28">
        <f t="shared" si="140"/>
        <v>3</v>
      </c>
    </row>
    <row r="2850" spans="1:6" x14ac:dyDescent="0.35">
      <c r="A2850">
        <f t="shared" si="142"/>
        <v>0</v>
      </c>
      <c r="B2850" t="str">
        <f t="shared" si="141"/>
        <v>CF</v>
      </c>
      <c r="C2850" s="13" t="s">
        <v>26</v>
      </c>
      <c r="D2850" s="18">
        <f>VLOOKUP(C2850,'DISTRIBUIÇÃO NF4267'!$E$3:$FQ$75,MATCH(B2850,'DISTRIBUIÇÃO NF4267'!$E$3:$FQ$3,0)+1,0)</f>
        <v>0</v>
      </c>
      <c r="F2850" s="28">
        <f t="shared" si="140"/>
        <v>3</v>
      </c>
    </row>
    <row r="2851" spans="1:6" x14ac:dyDescent="0.35">
      <c r="A2851">
        <f t="shared" si="142"/>
        <v>0</v>
      </c>
      <c r="B2851" t="str">
        <f t="shared" si="141"/>
        <v>CF</v>
      </c>
      <c r="C2851" s="13" t="s">
        <v>27</v>
      </c>
      <c r="D2851" s="18">
        <f>VLOOKUP(C2851,'DISTRIBUIÇÃO NF4267'!$E$3:$FQ$75,MATCH(B2851,'DISTRIBUIÇÃO NF4267'!$E$3:$FQ$3,0)+1,0)</f>
        <v>0</v>
      </c>
      <c r="F2851" s="28">
        <f t="shared" si="140"/>
        <v>3</v>
      </c>
    </row>
    <row r="2852" spans="1:6" x14ac:dyDescent="0.35">
      <c r="A2852">
        <f t="shared" si="142"/>
        <v>0</v>
      </c>
      <c r="B2852" t="str">
        <f t="shared" si="141"/>
        <v>CF</v>
      </c>
      <c r="C2852" s="14" t="s">
        <v>138</v>
      </c>
      <c r="D2852" s="18">
        <f>VLOOKUP(C2852,'DISTRIBUIÇÃO NF4267'!$E$3:$FQ$75,MATCH(B2852,'DISTRIBUIÇÃO NF4267'!$E$3:$FQ$3,0)+1,0)</f>
        <v>0</v>
      </c>
      <c r="F2852" s="28">
        <f t="shared" si="140"/>
        <v>3</v>
      </c>
    </row>
    <row r="2853" spans="1:6" x14ac:dyDescent="0.35">
      <c r="A2853">
        <f t="shared" si="142"/>
        <v>0</v>
      </c>
      <c r="B2853" t="str">
        <f t="shared" si="141"/>
        <v>CF</v>
      </c>
      <c r="C2853" s="14" t="s">
        <v>139</v>
      </c>
      <c r="D2853" s="18">
        <f>VLOOKUP(C2853,'DISTRIBUIÇÃO NF4267'!$E$3:$FQ$75,MATCH(B2853,'DISTRIBUIÇÃO NF4267'!$E$3:$FQ$3,0)+1,0)</f>
        <v>2</v>
      </c>
      <c r="F2853" s="28">
        <f t="shared" si="140"/>
        <v>3</v>
      </c>
    </row>
    <row r="2854" spans="1:6" x14ac:dyDescent="0.35">
      <c r="A2854">
        <f t="shared" si="142"/>
        <v>0</v>
      </c>
      <c r="B2854" t="str">
        <f t="shared" si="141"/>
        <v>CF</v>
      </c>
      <c r="C2854" s="14" t="s">
        <v>140</v>
      </c>
      <c r="D2854" s="18">
        <f>VLOOKUP(C2854,'DISTRIBUIÇÃO NF4267'!$E$3:$FQ$75,MATCH(B2854,'DISTRIBUIÇÃO NF4267'!$E$3:$FQ$3,0)+1,0)</f>
        <v>4</v>
      </c>
      <c r="F2854" s="28">
        <f t="shared" si="140"/>
        <v>3</v>
      </c>
    </row>
    <row r="2855" spans="1:6" x14ac:dyDescent="0.35">
      <c r="A2855">
        <f t="shared" si="142"/>
        <v>0</v>
      </c>
      <c r="B2855" t="str">
        <f t="shared" si="141"/>
        <v>CF</v>
      </c>
      <c r="C2855" s="14" t="s">
        <v>141</v>
      </c>
      <c r="D2855" s="18">
        <f>VLOOKUP(C2855,'DISTRIBUIÇÃO NF4267'!$E$3:$FQ$75,MATCH(B2855,'DISTRIBUIÇÃO NF4267'!$E$3:$FQ$3,0)+1,0)</f>
        <v>2</v>
      </c>
      <c r="F2855" s="28">
        <f t="shared" si="140"/>
        <v>3</v>
      </c>
    </row>
    <row r="2856" spans="1:6" x14ac:dyDescent="0.35">
      <c r="A2856">
        <f t="shared" si="142"/>
        <v>0</v>
      </c>
      <c r="B2856" t="str">
        <f t="shared" si="141"/>
        <v>CF</v>
      </c>
      <c r="C2856" s="14" t="s">
        <v>142</v>
      </c>
      <c r="D2856" s="18">
        <f>VLOOKUP(C2856,'DISTRIBUIÇÃO NF4267'!$E$3:$FQ$75,MATCH(B2856,'DISTRIBUIÇÃO NF4267'!$E$3:$FQ$3,0)+1,0)</f>
        <v>2</v>
      </c>
      <c r="F2856" s="28">
        <f t="shared" si="140"/>
        <v>3</v>
      </c>
    </row>
    <row r="2857" spans="1:6" x14ac:dyDescent="0.35">
      <c r="A2857">
        <f t="shared" si="142"/>
        <v>0</v>
      </c>
      <c r="B2857" t="str">
        <f t="shared" si="141"/>
        <v>CF</v>
      </c>
      <c r="C2857" s="14" t="s">
        <v>143</v>
      </c>
      <c r="D2857" s="18">
        <f>VLOOKUP(C2857,'DISTRIBUIÇÃO NF4267'!$E$3:$FQ$75,MATCH(B2857,'DISTRIBUIÇÃO NF4267'!$E$3:$FQ$3,0)+1,0)</f>
        <v>0</v>
      </c>
      <c r="F2857" s="28">
        <f t="shared" si="140"/>
        <v>3</v>
      </c>
    </row>
    <row r="2858" spans="1:6" x14ac:dyDescent="0.35">
      <c r="A2858">
        <f t="shared" si="142"/>
        <v>0</v>
      </c>
      <c r="B2858" t="str">
        <f t="shared" si="141"/>
        <v>CF</v>
      </c>
      <c r="C2858" s="15" t="s">
        <v>145</v>
      </c>
      <c r="D2858" s="18">
        <f>VLOOKUP(C2858,'DISTRIBUIÇÃO NF4267'!$E$3:$FQ$75,MATCH(B2858,'DISTRIBUIÇÃO NF4267'!$E$3:$FQ$3,0)+1,0)</f>
        <v>0</v>
      </c>
      <c r="F2858" s="28">
        <f t="shared" si="140"/>
        <v>3</v>
      </c>
    </row>
    <row r="2859" spans="1:6" x14ac:dyDescent="0.35">
      <c r="A2859">
        <f t="shared" si="142"/>
        <v>0</v>
      </c>
      <c r="B2859" t="str">
        <f t="shared" si="141"/>
        <v>CF</v>
      </c>
      <c r="C2859" s="15" t="s">
        <v>146</v>
      </c>
      <c r="D2859" s="18">
        <f>VLOOKUP(C2859,'DISTRIBUIÇÃO NF4267'!$E$3:$FQ$75,MATCH(B2859,'DISTRIBUIÇÃO NF4267'!$E$3:$FQ$3,0)+1,0)</f>
        <v>2</v>
      </c>
      <c r="F2859" s="28">
        <f t="shared" si="140"/>
        <v>3</v>
      </c>
    </row>
    <row r="2860" spans="1:6" x14ac:dyDescent="0.35">
      <c r="A2860">
        <f t="shared" si="142"/>
        <v>0</v>
      </c>
      <c r="B2860" t="str">
        <f t="shared" si="141"/>
        <v>CF</v>
      </c>
      <c r="C2860" s="15" t="s">
        <v>147</v>
      </c>
      <c r="D2860" s="18">
        <f>VLOOKUP(C2860,'DISTRIBUIÇÃO NF4267'!$E$3:$FQ$75,MATCH(B2860,'DISTRIBUIÇÃO NF4267'!$E$3:$FQ$3,0)+1,0)</f>
        <v>4</v>
      </c>
      <c r="F2860" s="28">
        <f t="shared" si="140"/>
        <v>3</v>
      </c>
    </row>
    <row r="2861" spans="1:6" x14ac:dyDescent="0.35">
      <c r="A2861">
        <f t="shared" si="142"/>
        <v>0</v>
      </c>
      <c r="B2861" t="str">
        <f t="shared" si="141"/>
        <v>CF</v>
      </c>
      <c r="C2861" s="15" t="s">
        <v>148</v>
      </c>
      <c r="D2861" s="18">
        <f>VLOOKUP(C2861,'DISTRIBUIÇÃO NF4267'!$E$3:$FQ$75,MATCH(B2861,'DISTRIBUIÇÃO NF4267'!$E$3:$FQ$3,0)+1,0)</f>
        <v>2</v>
      </c>
      <c r="F2861" s="28">
        <f t="shared" si="140"/>
        <v>3</v>
      </c>
    </row>
    <row r="2862" spans="1:6" x14ac:dyDescent="0.35">
      <c r="A2862">
        <f t="shared" si="142"/>
        <v>0</v>
      </c>
      <c r="B2862" t="str">
        <f t="shared" si="141"/>
        <v>CF</v>
      </c>
      <c r="C2862" s="15" t="s">
        <v>149</v>
      </c>
      <c r="D2862" s="18">
        <f>VLOOKUP(C2862,'DISTRIBUIÇÃO NF4267'!$E$3:$FQ$75,MATCH(B2862,'DISTRIBUIÇÃO NF4267'!$E$3:$FQ$3,0)+1,0)</f>
        <v>2</v>
      </c>
      <c r="F2862" s="28">
        <f t="shared" si="140"/>
        <v>3</v>
      </c>
    </row>
    <row r="2863" spans="1:6" x14ac:dyDescent="0.35">
      <c r="A2863">
        <f t="shared" si="142"/>
        <v>0</v>
      </c>
      <c r="B2863" t="str">
        <f t="shared" si="141"/>
        <v>CF</v>
      </c>
      <c r="C2863" s="15" t="s">
        <v>150</v>
      </c>
      <c r="D2863" s="18">
        <f>VLOOKUP(C2863,'DISTRIBUIÇÃO NF4267'!$E$3:$FQ$75,MATCH(B2863,'DISTRIBUIÇÃO NF4267'!$E$3:$FQ$3,0)+1,0)</f>
        <v>0</v>
      </c>
      <c r="F2863" s="28">
        <f t="shared" si="140"/>
        <v>3</v>
      </c>
    </row>
    <row r="2864" spans="1:6" x14ac:dyDescent="0.35">
      <c r="A2864">
        <f t="shared" si="142"/>
        <v>0</v>
      </c>
      <c r="B2864" t="s">
        <v>63</v>
      </c>
      <c r="C2864" s="7" t="s">
        <v>98</v>
      </c>
      <c r="D2864" s="18">
        <f>VLOOKUP(C2864,'DISTRIBUIÇÃO NF4267'!$E$3:$FQ$75,MATCH(B2864,'DISTRIBUIÇÃO NF4267'!$E$3:$FQ$3,0)+1,0)</f>
        <v>0</v>
      </c>
      <c r="F2864" s="28">
        <f t="shared" si="140"/>
        <v>3</v>
      </c>
    </row>
    <row r="2865" spans="1:6" x14ac:dyDescent="0.35">
      <c r="A2865">
        <f t="shared" si="142"/>
        <v>0</v>
      </c>
      <c r="B2865" t="str">
        <f>B2864</f>
        <v>B4</v>
      </c>
      <c r="C2865" s="7" t="s">
        <v>99</v>
      </c>
      <c r="D2865" s="18">
        <f>VLOOKUP(C2865,'DISTRIBUIÇÃO NF4267'!$E$3:$FQ$75,MATCH(B2865,'DISTRIBUIÇÃO NF4267'!$E$3:$FQ$3,0)+1,0)</f>
        <v>4</v>
      </c>
      <c r="F2865" s="28">
        <f t="shared" si="140"/>
        <v>3</v>
      </c>
    </row>
    <row r="2866" spans="1:6" x14ac:dyDescent="0.35">
      <c r="A2866">
        <f t="shared" si="142"/>
        <v>0</v>
      </c>
      <c r="B2866" t="str">
        <f t="shared" ref="B2866:B2917" si="143">B2865</f>
        <v>B4</v>
      </c>
      <c r="C2866" s="7" t="s">
        <v>100</v>
      </c>
      <c r="D2866" s="18">
        <f>VLOOKUP(C2866,'DISTRIBUIÇÃO NF4267'!$E$3:$FQ$75,MATCH(B2866,'DISTRIBUIÇÃO NF4267'!$E$3:$FQ$3,0)+1,0)</f>
        <v>8</v>
      </c>
      <c r="F2866" s="28">
        <f t="shared" si="140"/>
        <v>3</v>
      </c>
    </row>
    <row r="2867" spans="1:6" x14ac:dyDescent="0.35">
      <c r="A2867">
        <f t="shared" si="142"/>
        <v>0</v>
      </c>
      <c r="B2867" t="str">
        <f t="shared" si="143"/>
        <v>B4</v>
      </c>
      <c r="C2867" s="7" t="s">
        <v>101</v>
      </c>
      <c r="D2867" s="18">
        <f>VLOOKUP(C2867,'DISTRIBUIÇÃO NF4267'!$E$3:$FQ$75,MATCH(B2867,'DISTRIBUIÇÃO NF4267'!$E$3:$FQ$3,0)+1,0)</f>
        <v>4</v>
      </c>
      <c r="F2867" s="28">
        <f t="shared" si="140"/>
        <v>3</v>
      </c>
    </row>
    <row r="2868" spans="1:6" x14ac:dyDescent="0.35">
      <c r="A2868">
        <f t="shared" si="142"/>
        <v>0</v>
      </c>
      <c r="B2868" t="str">
        <f t="shared" si="143"/>
        <v>B4</v>
      </c>
      <c r="C2868" s="7" t="s">
        <v>102</v>
      </c>
      <c r="D2868" s="18">
        <f>VLOOKUP(C2868,'DISTRIBUIÇÃO NF4267'!$E$3:$FQ$75,MATCH(B2868,'DISTRIBUIÇÃO NF4267'!$E$3:$FQ$3,0)+1,0)</f>
        <v>4</v>
      </c>
      <c r="F2868" s="28">
        <f t="shared" si="140"/>
        <v>3</v>
      </c>
    </row>
    <row r="2869" spans="1:6" x14ac:dyDescent="0.35">
      <c r="A2869">
        <f t="shared" si="142"/>
        <v>0</v>
      </c>
      <c r="B2869" t="str">
        <f t="shared" si="143"/>
        <v>B4</v>
      </c>
      <c r="C2869" s="7" t="s">
        <v>103</v>
      </c>
      <c r="D2869" s="18">
        <f>VLOOKUP(C2869,'DISTRIBUIÇÃO NF4267'!$E$3:$FQ$75,MATCH(B2869,'DISTRIBUIÇÃO NF4267'!$E$3:$FQ$3,0)+1,0)</f>
        <v>0</v>
      </c>
      <c r="F2869" s="28">
        <f t="shared" si="140"/>
        <v>3</v>
      </c>
    </row>
    <row r="2870" spans="1:6" x14ac:dyDescent="0.35">
      <c r="A2870">
        <f t="shared" si="142"/>
        <v>0</v>
      </c>
      <c r="B2870" t="str">
        <f t="shared" si="143"/>
        <v>B4</v>
      </c>
      <c r="C2870" s="8" t="s">
        <v>107</v>
      </c>
      <c r="D2870" s="18">
        <f>VLOOKUP(C2870,'DISTRIBUIÇÃO NF4267'!$E$3:$FQ$75,MATCH(B2870,'DISTRIBUIÇÃO NF4267'!$E$3:$FQ$3,0)+1,0)</f>
        <v>0</v>
      </c>
      <c r="F2870" s="28">
        <f t="shared" si="140"/>
        <v>3</v>
      </c>
    </row>
    <row r="2871" spans="1:6" x14ac:dyDescent="0.35">
      <c r="A2871">
        <f t="shared" si="142"/>
        <v>0</v>
      </c>
      <c r="B2871" t="str">
        <f t="shared" si="143"/>
        <v>B4</v>
      </c>
      <c r="C2871" s="8" t="s">
        <v>108</v>
      </c>
      <c r="D2871" s="18">
        <f>VLOOKUP(C2871,'DISTRIBUIÇÃO NF4267'!$E$3:$FQ$75,MATCH(B2871,'DISTRIBUIÇÃO NF4267'!$E$3:$FQ$3,0)+1,0)</f>
        <v>2</v>
      </c>
      <c r="F2871" s="28">
        <f t="shared" si="140"/>
        <v>3</v>
      </c>
    </row>
    <row r="2872" spans="1:6" x14ac:dyDescent="0.35">
      <c r="A2872">
        <f t="shared" si="142"/>
        <v>0</v>
      </c>
      <c r="B2872" t="str">
        <f t="shared" si="143"/>
        <v>B4</v>
      </c>
      <c r="C2872" s="8" t="s">
        <v>109</v>
      </c>
      <c r="D2872" s="18">
        <f>VLOOKUP(C2872,'DISTRIBUIÇÃO NF4267'!$E$3:$FQ$75,MATCH(B2872,'DISTRIBUIÇÃO NF4267'!$E$3:$FQ$3,0)+1,0)</f>
        <v>4</v>
      </c>
      <c r="F2872" s="28">
        <f t="shared" ref="F2872:F2935" si="144">ROUNDUP(SUMIFS(D:D,B:B,B2872)/80,0)</f>
        <v>3</v>
      </c>
    </row>
    <row r="2873" spans="1:6" x14ac:dyDescent="0.35">
      <c r="A2873">
        <f t="shared" si="142"/>
        <v>0</v>
      </c>
      <c r="B2873" t="str">
        <f t="shared" si="143"/>
        <v>B4</v>
      </c>
      <c r="C2873" s="8" t="s">
        <v>110</v>
      </c>
      <c r="D2873" s="18">
        <f>VLOOKUP(C2873,'DISTRIBUIÇÃO NF4267'!$E$3:$FQ$75,MATCH(B2873,'DISTRIBUIÇÃO NF4267'!$E$3:$FQ$3,0)+1,0)</f>
        <v>2</v>
      </c>
      <c r="F2873" s="28">
        <f t="shared" si="144"/>
        <v>3</v>
      </c>
    </row>
    <row r="2874" spans="1:6" x14ac:dyDescent="0.35">
      <c r="A2874">
        <f t="shared" si="142"/>
        <v>0</v>
      </c>
      <c r="B2874" t="str">
        <f t="shared" si="143"/>
        <v>B4</v>
      </c>
      <c r="C2874" s="8" t="s">
        <v>111</v>
      </c>
      <c r="D2874" s="18">
        <f>VLOOKUP(C2874,'DISTRIBUIÇÃO NF4267'!$E$3:$FQ$75,MATCH(B2874,'DISTRIBUIÇÃO NF4267'!$E$3:$FQ$3,0)+1,0)</f>
        <v>2</v>
      </c>
      <c r="F2874" s="28">
        <f t="shared" si="144"/>
        <v>3</v>
      </c>
    </row>
    <row r="2875" spans="1:6" x14ac:dyDescent="0.35">
      <c r="A2875">
        <f t="shared" si="142"/>
        <v>0</v>
      </c>
      <c r="B2875" t="str">
        <f t="shared" si="143"/>
        <v>B4</v>
      </c>
      <c r="C2875" s="8" t="s">
        <v>112</v>
      </c>
      <c r="D2875" s="18">
        <f>VLOOKUP(C2875,'DISTRIBUIÇÃO NF4267'!$E$3:$FQ$75,MATCH(B2875,'DISTRIBUIÇÃO NF4267'!$E$3:$FQ$3,0)+1,0)</f>
        <v>0</v>
      </c>
      <c r="F2875" s="28">
        <f t="shared" si="144"/>
        <v>3</v>
      </c>
    </row>
    <row r="2876" spans="1:6" x14ac:dyDescent="0.35">
      <c r="A2876">
        <f t="shared" si="142"/>
        <v>0</v>
      </c>
      <c r="B2876" t="str">
        <f t="shared" si="143"/>
        <v>B4</v>
      </c>
      <c r="C2876" s="9" t="s">
        <v>113</v>
      </c>
      <c r="D2876" s="18">
        <f>VLOOKUP(C2876,'DISTRIBUIÇÃO NF4267'!$E$3:$FQ$75,MATCH(B2876,'DISTRIBUIÇÃO NF4267'!$E$3:$FQ$3,0)+1,0)</f>
        <v>0</v>
      </c>
      <c r="F2876" s="28">
        <f t="shared" si="144"/>
        <v>3</v>
      </c>
    </row>
    <row r="2877" spans="1:6" x14ac:dyDescent="0.35">
      <c r="A2877">
        <f t="shared" si="142"/>
        <v>0</v>
      </c>
      <c r="B2877" t="str">
        <f t="shared" si="143"/>
        <v>B4</v>
      </c>
      <c r="C2877" s="9" t="s">
        <v>114</v>
      </c>
      <c r="D2877" s="18">
        <f>VLOOKUP(C2877,'DISTRIBUIÇÃO NF4267'!$E$3:$FQ$75,MATCH(B2877,'DISTRIBUIÇÃO NF4267'!$E$3:$FQ$3,0)+1,0)</f>
        <v>3</v>
      </c>
      <c r="F2877" s="28">
        <f t="shared" si="144"/>
        <v>3</v>
      </c>
    </row>
    <row r="2878" spans="1:6" x14ac:dyDescent="0.35">
      <c r="A2878">
        <f t="shared" si="142"/>
        <v>0</v>
      </c>
      <c r="B2878" t="str">
        <f t="shared" si="143"/>
        <v>B4</v>
      </c>
      <c r="C2878" s="9" t="s">
        <v>115</v>
      </c>
      <c r="D2878" s="18">
        <f>VLOOKUP(C2878,'DISTRIBUIÇÃO NF4267'!$E$3:$FQ$75,MATCH(B2878,'DISTRIBUIÇÃO NF4267'!$E$3:$FQ$3,0)+1,0)</f>
        <v>4</v>
      </c>
      <c r="F2878" s="28">
        <f t="shared" si="144"/>
        <v>3</v>
      </c>
    </row>
    <row r="2879" spans="1:6" x14ac:dyDescent="0.35">
      <c r="A2879">
        <f t="shared" si="142"/>
        <v>0</v>
      </c>
      <c r="B2879" t="str">
        <f t="shared" si="143"/>
        <v>B4</v>
      </c>
      <c r="C2879" s="9" t="s">
        <v>116</v>
      </c>
      <c r="D2879" s="18">
        <f>VLOOKUP(C2879,'DISTRIBUIÇÃO NF4267'!$E$3:$FQ$75,MATCH(B2879,'DISTRIBUIÇÃO NF4267'!$E$3:$FQ$3,0)+1,0)</f>
        <v>2</v>
      </c>
      <c r="F2879" s="28">
        <f t="shared" si="144"/>
        <v>3</v>
      </c>
    </row>
    <row r="2880" spans="1:6" x14ac:dyDescent="0.35">
      <c r="A2880">
        <f t="shared" si="142"/>
        <v>0</v>
      </c>
      <c r="B2880" t="str">
        <f t="shared" si="143"/>
        <v>B4</v>
      </c>
      <c r="C2880" s="9" t="s">
        <v>117</v>
      </c>
      <c r="D2880" s="18">
        <f>VLOOKUP(C2880,'DISTRIBUIÇÃO NF4267'!$E$3:$FQ$75,MATCH(B2880,'DISTRIBUIÇÃO NF4267'!$E$3:$FQ$3,0)+1,0)</f>
        <v>1</v>
      </c>
      <c r="F2880" s="28">
        <f t="shared" si="144"/>
        <v>3</v>
      </c>
    </row>
    <row r="2881" spans="1:6" x14ac:dyDescent="0.35">
      <c r="A2881">
        <f t="shared" si="142"/>
        <v>0</v>
      </c>
      <c r="B2881" t="str">
        <f t="shared" si="143"/>
        <v>B4</v>
      </c>
      <c r="C2881" s="9" t="s">
        <v>118</v>
      </c>
      <c r="D2881" s="18">
        <f>VLOOKUP(C2881,'DISTRIBUIÇÃO NF4267'!$E$3:$FQ$75,MATCH(B2881,'DISTRIBUIÇÃO NF4267'!$E$3:$FQ$3,0)+1,0)</f>
        <v>0</v>
      </c>
      <c r="F2881" s="28">
        <f t="shared" si="144"/>
        <v>3</v>
      </c>
    </row>
    <row r="2882" spans="1:6" x14ac:dyDescent="0.35">
      <c r="A2882">
        <f t="shared" ref="A2882:A2945" si="145">IF(ISERROR(VLOOKUP(C2882,I:I,1,0)),0,1)</f>
        <v>0</v>
      </c>
      <c r="B2882" t="str">
        <f t="shared" si="143"/>
        <v>B4</v>
      </c>
      <c r="C2882" s="10" t="s">
        <v>119</v>
      </c>
      <c r="D2882" s="18">
        <f>VLOOKUP(C2882,'DISTRIBUIÇÃO NF4267'!$E$3:$FQ$75,MATCH(B2882,'DISTRIBUIÇÃO NF4267'!$E$3:$FQ$3,0)+1,0)</f>
        <v>0</v>
      </c>
      <c r="F2882" s="28">
        <f t="shared" si="144"/>
        <v>3</v>
      </c>
    </row>
    <row r="2883" spans="1:6" x14ac:dyDescent="0.35">
      <c r="A2883">
        <f t="shared" si="145"/>
        <v>0</v>
      </c>
      <c r="B2883" t="str">
        <f t="shared" si="143"/>
        <v>B4</v>
      </c>
      <c r="C2883" s="10" t="s">
        <v>120</v>
      </c>
      <c r="D2883" s="18">
        <f>VLOOKUP(C2883,'DISTRIBUIÇÃO NF4267'!$E$3:$FQ$75,MATCH(B2883,'DISTRIBUIÇÃO NF4267'!$E$3:$FQ$3,0)+1,0)</f>
        <v>48</v>
      </c>
      <c r="F2883" s="28">
        <f t="shared" si="144"/>
        <v>3</v>
      </c>
    </row>
    <row r="2884" spans="1:6" x14ac:dyDescent="0.35">
      <c r="A2884">
        <f t="shared" si="145"/>
        <v>0</v>
      </c>
      <c r="B2884" t="str">
        <f t="shared" si="143"/>
        <v>B4</v>
      </c>
      <c r="C2884" s="10" t="s">
        <v>121</v>
      </c>
      <c r="D2884" s="18">
        <f>VLOOKUP(C2884,'DISTRIBUIÇÃO NF4267'!$E$3:$FQ$75,MATCH(B2884,'DISTRIBUIÇÃO NF4267'!$E$3:$FQ$3,0)+1,0)</f>
        <v>16</v>
      </c>
      <c r="F2884" s="28">
        <f t="shared" si="144"/>
        <v>3</v>
      </c>
    </row>
    <row r="2885" spans="1:6" x14ac:dyDescent="0.35">
      <c r="A2885">
        <f t="shared" si="145"/>
        <v>0</v>
      </c>
      <c r="B2885" t="str">
        <f t="shared" si="143"/>
        <v>B4</v>
      </c>
      <c r="C2885" s="10" t="s">
        <v>122</v>
      </c>
      <c r="D2885" s="18">
        <f>VLOOKUP(C2885,'DISTRIBUIÇÃO NF4267'!$E$3:$FQ$75,MATCH(B2885,'DISTRIBUIÇÃO NF4267'!$E$3:$FQ$3,0)+1,0)</f>
        <v>16</v>
      </c>
      <c r="F2885" s="28">
        <f t="shared" si="144"/>
        <v>3</v>
      </c>
    </row>
    <row r="2886" spans="1:6" x14ac:dyDescent="0.35">
      <c r="A2886">
        <f t="shared" si="145"/>
        <v>0</v>
      </c>
      <c r="B2886" t="str">
        <f t="shared" si="143"/>
        <v>B4</v>
      </c>
      <c r="C2886" s="10" t="s">
        <v>123</v>
      </c>
      <c r="D2886" s="18">
        <f>VLOOKUP(C2886,'DISTRIBUIÇÃO NF4267'!$E$3:$FQ$75,MATCH(B2886,'DISTRIBUIÇÃO NF4267'!$E$3:$FQ$3,0)+1,0)</f>
        <v>0</v>
      </c>
      <c r="F2886" s="28">
        <f t="shared" si="144"/>
        <v>3</v>
      </c>
    </row>
    <row r="2887" spans="1:6" x14ac:dyDescent="0.35">
      <c r="A2887">
        <f t="shared" si="145"/>
        <v>0</v>
      </c>
      <c r="B2887" t="str">
        <f t="shared" si="143"/>
        <v>B4</v>
      </c>
      <c r="C2887" s="10" t="s">
        <v>124</v>
      </c>
      <c r="D2887" s="18">
        <f>VLOOKUP(C2887,'DISTRIBUIÇÃO NF4267'!$E$3:$FQ$75,MATCH(B2887,'DISTRIBUIÇÃO NF4267'!$E$3:$FQ$3,0)+1,0)</f>
        <v>0</v>
      </c>
      <c r="F2887" s="28">
        <f t="shared" si="144"/>
        <v>3</v>
      </c>
    </row>
    <row r="2888" spans="1:6" x14ac:dyDescent="0.35">
      <c r="A2888">
        <f t="shared" si="145"/>
        <v>0</v>
      </c>
      <c r="B2888" t="str">
        <f t="shared" si="143"/>
        <v>B4</v>
      </c>
      <c r="C2888" s="11" t="s">
        <v>16</v>
      </c>
      <c r="D2888" s="18">
        <f>VLOOKUP(C2888,'DISTRIBUIÇÃO NF4267'!$E$3:$FQ$75,MATCH(B2888,'DISTRIBUIÇÃO NF4267'!$E$3:$FQ$3,0)+1,0)</f>
        <v>0</v>
      </c>
      <c r="F2888" s="28">
        <f t="shared" si="144"/>
        <v>3</v>
      </c>
    </row>
    <row r="2889" spans="1:6" x14ac:dyDescent="0.35">
      <c r="A2889">
        <f t="shared" si="145"/>
        <v>0</v>
      </c>
      <c r="B2889" t="str">
        <f t="shared" si="143"/>
        <v>B4</v>
      </c>
      <c r="C2889" s="11" t="s">
        <v>17</v>
      </c>
      <c r="D2889" s="18">
        <f>VLOOKUP(C2889,'DISTRIBUIÇÃO NF4267'!$E$3:$FQ$75,MATCH(B2889,'DISTRIBUIÇÃO NF4267'!$E$3:$FQ$3,0)+1,0)</f>
        <v>9</v>
      </c>
      <c r="F2889" s="28">
        <f t="shared" si="144"/>
        <v>3</v>
      </c>
    </row>
    <row r="2890" spans="1:6" x14ac:dyDescent="0.35">
      <c r="A2890">
        <f t="shared" si="145"/>
        <v>0</v>
      </c>
      <c r="B2890" t="str">
        <f t="shared" si="143"/>
        <v>B4</v>
      </c>
      <c r="C2890" s="11" t="s">
        <v>18</v>
      </c>
      <c r="D2890" s="18">
        <f>VLOOKUP(C2890,'DISTRIBUIÇÃO NF4267'!$E$3:$FQ$75,MATCH(B2890,'DISTRIBUIÇÃO NF4267'!$E$3:$FQ$3,0)+1,0)</f>
        <v>3</v>
      </c>
      <c r="F2890" s="28">
        <f t="shared" si="144"/>
        <v>3</v>
      </c>
    </row>
    <row r="2891" spans="1:6" x14ac:dyDescent="0.35">
      <c r="A2891">
        <f t="shared" si="145"/>
        <v>0</v>
      </c>
      <c r="B2891" t="str">
        <f t="shared" si="143"/>
        <v>B4</v>
      </c>
      <c r="C2891" s="11" t="s">
        <v>19</v>
      </c>
      <c r="D2891" s="18">
        <f>VLOOKUP(C2891,'DISTRIBUIÇÃO NF4267'!$E$3:$FQ$75,MATCH(B2891,'DISTRIBUIÇÃO NF4267'!$E$3:$FQ$3,0)+1,0)</f>
        <v>3</v>
      </c>
      <c r="F2891" s="28">
        <f t="shared" si="144"/>
        <v>3</v>
      </c>
    </row>
    <row r="2892" spans="1:6" x14ac:dyDescent="0.35">
      <c r="A2892">
        <f t="shared" si="145"/>
        <v>0</v>
      </c>
      <c r="B2892" t="str">
        <f t="shared" si="143"/>
        <v>B4</v>
      </c>
      <c r="C2892" s="11" t="s">
        <v>20</v>
      </c>
      <c r="D2892" s="18">
        <f>VLOOKUP(C2892,'DISTRIBUIÇÃO NF4267'!$E$3:$FQ$75,MATCH(B2892,'DISTRIBUIÇÃO NF4267'!$E$3:$FQ$3,0)+1,0)</f>
        <v>15</v>
      </c>
      <c r="F2892" s="28">
        <f t="shared" si="144"/>
        <v>3</v>
      </c>
    </row>
    <row r="2893" spans="1:6" x14ac:dyDescent="0.35">
      <c r="A2893">
        <f t="shared" si="145"/>
        <v>0</v>
      </c>
      <c r="B2893" t="str">
        <f t="shared" si="143"/>
        <v>B4</v>
      </c>
      <c r="C2893" s="11" t="s">
        <v>21</v>
      </c>
      <c r="D2893" s="18">
        <f>VLOOKUP(C2893,'DISTRIBUIÇÃO NF4267'!$E$3:$FQ$75,MATCH(B2893,'DISTRIBUIÇÃO NF4267'!$E$3:$FQ$3,0)+1,0)</f>
        <v>0</v>
      </c>
      <c r="F2893" s="28">
        <f t="shared" si="144"/>
        <v>3</v>
      </c>
    </row>
    <row r="2894" spans="1:6" x14ac:dyDescent="0.35">
      <c r="A2894">
        <f t="shared" si="145"/>
        <v>0</v>
      </c>
      <c r="B2894" t="str">
        <f t="shared" si="143"/>
        <v>B4</v>
      </c>
      <c r="C2894" s="12" t="s">
        <v>130</v>
      </c>
      <c r="D2894" s="18">
        <f>VLOOKUP(C2894,'DISTRIBUIÇÃO NF4267'!$E$3:$FQ$75,MATCH(B2894,'DISTRIBUIÇÃO NF4267'!$E$3:$FQ$3,0)+1,0)</f>
        <v>0</v>
      </c>
      <c r="F2894" s="28">
        <f t="shared" si="144"/>
        <v>3</v>
      </c>
    </row>
    <row r="2895" spans="1:6" x14ac:dyDescent="0.35">
      <c r="A2895">
        <f t="shared" si="145"/>
        <v>0</v>
      </c>
      <c r="B2895" t="str">
        <f t="shared" si="143"/>
        <v>B4</v>
      </c>
      <c r="C2895" s="12" t="s">
        <v>131</v>
      </c>
      <c r="D2895" s="18">
        <f>VLOOKUP(C2895,'DISTRIBUIÇÃO NF4267'!$E$3:$FQ$75,MATCH(B2895,'DISTRIBUIÇÃO NF4267'!$E$3:$FQ$3,0)+1,0)</f>
        <v>0</v>
      </c>
      <c r="F2895" s="28">
        <f t="shared" si="144"/>
        <v>3</v>
      </c>
    </row>
    <row r="2896" spans="1:6" x14ac:dyDescent="0.35">
      <c r="A2896">
        <f t="shared" si="145"/>
        <v>0</v>
      </c>
      <c r="B2896" t="str">
        <f t="shared" si="143"/>
        <v>B4</v>
      </c>
      <c r="C2896" s="12" t="s">
        <v>132</v>
      </c>
      <c r="D2896" s="18">
        <f>VLOOKUP(C2896,'DISTRIBUIÇÃO NF4267'!$E$3:$FQ$75,MATCH(B2896,'DISTRIBUIÇÃO NF4267'!$E$3:$FQ$3,0)+1,0)</f>
        <v>0</v>
      </c>
      <c r="F2896" s="28">
        <f t="shared" si="144"/>
        <v>3</v>
      </c>
    </row>
    <row r="2897" spans="1:6" x14ac:dyDescent="0.35">
      <c r="A2897">
        <f t="shared" si="145"/>
        <v>0</v>
      </c>
      <c r="B2897" t="str">
        <f t="shared" si="143"/>
        <v>B4</v>
      </c>
      <c r="C2897" s="12" t="s">
        <v>133</v>
      </c>
      <c r="D2897" s="18">
        <f>VLOOKUP(C2897,'DISTRIBUIÇÃO NF4267'!$E$3:$FQ$75,MATCH(B2897,'DISTRIBUIÇÃO NF4267'!$E$3:$FQ$3,0)+1,0)</f>
        <v>0</v>
      </c>
      <c r="F2897" s="28">
        <f t="shared" si="144"/>
        <v>3</v>
      </c>
    </row>
    <row r="2898" spans="1:6" x14ac:dyDescent="0.35">
      <c r="A2898">
        <f t="shared" si="145"/>
        <v>0</v>
      </c>
      <c r="B2898" t="str">
        <f t="shared" si="143"/>
        <v>B4</v>
      </c>
      <c r="C2898" s="12" t="s">
        <v>134</v>
      </c>
      <c r="D2898" s="18">
        <f>VLOOKUP(C2898,'DISTRIBUIÇÃO NF4267'!$E$3:$FQ$75,MATCH(B2898,'DISTRIBUIÇÃO NF4267'!$E$3:$FQ$3,0)+1,0)</f>
        <v>0</v>
      </c>
      <c r="F2898" s="28">
        <f t="shared" si="144"/>
        <v>3</v>
      </c>
    </row>
    <row r="2899" spans="1:6" x14ac:dyDescent="0.35">
      <c r="A2899">
        <f t="shared" si="145"/>
        <v>0</v>
      </c>
      <c r="B2899" t="str">
        <f t="shared" si="143"/>
        <v>B4</v>
      </c>
      <c r="C2899" s="12" t="s">
        <v>135</v>
      </c>
      <c r="D2899" s="18">
        <f>VLOOKUP(C2899,'DISTRIBUIÇÃO NF4267'!$E$3:$FQ$75,MATCH(B2899,'DISTRIBUIÇÃO NF4267'!$E$3:$FQ$3,0)+1,0)</f>
        <v>0</v>
      </c>
      <c r="F2899" s="28">
        <f t="shared" si="144"/>
        <v>3</v>
      </c>
    </row>
    <row r="2900" spans="1:6" x14ac:dyDescent="0.35">
      <c r="A2900">
        <f t="shared" si="145"/>
        <v>0</v>
      </c>
      <c r="B2900" t="str">
        <f t="shared" si="143"/>
        <v>B4</v>
      </c>
      <c r="C2900" s="13" t="s">
        <v>22</v>
      </c>
      <c r="D2900" s="18">
        <f>VLOOKUP(C2900,'DISTRIBUIÇÃO NF4267'!$E$3:$FQ$75,MATCH(B2900,'DISTRIBUIÇÃO NF4267'!$E$3:$FQ$3,0)+1,0)</f>
        <v>0</v>
      </c>
      <c r="F2900" s="28">
        <f t="shared" si="144"/>
        <v>3</v>
      </c>
    </row>
    <row r="2901" spans="1:6" x14ac:dyDescent="0.35">
      <c r="A2901">
        <f t="shared" si="145"/>
        <v>0</v>
      </c>
      <c r="B2901" t="str">
        <f t="shared" si="143"/>
        <v>B4</v>
      </c>
      <c r="C2901" s="13" t="s">
        <v>23</v>
      </c>
      <c r="D2901" s="18">
        <f>VLOOKUP(C2901,'DISTRIBUIÇÃO NF4267'!$E$3:$FQ$75,MATCH(B2901,'DISTRIBUIÇÃO NF4267'!$E$3:$FQ$3,0)+1,0)</f>
        <v>0</v>
      </c>
      <c r="F2901" s="28">
        <f t="shared" si="144"/>
        <v>3</v>
      </c>
    </row>
    <row r="2902" spans="1:6" x14ac:dyDescent="0.35">
      <c r="A2902">
        <f t="shared" si="145"/>
        <v>0</v>
      </c>
      <c r="B2902" t="str">
        <f t="shared" si="143"/>
        <v>B4</v>
      </c>
      <c r="C2902" s="13" t="s">
        <v>24</v>
      </c>
      <c r="D2902" s="18">
        <f>VLOOKUP(C2902,'DISTRIBUIÇÃO NF4267'!$E$3:$FQ$75,MATCH(B2902,'DISTRIBUIÇÃO NF4267'!$E$3:$FQ$3,0)+1,0)</f>
        <v>0</v>
      </c>
      <c r="F2902" s="28">
        <f t="shared" si="144"/>
        <v>3</v>
      </c>
    </row>
    <row r="2903" spans="1:6" x14ac:dyDescent="0.35">
      <c r="A2903">
        <f t="shared" si="145"/>
        <v>0</v>
      </c>
      <c r="B2903" t="str">
        <f t="shared" si="143"/>
        <v>B4</v>
      </c>
      <c r="C2903" s="13" t="s">
        <v>25</v>
      </c>
      <c r="D2903" s="18">
        <f>VLOOKUP(C2903,'DISTRIBUIÇÃO NF4267'!$E$3:$FQ$75,MATCH(B2903,'DISTRIBUIÇÃO NF4267'!$E$3:$FQ$3,0)+1,0)</f>
        <v>0</v>
      </c>
      <c r="F2903" s="28">
        <f t="shared" si="144"/>
        <v>3</v>
      </c>
    </row>
    <row r="2904" spans="1:6" x14ac:dyDescent="0.35">
      <c r="A2904">
        <f t="shared" si="145"/>
        <v>0</v>
      </c>
      <c r="B2904" t="str">
        <f t="shared" si="143"/>
        <v>B4</v>
      </c>
      <c r="C2904" s="13" t="s">
        <v>26</v>
      </c>
      <c r="D2904" s="18">
        <f>VLOOKUP(C2904,'DISTRIBUIÇÃO NF4267'!$E$3:$FQ$75,MATCH(B2904,'DISTRIBUIÇÃO NF4267'!$E$3:$FQ$3,0)+1,0)</f>
        <v>0</v>
      </c>
      <c r="F2904" s="28">
        <f t="shared" si="144"/>
        <v>3</v>
      </c>
    </row>
    <row r="2905" spans="1:6" x14ac:dyDescent="0.35">
      <c r="A2905">
        <f t="shared" si="145"/>
        <v>0</v>
      </c>
      <c r="B2905" t="str">
        <f t="shared" si="143"/>
        <v>B4</v>
      </c>
      <c r="C2905" s="13" t="s">
        <v>27</v>
      </c>
      <c r="D2905" s="18">
        <f>VLOOKUP(C2905,'DISTRIBUIÇÃO NF4267'!$E$3:$FQ$75,MATCH(B2905,'DISTRIBUIÇÃO NF4267'!$E$3:$FQ$3,0)+1,0)</f>
        <v>0</v>
      </c>
      <c r="F2905" s="28">
        <f t="shared" si="144"/>
        <v>3</v>
      </c>
    </row>
    <row r="2906" spans="1:6" x14ac:dyDescent="0.35">
      <c r="A2906">
        <f t="shared" si="145"/>
        <v>0</v>
      </c>
      <c r="B2906" t="str">
        <f t="shared" si="143"/>
        <v>B4</v>
      </c>
      <c r="C2906" s="14" t="s">
        <v>138</v>
      </c>
      <c r="D2906" s="18">
        <f>VLOOKUP(C2906,'DISTRIBUIÇÃO NF4267'!$E$3:$FQ$75,MATCH(B2906,'DISTRIBUIÇÃO NF4267'!$E$3:$FQ$3,0)+1,0)</f>
        <v>0</v>
      </c>
      <c r="F2906" s="28">
        <f t="shared" si="144"/>
        <v>3</v>
      </c>
    </row>
    <row r="2907" spans="1:6" x14ac:dyDescent="0.35">
      <c r="A2907">
        <f t="shared" si="145"/>
        <v>0</v>
      </c>
      <c r="B2907" t="str">
        <f t="shared" si="143"/>
        <v>B4</v>
      </c>
      <c r="C2907" s="14" t="s">
        <v>139</v>
      </c>
      <c r="D2907" s="18">
        <f>VLOOKUP(C2907,'DISTRIBUIÇÃO NF4267'!$E$3:$FQ$75,MATCH(B2907,'DISTRIBUIÇÃO NF4267'!$E$3:$FQ$3,0)+1,0)</f>
        <v>2</v>
      </c>
      <c r="F2907" s="28">
        <f t="shared" si="144"/>
        <v>3</v>
      </c>
    </row>
    <row r="2908" spans="1:6" x14ac:dyDescent="0.35">
      <c r="A2908">
        <f t="shared" si="145"/>
        <v>0</v>
      </c>
      <c r="B2908" t="str">
        <f t="shared" si="143"/>
        <v>B4</v>
      </c>
      <c r="C2908" s="14" t="s">
        <v>140</v>
      </c>
      <c r="D2908" s="18">
        <f>VLOOKUP(C2908,'DISTRIBUIÇÃO NF4267'!$E$3:$FQ$75,MATCH(B2908,'DISTRIBUIÇÃO NF4267'!$E$3:$FQ$3,0)+1,0)</f>
        <v>4</v>
      </c>
      <c r="F2908" s="28">
        <f t="shared" si="144"/>
        <v>3</v>
      </c>
    </row>
    <row r="2909" spans="1:6" x14ac:dyDescent="0.35">
      <c r="A2909">
        <f t="shared" si="145"/>
        <v>0</v>
      </c>
      <c r="B2909" t="str">
        <f t="shared" si="143"/>
        <v>B4</v>
      </c>
      <c r="C2909" s="14" t="s">
        <v>141</v>
      </c>
      <c r="D2909" s="18">
        <f>VLOOKUP(C2909,'DISTRIBUIÇÃO NF4267'!$E$3:$FQ$75,MATCH(B2909,'DISTRIBUIÇÃO NF4267'!$E$3:$FQ$3,0)+1,0)</f>
        <v>2</v>
      </c>
      <c r="F2909" s="28">
        <f t="shared" si="144"/>
        <v>3</v>
      </c>
    </row>
    <row r="2910" spans="1:6" x14ac:dyDescent="0.35">
      <c r="A2910">
        <f t="shared" si="145"/>
        <v>0</v>
      </c>
      <c r="B2910" t="str">
        <f t="shared" si="143"/>
        <v>B4</v>
      </c>
      <c r="C2910" s="14" t="s">
        <v>142</v>
      </c>
      <c r="D2910" s="18">
        <f>VLOOKUP(C2910,'DISTRIBUIÇÃO NF4267'!$E$3:$FQ$75,MATCH(B2910,'DISTRIBUIÇÃO NF4267'!$E$3:$FQ$3,0)+1,0)</f>
        <v>2</v>
      </c>
      <c r="F2910" s="28">
        <f t="shared" si="144"/>
        <v>3</v>
      </c>
    </row>
    <row r="2911" spans="1:6" x14ac:dyDescent="0.35">
      <c r="A2911">
        <f t="shared" si="145"/>
        <v>0</v>
      </c>
      <c r="B2911" t="str">
        <f t="shared" si="143"/>
        <v>B4</v>
      </c>
      <c r="C2911" s="14" t="s">
        <v>143</v>
      </c>
      <c r="D2911" s="18">
        <f>VLOOKUP(C2911,'DISTRIBUIÇÃO NF4267'!$E$3:$FQ$75,MATCH(B2911,'DISTRIBUIÇÃO NF4267'!$E$3:$FQ$3,0)+1,0)</f>
        <v>0</v>
      </c>
      <c r="F2911" s="28">
        <f t="shared" si="144"/>
        <v>3</v>
      </c>
    </row>
    <row r="2912" spans="1:6" x14ac:dyDescent="0.35">
      <c r="A2912">
        <f t="shared" si="145"/>
        <v>0</v>
      </c>
      <c r="B2912" t="str">
        <f t="shared" si="143"/>
        <v>B4</v>
      </c>
      <c r="C2912" s="15" t="s">
        <v>145</v>
      </c>
      <c r="D2912" s="18">
        <f>VLOOKUP(C2912,'DISTRIBUIÇÃO NF4267'!$E$3:$FQ$75,MATCH(B2912,'DISTRIBUIÇÃO NF4267'!$E$3:$FQ$3,0)+1,0)</f>
        <v>0</v>
      </c>
      <c r="F2912" s="28">
        <f t="shared" si="144"/>
        <v>3</v>
      </c>
    </row>
    <row r="2913" spans="1:6" x14ac:dyDescent="0.35">
      <c r="A2913">
        <f t="shared" si="145"/>
        <v>0</v>
      </c>
      <c r="B2913" t="str">
        <f t="shared" si="143"/>
        <v>B4</v>
      </c>
      <c r="C2913" s="15" t="s">
        <v>146</v>
      </c>
      <c r="D2913" s="18">
        <f>VLOOKUP(C2913,'DISTRIBUIÇÃO NF4267'!$E$3:$FQ$75,MATCH(B2913,'DISTRIBUIÇÃO NF4267'!$E$3:$FQ$3,0)+1,0)</f>
        <v>2</v>
      </c>
      <c r="F2913" s="28">
        <f t="shared" si="144"/>
        <v>3</v>
      </c>
    </row>
    <row r="2914" spans="1:6" x14ac:dyDescent="0.35">
      <c r="A2914">
        <f t="shared" si="145"/>
        <v>0</v>
      </c>
      <c r="B2914" t="str">
        <f t="shared" si="143"/>
        <v>B4</v>
      </c>
      <c r="C2914" s="15" t="s">
        <v>147</v>
      </c>
      <c r="D2914" s="18">
        <f>VLOOKUP(C2914,'DISTRIBUIÇÃO NF4267'!$E$3:$FQ$75,MATCH(B2914,'DISTRIBUIÇÃO NF4267'!$E$3:$FQ$3,0)+1,0)</f>
        <v>4</v>
      </c>
      <c r="F2914" s="28">
        <f t="shared" si="144"/>
        <v>3</v>
      </c>
    </row>
    <row r="2915" spans="1:6" x14ac:dyDescent="0.35">
      <c r="A2915">
        <f t="shared" si="145"/>
        <v>0</v>
      </c>
      <c r="B2915" t="str">
        <f t="shared" si="143"/>
        <v>B4</v>
      </c>
      <c r="C2915" s="15" t="s">
        <v>148</v>
      </c>
      <c r="D2915" s="18">
        <f>VLOOKUP(C2915,'DISTRIBUIÇÃO NF4267'!$E$3:$FQ$75,MATCH(B2915,'DISTRIBUIÇÃO NF4267'!$E$3:$FQ$3,0)+1,0)</f>
        <v>2</v>
      </c>
      <c r="F2915" s="28">
        <f t="shared" si="144"/>
        <v>3</v>
      </c>
    </row>
    <row r="2916" spans="1:6" x14ac:dyDescent="0.35">
      <c r="A2916">
        <f t="shared" si="145"/>
        <v>0</v>
      </c>
      <c r="B2916" t="str">
        <f t="shared" si="143"/>
        <v>B4</v>
      </c>
      <c r="C2916" s="15" t="s">
        <v>149</v>
      </c>
      <c r="D2916" s="18">
        <f>VLOOKUP(C2916,'DISTRIBUIÇÃO NF4267'!$E$3:$FQ$75,MATCH(B2916,'DISTRIBUIÇÃO NF4267'!$E$3:$FQ$3,0)+1,0)</f>
        <v>2</v>
      </c>
      <c r="F2916" s="28">
        <f t="shared" si="144"/>
        <v>3</v>
      </c>
    </row>
    <row r="2917" spans="1:6" x14ac:dyDescent="0.35">
      <c r="A2917">
        <f t="shared" si="145"/>
        <v>0</v>
      </c>
      <c r="B2917" t="str">
        <f t="shared" si="143"/>
        <v>B4</v>
      </c>
      <c r="C2917" s="15" t="s">
        <v>150</v>
      </c>
      <c r="D2917" s="18">
        <f>VLOOKUP(C2917,'DISTRIBUIÇÃO NF4267'!$E$3:$FQ$75,MATCH(B2917,'DISTRIBUIÇÃO NF4267'!$E$3:$FQ$3,0)+1,0)</f>
        <v>0</v>
      </c>
      <c r="F2917" s="28">
        <f t="shared" si="144"/>
        <v>3</v>
      </c>
    </row>
    <row r="2918" spans="1:6" x14ac:dyDescent="0.35">
      <c r="A2918">
        <f t="shared" si="145"/>
        <v>0</v>
      </c>
      <c r="B2918" t="s">
        <v>64</v>
      </c>
      <c r="C2918" s="7" t="s">
        <v>98</v>
      </c>
      <c r="D2918" s="18">
        <f>VLOOKUP(C2918,'DISTRIBUIÇÃO NF4267'!$E$3:$FQ$75,MATCH(B2918,'DISTRIBUIÇÃO NF4267'!$E$3:$FQ$3,0)+1,0)</f>
        <v>0</v>
      </c>
      <c r="F2918" s="28">
        <f t="shared" si="144"/>
        <v>3</v>
      </c>
    </row>
    <row r="2919" spans="1:6" x14ac:dyDescent="0.35">
      <c r="A2919">
        <f t="shared" si="145"/>
        <v>0</v>
      </c>
      <c r="B2919" t="str">
        <f>B2918</f>
        <v>O7</v>
      </c>
      <c r="C2919" s="7" t="s">
        <v>99</v>
      </c>
      <c r="D2919" s="18">
        <f>VLOOKUP(C2919,'DISTRIBUIÇÃO NF4267'!$E$3:$FQ$75,MATCH(B2919,'DISTRIBUIÇÃO NF4267'!$E$3:$FQ$3,0)+1,0)</f>
        <v>4</v>
      </c>
      <c r="F2919" s="28">
        <f t="shared" si="144"/>
        <v>3</v>
      </c>
    </row>
    <row r="2920" spans="1:6" x14ac:dyDescent="0.35">
      <c r="A2920">
        <f t="shared" si="145"/>
        <v>0</v>
      </c>
      <c r="B2920" t="str">
        <f t="shared" ref="B2920:B2971" si="146">B2919</f>
        <v>O7</v>
      </c>
      <c r="C2920" s="7" t="s">
        <v>100</v>
      </c>
      <c r="D2920" s="18">
        <f>VLOOKUP(C2920,'DISTRIBUIÇÃO NF4267'!$E$3:$FQ$75,MATCH(B2920,'DISTRIBUIÇÃO NF4267'!$E$3:$FQ$3,0)+1,0)</f>
        <v>8</v>
      </c>
      <c r="F2920" s="28">
        <f t="shared" si="144"/>
        <v>3</v>
      </c>
    </row>
    <row r="2921" spans="1:6" x14ac:dyDescent="0.35">
      <c r="A2921">
        <f t="shared" si="145"/>
        <v>0</v>
      </c>
      <c r="B2921" t="str">
        <f t="shared" si="146"/>
        <v>O7</v>
      </c>
      <c r="C2921" s="7" t="s">
        <v>101</v>
      </c>
      <c r="D2921" s="18">
        <f>VLOOKUP(C2921,'DISTRIBUIÇÃO NF4267'!$E$3:$FQ$75,MATCH(B2921,'DISTRIBUIÇÃO NF4267'!$E$3:$FQ$3,0)+1,0)</f>
        <v>4</v>
      </c>
      <c r="F2921" s="28">
        <f t="shared" si="144"/>
        <v>3</v>
      </c>
    </row>
    <row r="2922" spans="1:6" x14ac:dyDescent="0.35">
      <c r="A2922">
        <f t="shared" si="145"/>
        <v>0</v>
      </c>
      <c r="B2922" t="str">
        <f t="shared" si="146"/>
        <v>O7</v>
      </c>
      <c r="C2922" s="7" t="s">
        <v>102</v>
      </c>
      <c r="D2922" s="18">
        <f>VLOOKUP(C2922,'DISTRIBUIÇÃO NF4267'!$E$3:$FQ$75,MATCH(B2922,'DISTRIBUIÇÃO NF4267'!$E$3:$FQ$3,0)+1,0)</f>
        <v>4</v>
      </c>
      <c r="F2922" s="28">
        <f t="shared" si="144"/>
        <v>3</v>
      </c>
    </row>
    <row r="2923" spans="1:6" x14ac:dyDescent="0.35">
      <c r="A2923">
        <f t="shared" si="145"/>
        <v>0</v>
      </c>
      <c r="B2923" t="str">
        <f t="shared" si="146"/>
        <v>O7</v>
      </c>
      <c r="C2923" s="7" t="s">
        <v>103</v>
      </c>
      <c r="D2923" s="18">
        <f>VLOOKUP(C2923,'DISTRIBUIÇÃO NF4267'!$E$3:$FQ$75,MATCH(B2923,'DISTRIBUIÇÃO NF4267'!$E$3:$FQ$3,0)+1,0)</f>
        <v>0</v>
      </c>
      <c r="F2923" s="28">
        <f t="shared" si="144"/>
        <v>3</v>
      </c>
    </row>
    <row r="2924" spans="1:6" x14ac:dyDescent="0.35">
      <c r="A2924">
        <f t="shared" si="145"/>
        <v>0</v>
      </c>
      <c r="B2924" t="str">
        <f t="shared" si="146"/>
        <v>O7</v>
      </c>
      <c r="C2924" s="8" t="s">
        <v>107</v>
      </c>
      <c r="D2924" s="18">
        <f>VLOOKUP(C2924,'DISTRIBUIÇÃO NF4267'!$E$3:$FQ$75,MATCH(B2924,'DISTRIBUIÇÃO NF4267'!$E$3:$FQ$3,0)+1,0)</f>
        <v>0</v>
      </c>
      <c r="F2924" s="28">
        <f t="shared" si="144"/>
        <v>3</v>
      </c>
    </row>
    <row r="2925" spans="1:6" x14ac:dyDescent="0.35">
      <c r="A2925">
        <f t="shared" si="145"/>
        <v>0</v>
      </c>
      <c r="B2925" t="str">
        <f t="shared" si="146"/>
        <v>O7</v>
      </c>
      <c r="C2925" s="8" t="s">
        <v>108</v>
      </c>
      <c r="D2925" s="18">
        <f>VLOOKUP(C2925,'DISTRIBUIÇÃO NF4267'!$E$3:$FQ$75,MATCH(B2925,'DISTRIBUIÇÃO NF4267'!$E$3:$FQ$3,0)+1,0)</f>
        <v>2</v>
      </c>
      <c r="F2925" s="28">
        <f t="shared" si="144"/>
        <v>3</v>
      </c>
    </row>
    <row r="2926" spans="1:6" x14ac:dyDescent="0.35">
      <c r="A2926">
        <f t="shared" si="145"/>
        <v>0</v>
      </c>
      <c r="B2926" t="str">
        <f t="shared" si="146"/>
        <v>O7</v>
      </c>
      <c r="C2926" s="8" t="s">
        <v>109</v>
      </c>
      <c r="D2926" s="18">
        <f>VLOOKUP(C2926,'DISTRIBUIÇÃO NF4267'!$E$3:$FQ$75,MATCH(B2926,'DISTRIBUIÇÃO NF4267'!$E$3:$FQ$3,0)+1,0)</f>
        <v>4</v>
      </c>
      <c r="F2926" s="28">
        <f t="shared" si="144"/>
        <v>3</v>
      </c>
    </row>
    <row r="2927" spans="1:6" x14ac:dyDescent="0.35">
      <c r="A2927">
        <f t="shared" si="145"/>
        <v>0</v>
      </c>
      <c r="B2927" t="str">
        <f t="shared" si="146"/>
        <v>O7</v>
      </c>
      <c r="C2927" s="8" t="s">
        <v>110</v>
      </c>
      <c r="D2927" s="18">
        <f>VLOOKUP(C2927,'DISTRIBUIÇÃO NF4267'!$E$3:$FQ$75,MATCH(B2927,'DISTRIBUIÇÃO NF4267'!$E$3:$FQ$3,0)+1,0)</f>
        <v>2</v>
      </c>
      <c r="F2927" s="28">
        <f t="shared" si="144"/>
        <v>3</v>
      </c>
    </row>
    <row r="2928" spans="1:6" x14ac:dyDescent="0.35">
      <c r="A2928">
        <f t="shared" si="145"/>
        <v>0</v>
      </c>
      <c r="B2928" t="str">
        <f t="shared" si="146"/>
        <v>O7</v>
      </c>
      <c r="C2928" s="8" t="s">
        <v>111</v>
      </c>
      <c r="D2928" s="18">
        <f>VLOOKUP(C2928,'DISTRIBUIÇÃO NF4267'!$E$3:$FQ$75,MATCH(B2928,'DISTRIBUIÇÃO NF4267'!$E$3:$FQ$3,0)+1,0)</f>
        <v>2</v>
      </c>
      <c r="F2928" s="28">
        <f t="shared" si="144"/>
        <v>3</v>
      </c>
    </row>
    <row r="2929" spans="1:6" x14ac:dyDescent="0.35">
      <c r="A2929">
        <f t="shared" si="145"/>
        <v>0</v>
      </c>
      <c r="B2929" t="str">
        <f t="shared" si="146"/>
        <v>O7</v>
      </c>
      <c r="C2929" s="8" t="s">
        <v>112</v>
      </c>
      <c r="D2929" s="18">
        <f>VLOOKUP(C2929,'DISTRIBUIÇÃO NF4267'!$E$3:$FQ$75,MATCH(B2929,'DISTRIBUIÇÃO NF4267'!$E$3:$FQ$3,0)+1,0)</f>
        <v>0</v>
      </c>
      <c r="F2929" s="28">
        <f t="shared" si="144"/>
        <v>3</v>
      </c>
    </row>
    <row r="2930" spans="1:6" x14ac:dyDescent="0.35">
      <c r="A2930">
        <f t="shared" si="145"/>
        <v>0</v>
      </c>
      <c r="B2930" t="str">
        <f t="shared" si="146"/>
        <v>O7</v>
      </c>
      <c r="C2930" s="9" t="s">
        <v>113</v>
      </c>
      <c r="D2930" s="18">
        <f>VLOOKUP(C2930,'DISTRIBUIÇÃO NF4267'!$E$3:$FQ$75,MATCH(B2930,'DISTRIBUIÇÃO NF4267'!$E$3:$FQ$3,0)+1,0)</f>
        <v>0</v>
      </c>
      <c r="F2930" s="28">
        <f t="shared" si="144"/>
        <v>3</v>
      </c>
    </row>
    <row r="2931" spans="1:6" x14ac:dyDescent="0.35">
      <c r="A2931">
        <f t="shared" si="145"/>
        <v>0</v>
      </c>
      <c r="B2931" t="str">
        <f t="shared" si="146"/>
        <v>O7</v>
      </c>
      <c r="C2931" s="9" t="s">
        <v>114</v>
      </c>
      <c r="D2931" s="18">
        <f>VLOOKUP(C2931,'DISTRIBUIÇÃO NF4267'!$E$3:$FQ$75,MATCH(B2931,'DISTRIBUIÇÃO NF4267'!$E$3:$FQ$3,0)+1,0)</f>
        <v>3</v>
      </c>
      <c r="F2931" s="28">
        <f t="shared" si="144"/>
        <v>3</v>
      </c>
    </row>
    <row r="2932" spans="1:6" x14ac:dyDescent="0.35">
      <c r="A2932">
        <f t="shared" si="145"/>
        <v>0</v>
      </c>
      <c r="B2932" t="str">
        <f t="shared" si="146"/>
        <v>O7</v>
      </c>
      <c r="C2932" s="9" t="s">
        <v>115</v>
      </c>
      <c r="D2932" s="18">
        <f>VLOOKUP(C2932,'DISTRIBUIÇÃO NF4267'!$E$3:$FQ$75,MATCH(B2932,'DISTRIBUIÇÃO NF4267'!$E$3:$FQ$3,0)+1,0)</f>
        <v>4</v>
      </c>
      <c r="F2932" s="28">
        <f t="shared" si="144"/>
        <v>3</v>
      </c>
    </row>
    <row r="2933" spans="1:6" x14ac:dyDescent="0.35">
      <c r="A2933">
        <f t="shared" si="145"/>
        <v>0</v>
      </c>
      <c r="B2933" t="str">
        <f t="shared" si="146"/>
        <v>O7</v>
      </c>
      <c r="C2933" s="9" t="s">
        <v>116</v>
      </c>
      <c r="D2933" s="18">
        <f>VLOOKUP(C2933,'DISTRIBUIÇÃO NF4267'!$E$3:$FQ$75,MATCH(B2933,'DISTRIBUIÇÃO NF4267'!$E$3:$FQ$3,0)+1,0)</f>
        <v>2</v>
      </c>
      <c r="F2933" s="28">
        <f t="shared" si="144"/>
        <v>3</v>
      </c>
    </row>
    <row r="2934" spans="1:6" x14ac:dyDescent="0.35">
      <c r="A2934">
        <f t="shared" si="145"/>
        <v>0</v>
      </c>
      <c r="B2934" t="str">
        <f t="shared" si="146"/>
        <v>O7</v>
      </c>
      <c r="C2934" s="9" t="s">
        <v>117</v>
      </c>
      <c r="D2934" s="18">
        <f>VLOOKUP(C2934,'DISTRIBUIÇÃO NF4267'!$E$3:$FQ$75,MATCH(B2934,'DISTRIBUIÇÃO NF4267'!$E$3:$FQ$3,0)+1,0)</f>
        <v>1</v>
      </c>
      <c r="F2934" s="28">
        <f t="shared" si="144"/>
        <v>3</v>
      </c>
    </row>
    <row r="2935" spans="1:6" x14ac:dyDescent="0.35">
      <c r="A2935">
        <f t="shared" si="145"/>
        <v>0</v>
      </c>
      <c r="B2935" t="str">
        <f t="shared" si="146"/>
        <v>O7</v>
      </c>
      <c r="C2935" s="9" t="s">
        <v>118</v>
      </c>
      <c r="D2935" s="18">
        <f>VLOOKUP(C2935,'DISTRIBUIÇÃO NF4267'!$E$3:$FQ$75,MATCH(B2935,'DISTRIBUIÇÃO NF4267'!$E$3:$FQ$3,0)+1,0)</f>
        <v>0</v>
      </c>
      <c r="F2935" s="28">
        <f t="shared" si="144"/>
        <v>3</v>
      </c>
    </row>
    <row r="2936" spans="1:6" x14ac:dyDescent="0.35">
      <c r="A2936">
        <f t="shared" si="145"/>
        <v>0</v>
      </c>
      <c r="B2936" t="str">
        <f t="shared" si="146"/>
        <v>O7</v>
      </c>
      <c r="C2936" s="10" t="s">
        <v>119</v>
      </c>
      <c r="D2936" s="18">
        <f>VLOOKUP(C2936,'DISTRIBUIÇÃO NF4267'!$E$3:$FQ$75,MATCH(B2936,'DISTRIBUIÇÃO NF4267'!$E$3:$FQ$3,0)+1,0)</f>
        <v>0</v>
      </c>
      <c r="F2936" s="28">
        <f t="shared" ref="F2936:F2999" si="147">ROUNDUP(SUMIFS(D:D,B:B,B2936)/80,0)</f>
        <v>3</v>
      </c>
    </row>
    <row r="2937" spans="1:6" x14ac:dyDescent="0.35">
      <c r="A2937">
        <f t="shared" si="145"/>
        <v>0</v>
      </c>
      <c r="B2937" t="str">
        <f t="shared" si="146"/>
        <v>O7</v>
      </c>
      <c r="C2937" s="10" t="s">
        <v>120</v>
      </c>
      <c r="D2937" s="18">
        <f>VLOOKUP(C2937,'DISTRIBUIÇÃO NF4267'!$E$3:$FQ$75,MATCH(B2937,'DISTRIBUIÇÃO NF4267'!$E$3:$FQ$3,0)+1,0)</f>
        <v>48</v>
      </c>
      <c r="F2937" s="28">
        <f t="shared" si="147"/>
        <v>3</v>
      </c>
    </row>
    <row r="2938" spans="1:6" x14ac:dyDescent="0.35">
      <c r="A2938">
        <f t="shared" si="145"/>
        <v>0</v>
      </c>
      <c r="B2938" t="str">
        <f t="shared" si="146"/>
        <v>O7</v>
      </c>
      <c r="C2938" s="10" t="s">
        <v>121</v>
      </c>
      <c r="D2938" s="18">
        <f>VLOOKUP(C2938,'DISTRIBUIÇÃO NF4267'!$E$3:$FQ$75,MATCH(B2938,'DISTRIBUIÇÃO NF4267'!$E$3:$FQ$3,0)+1,0)</f>
        <v>16</v>
      </c>
      <c r="F2938" s="28">
        <f t="shared" si="147"/>
        <v>3</v>
      </c>
    </row>
    <row r="2939" spans="1:6" x14ac:dyDescent="0.35">
      <c r="A2939">
        <f t="shared" si="145"/>
        <v>0</v>
      </c>
      <c r="B2939" t="str">
        <f t="shared" si="146"/>
        <v>O7</v>
      </c>
      <c r="C2939" s="10" t="s">
        <v>122</v>
      </c>
      <c r="D2939" s="18">
        <f>VLOOKUP(C2939,'DISTRIBUIÇÃO NF4267'!$E$3:$FQ$75,MATCH(B2939,'DISTRIBUIÇÃO NF4267'!$E$3:$FQ$3,0)+1,0)</f>
        <v>16</v>
      </c>
      <c r="F2939" s="28">
        <f t="shared" si="147"/>
        <v>3</v>
      </c>
    </row>
    <row r="2940" spans="1:6" x14ac:dyDescent="0.35">
      <c r="A2940">
        <f t="shared" si="145"/>
        <v>0</v>
      </c>
      <c r="B2940" t="str">
        <f t="shared" si="146"/>
        <v>O7</v>
      </c>
      <c r="C2940" s="10" t="s">
        <v>123</v>
      </c>
      <c r="D2940" s="18">
        <f>VLOOKUP(C2940,'DISTRIBUIÇÃO NF4267'!$E$3:$FQ$75,MATCH(B2940,'DISTRIBUIÇÃO NF4267'!$E$3:$FQ$3,0)+1,0)</f>
        <v>0</v>
      </c>
      <c r="F2940" s="28">
        <f t="shared" si="147"/>
        <v>3</v>
      </c>
    </row>
    <row r="2941" spans="1:6" x14ac:dyDescent="0.35">
      <c r="A2941">
        <f t="shared" si="145"/>
        <v>0</v>
      </c>
      <c r="B2941" t="str">
        <f t="shared" si="146"/>
        <v>O7</v>
      </c>
      <c r="C2941" s="10" t="s">
        <v>124</v>
      </c>
      <c r="D2941" s="18">
        <f>VLOOKUP(C2941,'DISTRIBUIÇÃO NF4267'!$E$3:$FQ$75,MATCH(B2941,'DISTRIBUIÇÃO NF4267'!$E$3:$FQ$3,0)+1,0)</f>
        <v>0</v>
      </c>
      <c r="F2941" s="28">
        <f t="shared" si="147"/>
        <v>3</v>
      </c>
    </row>
    <row r="2942" spans="1:6" x14ac:dyDescent="0.35">
      <c r="A2942">
        <f t="shared" si="145"/>
        <v>0</v>
      </c>
      <c r="B2942" t="str">
        <f t="shared" si="146"/>
        <v>O7</v>
      </c>
      <c r="C2942" s="11" t="s">
        <v>16</v>
      </c>
      <c r="D2942" s="18">
        <f>VLOOKUP(C2942,'DISTRIBUIÇÃO NF4267'!$E$3:$FQ$75,MATCH(B2942,'DISTRIBUIÇÃO NF4267'!$E$3:$FQ$3,0)+1,0)</f>
        <v>0</v>
      </c>
      <c r="F2942" s="28">
        <f t="shared" si="147"/>
        <v>3</v>
      </c>
    </row>
    <row r="2943" spans="1:6" x14ac:dyDescent="0.35">
      <c r="A2943">
        <f t="shared" si="145"/>
        <v>0</v>
      </c>
      <c r="B2943" t="str">
        <f t="shared" si="146"/>
        <v>O7</v>
      </c>
      <c r="C2943" s="11" t="s">
        <v>17</v>
      </c>
      <c r="D2943" s="18">
        <f>VLOOKUP(C2943,'DISTRIBUIÇÃO NF4267'!$E$3:$FQ$75,MATCH(B2943,'DISTRIBUIÇÃO NF4267'!$E$3:$FQ$3,0)+1,0)</f>
        <v>9</v>
      </c>
      <c r="F2943" s="28">
        <f t="shared" si="147"/>
        <v>3</v>
      </c>
    </row>
    <row r="2944" spans="1:6" x14ac:dyDescent="0.35">
      <c r="A2944">
        <f t="shared" si="145"/>
        <v>0</v>
      </c>
      <c r="B2944" t="str">
        <f t="shared" si="146"/>
        <v>O7</v>
      </c>
      <c r="C2944" s="11" t="s">
        <v>18</v>
      </c>
      <c r="D2944" s="18">
        <f>VLOOKUP(C2944,'DISTRIBUIÇÃO NF4267'!$E$3:$FQ$75,MATCH(B2944,'DISTRIBUIÇÃO NF4267'!$E$3:$FQ$3,0)+1,0)</f>
        <v>3</v>
      </c>
      <c r="F2944" s="28">
        <f t="shared" si="147"/>
        <v>3</v>
      </c>
    </row>
    <row r="2945" spans="1:6" x14ac:dyDescent="0.35">
      <c r="A2945">
        <f t="shared" si="145"/>
        <v>0</v>
      </c>
      <c r="B2945" t="str">
        <f t="shared" si="146"/>
        <v>O7</v>
      </c>
      <c r="C2945" s="11" t="s">
        <v>19</v>
      </c>
      <c r="D2945" s="18">
        <f>VLOOKUP(C2945,'DISTRIBUIÇÃO NF4267'!$E$3:$FQ$75,MATCH(B2945,'DISTRIBUIÇÃO NF4267'!$E$3:$FQ$3,0)+1,0)</f>
        <v>3</v>
      </c>
      <c r="F2945" s="28">
        <f t="shared" si="147"/>
        <v>3</v>
      </c>
    </row>
    <row r="2946" spans="1:6" x14ac:dyDescent="0.35">
      <c r="A2946">
        <f t="shared" ref="A2946:A3009" si="148">IF(ISERROR(VLOOKUP(C2946,I:I,1,0)),0,1)</f>
        <v>0</v>
      </c>
      <c r="B2946" t="str">
        <f t="shared" si="146"/>
        <v>O7</v>
      </c>
      <c r="C2946" s="11" t="s">
        <v>20</v>
      </c>
      <c r="D2946" s="18">
        <f>VLOOKUP(C2946,'DISTRIBUIÇÃO NF4267'!$E$3:$FQ$75,MATCH(B2946,'DISTRIBUIÇÃO NF4267'!$E$3:$FQ$3,0)+1,0)</f>
        <v>15</v>
      </c>
      <c r="F2946" s="28">
        <f t="shared" si="147"/>
        <v>3</v>
      </c>
    </row>
    <row r="2947" spans="1:6" x14ac:dyDescent="0.35">
      <c r="A2947">
        <f t="shared" si="148"/>
        <v>0</v>
      </c>
      <c r="B2947" t="str">
        <f t="shared" si="146"/>
        <v>O7</v>
      </c>
      <c r="C2947" s="11" t="s">
        <v>21</v>
      </c>
      <c r="D2947" s="18">
        <f>VLOOKUP(C2947,'DISTRIBUIÇÃO NF4267'!$E$3:$FQ$75,MATCH(B2947,'DISTRIBUIÇÃO NF4267'!$E$3:$FQ$3,0)+1,0)</f>
        <v>0</v>
      </c>
      <c r="F2947" s="28">
        <f t="shared" si="147"/>
        <v>3</v>
      </c>
    </row>
    <row r="2948" spans="1:6" x14ac:dyDescent="0.35">
      <c r="A2948">
        <f t="shared" si="148"/>
        <v>0</v>
      </c>
      <c r="B2948" t="str">
        <f t="shared" si="146"/>
        <v>O7</v>
      </c>
      <c r="C2948" s="12" t="s">
        <v>130</v>
      </c>
      <c r="D2948" s="18">
        <f>VLOOKUP(C2948,'DISTRIBUIÇÃO NF4267'!$E$3:$FQ$75,MATCH(B2948,'DISTRIBUIÇÃO NF4267'!$E$3:$FQ$3,0)+1,0)</f>
        <v>0</v>
      </c>
      <c r="F2948" s="28">
        <f t="shared" si="147"/>
        <v>3</v>
      </c>
    </row>
    <row r="2949" spans="1:6" x14ac:dyDescent="0.35">
      <c r="A2949">
        <f t="shared" si="148"/>
        <v>0</v>
      </c>
      <c r="B2949" t="str">
        <f t="shared" si="146"/>
        <v>O7</v>
      </c>
      <c r="C2949" s="12" t="s">
        <v>131</v>
      </c>
      <c r="D2949" s="18">
        <f>VLOOKUP(C2949,'DISTRIBUIÇÃO NF4267'!$E$3:$FQ$75,MATCH(B2949,'DISTRIBUIÇÃO NF4267'!$E$3:$FQ$3,0)+1,0)</f>
        <v>0</v>
      </c>
      <c r="F2949" s="28">
        <f t="shared" si="147"/>
        <v>3</v>
      </c>
    </row>
    <row r="2950" spans="1:6" x14ac:dyDescent="0.35">
      <c r="A2950">
        <f t="shared" si="148"/>
        <v>0</v>
      </c>
      <c r="B2950" t="str">
        <f t="shared" si="146"/>
        <v>O7</v>
      </c>
      <c r="C2950" s="12" t="s">
        <v>132</v>
      </c>
      <c r="D2950" s="18">
        <f>VLOOKUP(C2950,'DISTRIBUIÇÃO NF4267'!$E$3:$FQ$75,MATCH(B2950,'DISTRIBUIÇÃO NF4267'!$E$3:$FQ$3,0)+1,0)</f>
        <v>0</v>
      </c>
      <c r="F2950" s="28">
        <f t="shared" si="147"/>
        <v>3</v>
      </c>
    </row>
    <row r="2951" spans="1:6" x14ac:dyDescent="0.35">
      <c r="A2951">
        <f t="shared" si="148"/>
        <v>0</v>
      </c>
      <c r="B2951" t="str">
        <f t="shared" si="146"/>
        <v>O7</v>
      </c>
      <c r="C2951" s="12" t="s">
        <v>133</v>
      </c>
      <c r="D2951" s="18">
        <f>VLOOKUP(C2951,'DISTRIBUIÇÃO NF4267'!$E$3:$FQ$75,MATCH(B2951,'DISTRIBUIÇÃO NF4267'!$E$3:$FQ$3,0)+1,0)</f>
        <v>0</v>
      </c>
      <c r="F2951" s="28">
        <f t="shared" si="147"/>
        <v>3</v>
      </c>
    </row>
    <row r="2952" spans="1:6" x14ac:dyDescent="0.35">
      <c r="A2952">
        <f t="shared" si="148"/>
        <v>0</v>
      </c>
      <c r="B2952" t="str">
        <f t="shared" si="146"/>
        <v>O7</v>
      </c>
      <c r="C2952" s="12" t="s">
        <v>134</v>
      </c>
      <c r="D2952" s="18">
        <f>VLOOKUP(C2952,'DISTRIBUIÇÃO NF4267'!$E$3:$FQ$75,MATCH(B2952,'DISTRIBUIÇÃO NF4267'!$E$3:$FQ$3,0)+1,0)</f>
        <v>0</v>
      </c>
      <c r="F2952" s="28">
        <f t="shared" si="147"/>
        <v>3</v>
      </c>
    </row>
    <row r="2953" spans="1:6" x14ac:dyDescent="0.35">
      <c r="A2953">
        <f t="shared" si="148"/>
        <v>0</v>
      </c>
      <c r="B2953" t="str">
        <f t="shared" si="146"/>
        <v>O7</v>
      </c>
      <c r="C2953" s="12" t="s">
        <v>135</v>
      </c>
      <c r="D2953" s="18">
        <f>VLOOKUP(C2953,'DISTRIBUIÇÃO NF4267'!$E$3:$FQ$75,MATCH(B2953,'DISTRIBUIÇÃO NF4267'!$E$3:$FQ$3,0)+1,0)</f>
        <v>0</v>
      </c>
      <c r="F2953" s="28">
        <f t="shared" si="147"/>
        <v>3</v>
      </c>
    </row>
    <row r="2954" spans="1:6" x14ac:dyDescent="0.35">
      <c r="A2954">
        <f t="shared" si="148"/>
        <v>0</v>
      </c>
      <c r="B2954" t="str">
        <f t="shared" si="146"/>
        <v>O7</v>
      </c>
      <c r="C2954" s="13" t="s">
        <v>22</v>
      </c>
      <c r="D2954" s="18">
        <f>VLOOKUP(C2954,'DISTRIBUIÇÃO NF4267'!$E$3:$FQ$75,MATCH(B2954,'DISTRIBUIÇÃO NF4267'!$E$3:$FQ$3,0)+1,0)</f>
        <v>0</v>
      </c>
      <c r="F2954" s="28">
        <f t="shared" si="147"/>
        <v>3</v>
      </c>
    </row>
    <row r="2955" spans="1:6" x14ac:dyDescent="0.35">
      <c r="A2955">
        <f t="shared" si="148"/>
        <v>0</v>
      </c>
      <c r="B2955" t="str">
        <f t="shared" si="146"/>
        <v>O7</v>
      </c>
      <c r="C2955" s="13" t="s">
        <v>23</v>
      </c>
      <c r="D2955" s="18">
        <f>VLOOKUP(C2955,'DISTRIBUIÇÃO NF4267'!$E$3:$FQ$75,MATCH(B2955,'DISTRIBUIÇÃO NF4267'!$E$3:$FQ$3,0)+1,0)</f>
        <v>0</v>
      </c>
      <c r="F2955" s="28">
        <f t="shared" si="147"/>
        <v>3</v>
      </c>
    </row>
    <row r="2956" spans="1:6" x14ac:dyDescent="0.35">
      <c r="A2956">
        <f t="shared" si="148"/>
        <v>0</v>
      </c>
      <c r="B2956" t="str">
        <f t="shared" si="146"/>
        <v>O7</v>
      </c>
      <c r="C2956" s="13" t="s">
        <v>24</v>
      </c>
      <c r="D2956" s="18">
        <f>VLOOKUP(C2956,'DISTRIBUIÇÃO NF4267'!$E$3:$FQ$75,MATCH(B2956,'DISTRIBUIÇÃO NF4267'!$E$3:$FQ$3,0)+1,0)</f>
        <v>0</v>
      </c>
      <c r="F2956" s="28">
        <f t="shared" si="147"/>
        <v>3</v>
      </c>
    </row>
    <row r="2957" spans="1:6" x14ac:dyDescent="0.35">
      <c r="A2957">
        <f t="shared" si="148"/>
        <v>0</v>
      </c>
      <c r="B2957" t="str">
        <f t="shared" si="146"/>
        <v>O7</v>
      </c>
      <c r="C2957" s="13" t="s">
        <v>25</v>
      </c>
      <c r="D2957" s="18">
        <f>VLOOKUP(C2957,'DISTRIBUIÇÃO NF4267'!$E$3:$FQ$75,MATCH(B2957,'DISTRIBUIÇÃO NF4267'!$E$3:$FQ$3,0)+1,0)</f>
        <v>0</v>
      </c>
      <c r="F2957" s="28">
        <f t="shared" si="147"/>
        <v>3</v>
      </c>
    </row>
    <row r="2958" spans="1:6" x14ac:dyDescent="0.35">
      <c r="A2958">
        <f t="shared" si="148"/>
        <v>0</v>
      </c>
      <c r="B2958" t="str">
        <f t="shared" si="146"/>
        <v>O7</v>
      </c>
      <c r="C2958" s="13" t="s">
        <v>26</v>
      </c>
      <c r="D2958" s="18">
        <f>VLOOKUP(C2958,'DISTRIBUIÇÃO NF4267'!$E$3:$FQ$75,MATCH(B2958,'DISTRIBUIÇÃO NF4267'!$E$3:$FQ$3,0)+1,0)</f>
        <v>0</v>
      </c>
      <c r="F2958" s="28">
        <f t="shared" si="147"/>
        <v>3</v>
      </c>
    </row>
    <row r="2959" spans="1:6" x14ac:dyDescent="0.35">
      <c r="A2959">
        <f t="shared" si="148"/>
        <v>0</v>
      </c>
      <c r="B2959" t="str">
        <f t="shared" si="146"/>
        <v>O7</v>
      </c>
      <c r="C2959" s="13" t="s">
        <v>27</v>
      </c>
      <c r="D2959" s="18">
        <f>VLOOKUP(C2959,'DISTRIBUIÇÃO NF4267'!$E$3:$FQ$75,MATCH(B2959,'DISTRIBUIÇÃO NF4267'!$E$3:$FQ$3,0)+1,0)</f>
        <v>0</v>
      </c>
      <c r="F2959" s="28">
        <f t="shared" si="147"/>
        <v>3</v>
      </c>
    </row>
    <row r="2960" spans="1:6" x14ac:dyDescent="0.35">
      <c r="A2960">
        <f t="shared" si="148"/>
        <v>0</v>
      </c>
      <c r="B2960" t="str">
        <f t="shared" si="146"/>
        <v>O7</v>
      </c>
      <c r="C2960" s="14" t="s">
        <v>138</v>
      </c>
      <c r="D2960" s="18">
        <f>VLOOKUP(C2960,'DISTRIBUIÇÃO NF4267'!$E$3:$FQ$75,MATCH(B2960,'DISTRIBUIÇÃO NF4267'!$E$3:$FQ$3,0)+1,0)</f>
        <v>0</v>
      </c>
      <c r="F2960" s="28">
        <f t="shared" si="147"/>
        <v>3</v>
      </c>
    </row>
    <row r="2961" spans="1:6" x14ac:dyDescent="0.35">
      <c r="A2961">
        <f t="shared" si="148"/>
        <v>0</v>
      </c>
      <c r="B2961" t="str">
        <f t="shared" si="146"/>
        <v>O7</v>
      </c>
      <c r="C2961" s="14" t="s">
        <v>139</v>
      </c>
      <c r="D2961" s="18">
        <f>VLOOKUP(C2961,'DISTRIBUIÇÃO NF4267'!$E$3:$FQ$75,MATCH(B2961,'DISTRIBUIÇÃO NF4267'!$E$3:$FQ$3,0)+1,0)</f>
        <v>2</v>
      </c>
      <c r="F2961" s="28">
        <f t="shared" si="147"/>
        <v>3</v>
      </c>
    </row>
    <row r="2962" spans="1:6" x14ac:dyDescent="0.35">
      <c r="A2962">
        <f t="shared" si="148"/>
        <v>0</v>
      </c>
      <c r="B2962" t="str">
        <f t="shared" si="146"/>
        <v>O7</v>
      </c>
      <c r="C2962" s="14" t="s">
        <v>140</v>
      </c>
      <c r="D2962" s="18">
        <f>VLOOKUP(C2962,'DISTRIBUIÇÃO NF4267'!$E$3:$FQ$75,MATCH(B2962,'DISTRIBUIÇÃO NF4267'!$E$3:$FQ$3,0)+1,0)</f>
        <v>4</v>
      </c>
      <c r="F2962" s="28">
        <f t="shared" si="147"/>
        <v>3</v>
      </c>
    </row>
    <row r="2963" spans="1:6" x14ac:dyDescent="0.35">
      <c r="A2963">
        <f t="shared" si="148"/>
        <v>0</v>
      </c>
      <c r="B2963" t="str">
        <f t="shared" si="146"/>
        <v>O7</v>
      </c>
      <c r="C2963" s="14" t="s">
        <v>141</v>
      </c>
      <c r="D2963" s="18">
        <f>VLOOKUP(C2963,'DISTRIBUIÇÃO NF4267'!$E$3:$FQ$75,MATCH(B2963,'DISTRIBUIÇÃO NF4267'!$E$3:$FQ$3,0)+1,0)</f>
        <v>2</v>
      </c>
      <c r="F2963" s="28">
        <f t="shared" si="147"/>
        <v>3</v>
      </c>
    </row>
    <row r="2964" spans="1:6" x14ac:dyDescent="0.35">
      <c r="A2964">
        <f t="shared" si="148"/>
        <v>0</v>
      </c>
      <c r="B2964" t="str">
        <f t="shared" si="146"/>
        <v>O7</v>
      </c>
      <c r="C2964" s="14" t="s">
        <v>142</v>
      </c>
      <c r="D2964" s="18">
        <f>VLOOKUP(C2964,'DISTRIBUIÇÃO NF4267'!$E$3:$FQ$75,MATCH(B2964,'DISTRIBUIÇÃO NF4267'!$E$3:$FQ$3,0)+1,0)</f>
        <v>2</v>
      </c>
      <c r="F2964" s="28">
        <f t="shared" si="147"/>
        <v>3</v>
      </c>
    </row>
    <row r="2965" spans="1:6" x14ac:dyDescent="0.35">
      <c r="A2965">
        <f t="shared" si="148"/>
        <v>0</v>
      </c>
      <c r="B2965" t="str">
        <f t="shared" si="146"/>
        <v>O7</v>
      </c>
      <c r="C2965" s="14" t="s">
        <v>143</v>
      </c>
      <c r="D2965" s="18">
        <f>VLOOKUP(C2965,'DISTRIBUIÇÃO NF4267'!$E$3:$FQ$75,MATCH(B2965,'DISTRIBUIÇÃO NF4267'!$E$3:$FQ$3,0)+1,0)</f>
        <v>0</v>
      </c>
      <c r="F2965" s="28">
        <f t="shared" si="147"/>
        <v>3</v>
      </c>
    </row>
    <row r="2966" spans="1:6" x14ac:dyDescent="0.35">
      <c r="A2966">
        <f t="shared" si="148"/>
        <v>0</v>
      </c>
      <c r="B2966" t="str">
        <f t="shared" si="146"/>
        <v>O7</v>
      </c>
      <c r="C2966" s="15" t="s">
        <v>145</v>
      </c>
      <c r="D2966" s="18">
        <f>VLOOKUP(C2966,'DISTRIBUIÇÃO NF4267'!$E$3:$FQ$75,MATCH(B2966,'DISTRIBUIÇÃO NF4267'!$E$3:$FQ$3,0)+1,0)</f>
        <v>0</v>
      </c>
      <c r="F2966" s="28">
        <f t="shared" si="147"/>
        <v>3</v>
      </c>
    </row>
    <row r="2967" spans="1:6" x14ac:dyDescent="0.35">
      <c r="A2967">
        <f t="shared" si="148"/>
        <v>0</v>
      </c>
      <c r="B2967" t="str">
        <f t="shared" si="146"/>
        <v>O7</v>
      </c>
      <c r="C2967" s="15" t="s">
        <v>146</v>
      </c>
      <c r="D2967" s="18">
        <f>VLOOKUP(C2967,'DISTRIBUIÇÃO NF4267'!$E$3:$FQ$75,MATCH(B2967,'DISTRIBUIÇÃO NF4267'!$E$3:$FQ$3,0)+1,0)</f>
        <v>2</v>
      </c>
      <c r="F2967" s="28">
        <f t="shared" si="147"/>
        <v>3</v>
      </c>
    </row>
    <row r="2968" spans="1:6" x14ac:dyDescent="0.35">
      <c r="A2968">
        <f t="shared" si="148"/>
        <v>0</v>
      </c>
      <c r="B2968" t="str">
        <f t="shared" si="146"/>
        <v>O7</v>
      </c>
      <c r="C2968" s="15" t="s">
        <v>147</v>
      </c>
      <c r="D2968" s="18">
        <f>VLOOKUP(C2968,'DISTRIBUIÇÃO NF4267'!$E$3:$FQ$75,MATCH(B2968,'DISTRIBUIÇÃO NF4267'!$E$3:$FQ$3,0)+1,0)</f>
        <v>4</v>
      </c>
      <c r="F2968" s="28">
        <f t="shared" si="147"/>
        <v>3</v>
      </c>
    </row>
    <row r="2969" spans="1:6" x14ac:dyDescent="0.35">
      <c r="A2969">
        <f t="shared" si="148"/>
        <v>0</v>
      </c>
      <c r="B2969" t="str">
        <f t="shared" si="146"/>
        <v>O7</v>
      </c>
      <c r="C2969" s="15" t="s">
        <v>148</v>
      </c>
      <c r="D2969" s="18">
        <f>VLOOKUP(C2969,'DISTRIBUIÇÃO NF4267'!$E$3:$FQ$75,MATCH(B2969,'DISTRIBUIÇÃO NF4267'!$E$3:$FQ$3,0)+1,0)</f>
        <v>2</v>
      </c>
      <c r="F2969" s="28">
        <f t="shared" si="147"/>
        <v>3</v>
      </c>
    </row>
    <row r="2970" spans="1:6" x14ac:dyDescent="0.35">
      <c r="A2970">
        <f t="shared" si="148"/>
        <v>0</v>
      </c>
      <c r="B2970" t="str">
        <f t="shared" si="146"/>
        <v>O7</v>
      </c>
      <c r="C2970" s="15" t="s">
        <v>149</v>
      </c>
      <c r="D2970" s="18">
        <f>VLOOKUP(C2970,'DISTRIBUIÇÃO NF4267'!$E$3:$FQ$75,MATCH(B2970,'DISTRIBUIÇÃO NF4267'!$E$3:$FQ$3,0)+1,0)</f>
        <v>2</v>
      </c>
      <c r="F2970" s="28">
        <f t="shared" si="147"/>
        <v>3</v>
      </c>
    </row>
    <row r="2971" spans="1:6" x14ac:dyDescent="0.35">
      <c r="A2971">
        <f t="shared" si="148"/>
        <v>0</v>
      </c>
      <c r="B2971" t="str">
        <f t="shared" si="146"/>
        <v>O7</v>
      </c>
      <c r="C2971" s="15" t="s">
        <v>150</v>
      </c>
      <c r="D2971" s="18">
        <f>VLOOKUP(C2971,'DISTRIBUIÇÃO NF4267'!$E$3:$FQ$75,MATCH(B2971,'DISTRIBUIÇÃO NF4267'!$E$3:$FQ$3,0)+1,0)</f>
        <v>0</v>
      </c>
      <c r="F2971" s="28">
        <f t="shared" si="147"/>
        <v>3</v>
      </c>
    </row>
    <row r="2972" spans="1:6" x14ac:dyDescent="0.35">
      <c r="A2972">
        <f t="shared" si="148"/>
        <v>0</v>
      </c>
      <c r="B2972" t="s">
        <v>65</v>
      </c>
      <c r="C2972" s="7" t="s">
        <v>98</v>
      </c>
      <c r="D2972" s="18">
        <f>VLOOKUP(C2972,'DISTRIBUIÇÃO NF4267'!$E$3:$FQ$75,MATCH(B2972,'DISTRIBUIÇÃO NF4267'!$E$3:$FQ$3,0)+1,0)</f>
        <v>0</v>
      </c>
      <c r="F2972" s="28">
        <f t="shared" si="147"/>
        <v>3</v>
      </c>
    </row>
    <row r="2973" spans="1:6" x14ac:dyDescent="0.35">
      <c r="A2973">
        <f t="shared" si="148"/>
        <v>0</v>
      </c>
      <c r="B2973" t="str">
        <f>B2972</f>
        <v>IB</v>
      </c>
      <c r="C2973" s="7" t="s">
        <v>99</v>
      </c>
      <c r="D2973" s="18">
        <f>VLOOKUP(C2973,'DISTRIBUIÇÃO NF4267'!$E$3:$FQ$75,MATCH(B2973,'DISTRIBUIÇÃO NF4267'!$E$3:$FQ$3,0)+1,0)</f>
        <v>4</v>
      </c>
      <c r="F2973" s="28">
        <f t="shared" si="147"/>
        <v>3</v>
      </c>
    </row>
    <row r="2974" spans="1:6" x14ac:dyDescent="0.35">
      <c r="A2974">
        <f t="shared" si="148"/>
        <v>0</v>
      </c>
      <c r="B2974" t="str">
        <f t="shared" ref="B2974:B3025" si="149">B2973</f>
        <v>IB</v>
      </c>
      <c r="C2974" s="7" t="s">
        <v>100</v>
      </c>
      <c r="D2974" s="18">
        <f>VLOOKUP(C2974,'DISTRIBUIÇÃO NF4267'!$E$3:$FQ$75,MATCH(B2974,'DISTRIBUIÇÃO NF4267'!$E$3:$FQ$3,0)+1,0)</f>
        <v>8</v>
      </c>
      <c r="F2974" s="28">
        <f t="shared" si="147"/>
        <v>3</v>
      </c>
    </row>
    <row r="2975" spans="1:6" x14ac:dyDescent="0.35">
      <c r="A2975">
        <f t="shared" si="148"/>
        <v>0</v>
      </c>
      <c r="B2975" t="str">
        <f t="shared" si="149"/>
        <v>IB</v>
      </c>
      <c r="C2975" s="7" t="s">
        <v>101</v>
      </c>
      <c r="D2975" s="18">
        <f>VLOOKUP(C2975,'DISTRIBUIÇÃO NF4267'!$E$3:$FQ$75,MATCH(B2975,'DISTRIBUIÇÃO NF4267'!$E$3:$FQ$3,0)+1,0)</f>
        <v>4</v>
      </c>
      <c r="F2975" s="28">
        <f t="shared" si="147"/>
        <v>3</v>
      </c>
    </row>
    <row r="2976" spans="1:6" x14ac:dyDescent="0.35">
      <c r="A2976">
        <f t="shared" si="148"/>
        <v>0</v>
      </c>
      <c r="B2976" t="str">
        <f t="shared" si="149"/>
        <v>IB</v>
      </c>
      <c r="C2976" s="7" t="s">
        <v>102</v>
      </c>
      <c r="D2976" s="18">
        <f>VLOOKUP(C2976,'DISTRIBUIÇÃO NF4267'!$E$3:$FQ$75,MATCH(B2976,'DISTRIBUIÇÃO NF4267'!$E$3:$FQ$3,0)+1,0)</f>
        <v>4</v>
      </c>
      <c r="F2976" s="28">
        <f t="shared" si="147"/>
        <v>3</v>
      </c>
    </row>
    <row r="2977" spans="1:6" x14ac:dyDescent="0.35">
      <c r="A2977">
        <f t="shared" si="148"/>
        <v>0</v>
      </c>
      <c r="B2977" t="str">
        <f t="shared" si="149"/>
        <v>IB</v>
      </c>
      <c r="C2977" s="7" t="s">
        <v>103</v>
      </c>
      <c r="D2977" s="18">
        <f>VLOOKUP(C2977,'DISTRIBUIÇÃO NF4267'!$E$3:$FQ$75,MATCH(B2977,'DISTRIBUIÇÃO NF4267'!$E$3:$FQ$3,0)+1,0)</f>
        <v>0</v>
      </c>
      <c r="F2977" s="28">
        <f t="shared" si="147"/>
        <v>3</v>
      </c>
    </row>
    <row r="2978" spans="1:6" x14ac:dyDescent="0.35">
      <c r="A2978">
        <f t="shared" si="148"/>
        <v>0</v>
      </c>
      <c r="B2978" t="str">
        <f t="shared" si="149"/>
        <v>IB</v>
      </c>
      <c r="C2978" s="8" t="s">
        <v>107</v>
      </c>
      <c r="D2978" s="18">
        <f>VLOOKUP(C2978,'DISTRIBUIÇÃO NF4267'!$E$3:$FQ$75,MATCH(B2978,'DISTRIBUIÇÃO NF4267'!$E$3:$FQ$3,0)+1,0)</f>
        <v>0</v>
      </c>
      <c r="F2978" s="28">
        <f t="shared" si="147"/>
        <v>3</v>
      </c>
    </row>
    <row r="2979" spans="1:6" x14ac:dyDescent="0.35">
      <c r="A2979">
        <f t="shared" si="148"/>
        <v>0</v>
      </c>
      <c r="B2979" t="str">
        <f t="shared" si="149"/>
        <v>IB</v>
      </c>
      <c r="C2979" s="8" t="s">
        <v>108</v>
      </c>
      <c r="D2979" s="18">
        <f>VLOOKUP(C2979,'DISTRIBUIÇÃO NF4267'!$E$3:$FQ$75,MATCH(B2979,'DISTRIBUIÇÃO NF4267'!$E$3:$FQ$3,0)+1,0)</f>
        <v>2</v>
      </c>
      <c r="F2979" s="28">
        <f t="shared" si="147"/>
        <v>3</v>
      </c>
    </row>
    <row r="2980" spans="1:6" x14ac:dyDescent="0.35">
      <c r="A2980">
        <f t="shared" si="148"/>
        <v>0</v>
      </c>
      <c r="B2980" t="str">
        <f t="shared" si="149"/>
        <v>IB</v>
      </c>
      <c r="C2980" s="8" t="s">
        <v>109</v>
      </c>
      <c r="D2980" s="18">
        <f>VLOOKUP(C2980,'DISTRIBUIÇÃO NF4267'!$E$3:$FQ$75,MATCH(B2980,'DISTRIBUIÇÃO NF4267'!$E$3:$FQ$3,0)+1,0)</f>
        <v>4</v>
      </c>
      <c r="F2980" s="28">
        <f t="shared" si="147"/>
        <v>3</v>
      </c>
    </row>
    <row r="2981" spans="1:6" x14ac:dyDescent="0.35">
      <c r="A2981">
        <f t="shared" si="148"/>
        <v>0</v>
      </c>
      <c r="B2981" t="str">
        <f t="shared" si="149"/>
        <v>IB</v>
      </c>
      <c r="C2981" s="8" t="s">
        <v>110</v>
      </c>
      <c r="D2981" s="18">
        <f>VLOOKUP(C2981,'DISTRIBUIÇÃO NF4267'!$E$3:$FQ$75,MATCH(B2981,'DISTRIBUIÇÃO NF4267'!$E$3:$FQ$3,0)+1,0)</f>
        <v>2</v>
      </c>
      <c r="F2981" s="28">
        <f t="shared" si="147"/>
        <v>3</v>
      </c>
    </row>
    <row r="2982" spans="1:6" x14ac:dyDescent="0.35">
      <c r="A2982">
        <f t="shared" si="148"/>
        <v>0</v>
      </c>
      <c r="B2982" t="str">
        <f t="shared" si="149"/>
        <v>IB</v>
      </c>
      <c r="C2982" s="8" t="s">
        <v>111</v>
      </c>
      <c r="D2982" s="18">
        <f>VLOOKUP(C2982,'DISTRIBUIÇÃO NF4267'!$E$3:$FQ$75,MATCH(B2982,'DISTRIBUIÇÃO NF4267'!$E$3:$FQ$3,0)+1,0)</f>
        <v>2</v>
      </c>
      <c r="F2982" s="28">
        <f t="shared" si="147"/>
        <v>3</v>
      </c>
    </row>
    <row r="2983" spans="1:6" x14ac:dyDescent="0.35">
      <c r="A2983">
        <f t="shared" si="148"/>
        <v>0</v>
      </c>
      <c r="B2983" t="str">
        <f t="shared" si="149"/>
        <v>IB</v>
      </c>
      <c r="C2983" s="8" t="s">
        <v>112</v>
      </c>
      <c r="D2983" s="18">
        <f>VLOOKUP(C2983,'DISTRIBUIÇÃO NF4267'!$E$3:$FQ$75,MATCH(B2983,'DISTRIBUIÇÃO NF4267'!$E$3:$FQ$3,0)+1,0)</f>
        <v>0</v>
      </c>
      <c r="F2983" s="28">
        <f t="shared" si="147"/>
        <v>3</v>
      </c>
    </row>
    <row r="2984" spans="1:6" x14ac:dyDescent="0.35">
      <c r="A2984">
        <f t="shared" si="148"/>
        <v>0</v>
      </c>
      <c r="B2984" t="str">
        <f t="shared" si="149"/>
        <v>IB</v>
      </c>
      <c r="C2984" s="9" t="s">
        <v>113</v>
      </c>
      <c r="D2984" s="18">
        <f>VLOOKUP(C2984,'DISTRIBUIÇÃO NF4267'!$E$3:$FQ$75,MATCH(B2984,'DISTRIBUIÇÃO NF4267'!$E$3:$FQ$3,0)+1,0)</f>
        <v>0</v>
      </c>
      <c r="F2984" s="28">
        <f t="shared" si="147"/>
        <v>3</v>
      </c>
    </row>
    <row r="2985" spans="1:6" x14ac:dyDescent="0.35">
      <c r="A2985">
        <f t="shared" si="148"/>
        <v>0</v>
      </c>
      <c r="B2985" t="str">
        <f t="shared" si="149"/>
        <v>IB</v>
      </c>
      <c r="C2985" s="9" t="s">
        <v>114</v>
      </c>
      <c r="D2985" s="18">
        <f>VLOOKUP(C2985,'DISTRIBUIÇÃO NF4267'!$E$3:$FQ$75,MATCH(B2985,'DISTRIBUIÇÃO NF4267'!$E$3:$FQ$3,0)+1,0)</f>
        <v>3</v>
      </c>
      <c r="F2985" s="28">
        <f t="shared" si="147"/>
        <v>3</v>
      </c>
    </row>
    <row r="2986" spans="1:6" x14ac:dyDescent="0.35">
      <c r="A2986">
        <f t="shared" si="148"/>
        <v>0</v>
      </c>
      <c r="B2986" t="str">
        <f t="shared" si="149"/>
        <v>IB</v>
      </c>
      <c r="C2986" s="9" t="s">
        <v>115</v>
      </c>
      <c r="D2986" s="18">
        <f>VLOOKUP(C2986,'DISTRIBUIÇÃO NF4267'!$E$3:$FQ$75,MATCH(B2986,'DISTRIBUIÇÃO NF4267'!$E$3:$FQ$3,0)+1,0)</f>
        <v>4</v>
      </c>
      <c r="F2986" s="28">
        <f t="shared" si="147"/>
        <v>3</v>
      </c>
    </row>
    <row r="2987" spans="1:6" x14ac:dyDescent="0.35">
      <c r="A2987">
        <f t="shared" si="148"/>
        <v>0</v>
      </c>
      <c r="B2987" t="str">
        <f t="shared" si="149"/>
        <v>IB</v>
      </c>
      <c r="C2987" s="9" t="s">
        <v>116</v>
      </c>
      <c r="D2987" s="18">
        <f>VLOOKUP(C2987,'DISTRIBUIÇÃO NF4267'!$E$3:$FQ$75,MATCH(B2987,'DISTRIBUIÇÃO NF4267'!$E$3:$FQ$3,0)+1,0)</f>
        <v>2</v>
      </c>
      <c r="F2987" s="28">
        <f t="shared" si="147"/>
        <v>3</v>
      </c>
    </row>
    <row r="2988" spans="1:6" x14ac:dyDescent="0.35">
      <c r="A2988">
        <f t="shared" si="148"/>
        <v>0</v>
      </c>
      <c r="B2988" t="str">
        <f t="shared" si="149"/>
        <v>IB</v>
      </c>
      <c r="C2988" s="9" t="s">
        <v>117</v>
      </c>
      <c r="D2988" s="18">
        <f>VLOOKUP(C2988,'DISTRIBUIÇÃO NF4267'!$E$3:$FQ$75,MATCH(B2988,'DISTRIBUIÇÃO NF4267'!$E$3:$FQ$3,0)+1,0)</f>
        <v>1</v>
      </c>
      <c r="F2988" s="28">
        <f t="shared" si="147"/>
        <v>3</v>
      </c>
    </row>
    <row r="2989" spans="1:6" x14ac:dyDescent="0.35">
      <c r="A2989">
        <f t="shared" si="148"/>
        <v>0</v>
      </c>
      <c r="B2989" t="str">
        <f t="shared" si="149"/>
        <v>IB</v>
      </c>
      <c r="C2989" s="9" t="s">
        <v>118</v>
      </c>
      <c r="D2989" s="18">
        <f>VLOOKUP(C2989,'DISTRIBUIÇÃO NF4267'!$E$3:$FQ$75,MATCH(B2989,'DISTRIBUIÇÃO NF4267'!$E$3:$FQ$3,0)+1,0)</f>
        <v>0</v>
      </c>
      <c r="F2989" s="28">
        <f t="shared" si="147"/>
        <v>3</v>
      </c>
    </row>
    <row r="2990" spans="1:6" x14ac:dyDescent="0.35">
      <c r="A2990">
        <f t="shared" si="148"/>
        <v>0</v>
      </c>
      <c r="B2990" t="str">
        <f t="shared" si="149"/>
        <v>IB</v>
      </c>
      <c r="C2990" s="10" t="s">
        <v>119</v>
      </c>
      <c r="D2990" s="18">
        <f>VLOOKUP(C2990,'DISTRIBUIÇÃO NF4267'!$E$3:$FQ$75,MATCH(B2990,'DISTRIBUIÇÃO NF4267'!$E$3:$FQ$3,0)+1,0)</f>
        <v>0</v>
      </c>
      <c r="F2990" s="28">
        <f t="shared" si="147"/>
        <v>3</v>
      </c>
    </row>
    <row r="2991" spans="1:6" x14ac:dyDescent="0.35">
      <c r="A2991">
        <f t="shared" si="148"/>
        <v>0</v>
      </c>
      <c r="B2991" t="str">
        <f t="shared" si="149"/>
        <v>IB</v>
      </c>
      <c r="C2991" s="10" t="s">
        <v>120</v>
      </c>
      <c r="D2991" s="18">
        <f>VLOOKUP(C2991,'DISTRIBUIÇÃO NF4267'!$E$3:$FQ$75,MATCH(B2991,'DISTRIBUIÇÃO NF4267'!$E$3:$FQ$3,0)+1,0)</f>
        <v>48</v>
      </c>
      <c r="F2991" s="28">
        <f t="shared" si="147"/>
        <v>3</v>
      </c>
    </row>
    <row r="2992" spans="1:6" x14ac:dyDescent="0.35">
      <c r="A2992">
        <f t="shared" si="148"/>
        <v>0</v>
      </c>
      <c r="B2992" t="str">
        <f t="shared" si="149"/>
        <v>IB</v>
      </c>
      <c r="C2992" s="10" t="s">
        <v>121</v>
      </c>
      <c r="D2992" s="18">
        <f>VLOOKUP(C2992,'DISTRIBUIÇÃO NF4267'!$E$3:$FQ$75,MATCH(B2992,'DISTRIBUIÇÃO NF4267'!$E$3:$FQ$3,0)+1,0)</f>
        <v>16</v>
      </c>
      <c r="F2992" s="28">
        <f t="shared" si="147"/>
        <v>3</v>
      </c>
    </row>
    <row r="2993" spans="1:6" x14ac:dyDescent="0.35">
      <c r="A2993">
        <f t="shared" si="148"/>
        <v>0</v>
      </c>
      <c r="B2993" t="str">
        <f t="shared" si="149"/>
        <v>IB</v>
      </c>
      <c r="C2993" s="10" t="s">
        <v>122</v>
      </c>
      <c r="D2993" s="18">
        <f>VLOOKUP(C2993,'DISTRIBUIÇÃO NF4267'!$E$3:$FQ$75,MATCH(B2993,'DISTRIBUIÇÃO NF4267'!$E$3:$FQ$3,0)+1,0)</f>
        <v>16</v>
      </c>
      <c r="F2993" s="28">
        <f t="shared" si="147"/>
        <v>3</v>
      </c>
    </row>
    <row r="2994" spans="1:6" x14ac:dyDescent="0.35">
      <c r="A2994">
        <f t="shared" si="148"/>
        <v>0</v>
      </c>
      <c r="B2994" t="str">
        <f t="shared" si="149"/>
        <v>IB</v>
      </c>
      <c r="C2994" s="10" t="s">
        <v>123</v>
      </c>
      <c r="D2994" s="18">
        <f>VLOOKUP(C2994,'DISTRIBUIÇÃO NF4267'!$E$3:$FQ$75,MATCH(B2994,'DISTRIBUIÇÃO NF4267'!$E$3:$FQ$3,0)+1,0)</f>
        <v>0</v>
      </c>
      <c r="F2994" s="28">
        <f t="shared" si="147"/>
        <v>3</v>
      </c>
    </row>
    <row r="2995" spans="1:6" x14ac:dyDescent="0.35">
      <c r="A2995">
        <f t="shared" si="148"/>
        <v>0</v>
      </c>
      <c r="B2995" t="str">
        <f t="shared" si="149"/>
        <v>IB</v>
      </c>
      <c r="C2995" s="10" t="s">
        <v>124</v>
      </c>
      <c r="D2995" s="18">
        <f>VLOOKUP(C2995,'DISTRIBUIÇÃO NF4267'!$E$3:$FQ$75,MATCH(B2995,'DISTRIBUIÇÃO NF4267'!$E$3:$FQ$3,0)+1,0)</f>
        <v>0</v>
      </c>
      <c r="F2995" s="28">
        <f t="shared" si="147"/>
        <v>3</v>
      </c>
    </row>
    <row r="2996" spans="1:6" x14ac:dyDescent="0.35">
      <c r="A2996">
        <f t="shared" si="148"/>
        <v>0</v>
      </c>
      <c r="B2996" t="str">
        <f t="shared" si="149"/>
        <v>IB</v>
      </c>
      <c r="C2996" s="11" t="s">
        <v>16</v>
      </c>
      <c r="D2996" s="18">
        <f>VLOOKUP(C2996,'DISTRIBUIÇÃO NF4267'!$E$3:$FQ$75,MATCH(B2996,'DISTRIBUIÇÃO NF4267'!$E$3:$FQ$3,0)+1,0)</f>
        <v>0</v>
      </c>
      <c r="F2996" s="28">
        <f t="shared" si="147"/>
        <v>3</v>
      </c>
    </row>
    <row r="2997" spans="1:6" x14ac:dyDescent="0.35">
      <c r="A2997">
        <f t="shared" si="148"/>
        <v>0</v>
      </c>
      <c r="B2997" t="str">
        <f t="shared" si="149"/>
        <v>IB</v>
      </c>
      <c r="C2997" s="11" t="s">
        <v>17</v>
      </c>
      <c r="D2997" s="18">
        <f>VLOOKUP(C2997,'DISTRIBUIÇÃO NF4267'!$E$3:$FQ$75,MATCH(B2997,'DISTRIBUIÇÃO NF4267'!$E$3:$FQ$3,0)+1,0)</f>
        <v>9</v>
      </c>
      <c r="F2997" s="28">
        <f t="shared" si="147"/>
        <v>3</v>
      </c>
    </row>
    <row r="2998" spans="1:6" x14ac:dyDescent="0.35">
      <c r="A2998">
        <f t="shared" si="148"/>
        <v>0</v>
      </c>
      <c r="B2998" t="str">
        <f t="shared" si="149"/>
        <v>IB</v>
      </c>
      <c r="C2998" s="11" t="s">
        <v>18</v>
      </c>
      <c r="D2998" s="18">
        <f>VLOOKUP(C2998,'DISTRIBUIÇÃO NF4267'!$E$3:$FQ$75,MATCH(B2998,'DISTRIBUIÇÃO NF4267'!$E$3:$FQ$3,0)+1,0)</f>
        <v>3</v>
      </c>
      <c r="F2998" s="28">
        <f t="shared" si="147"/>
        <v>3</v>
      </c>
    </row>
    <row r="2999" spans="1:6" x14ac:dyDescent="0.35">
      <c r="A2999">
        <f t="shared" si="148"/>
        <v>0</v>
      </c>
      <c r="B2999" t="str">
        <f t="shared" si="149"/>
        <v>IB</v>
      </c>
      <c r="C2999" s="11" t="s">
        <v>19</v>
      </c>
      <c r="D2999" s="18">
        <f>VLOOKUP(C2999,'DISTRIBUIÇÃO NF4267'!$E$3:$FQ$75,MATCH(B2999,'DISTRIBUIÇÃO NF4267'!$E$3:$FQ$3,0)+1,0)</f>
        <v>3</v>
      </c>
      <c r="F2999" s="28">
        <f t="shared" si="147"/>
        <v>3</v>
      </c>
    </row>
    <row r="3000" spans="1:6" x14ac:dyDescent="0.35">
      <c r="A3000">
        <f t="shared" si="148"/>
        <v>0</v>
      </c>
      <c r="B3000" t="str">
        <f t="shared" si="149"/>
        <v>IB</v>
      </c>
      <c r="C3000" s="11" t="s">
        <v>20</v>
      </c>
      <c r="D3000" s="18">
        <f>VLOOKUP(C3000,'DISTRIBUIÇÃO NF4267'!$E$3:$FQ$75,MATCH(B3000,'DISTRIBUIÇÃO NF4267'!$E$3:$FQ$3,0)+1,0)</f>
        <v>15</v>
      </c>
      <c r="F3000" s="28">
        <f t="shared" ref="F3000:F3063" si="150">ROUNDUP(SUMIFS(D:D,B:B,B3000)/80,0)</f>
        <v>3</v>
      </c>
    </row>
    <row r="3001" spans="1:6" x14ac:dyDescent="0.35">
      <c r="A3001">
        <f t="shared" si="148"/>
        <v>0</v>
      </c>
      <c r="B3001" t="str">
        <f t="shared" si="149"/>
        <v>IB</v>
      </c>
      <c r="C3001" s="11" t="s">
        <v>21</v>
      </c>
      <c r="D3001" s="18">
        <f>VLOOKUP(C3001,'DISTRIBUIÇÃO NF4267'!$E$3:$FQ$75,MATCH(B3001,'DISTRIBUIÇÃO NF4267'!$E$3:$FQ$3,0)+1,0)</f>
        <v>0</v>
      </c>
      <c r="F3001" s="28">
        <f t="shared" si="150"/>
        <v>3</v>
      </c>
    </row>
    <row r="3002" spans="1:6" x14ac:dyDescent="0.35">
      <c r="A3002">
        <f t="shared" si="148"/>
        <v>0</v>
      </c>
      <c r="B3002" t="str">
        <f t="shared" si="149"/>
        <v>IB</v>
      </c>
      <c r="C3002" s="12" t="s">
        <v>130</v>
      </c>
      <c r="D3002" s="18">
        <f>VLOOKUP(C3002,'DISTRIBUIÇÃO NF4267'!$E$3:$FQ$75,MATCH(B3002,'DISTRIBUIÇÃO NF4267'!$E$3:$FQ$3,0)+1,0)</f>
        <v>0</v>
      </c>
      <c r="F3002" s="28">
        <f t="shared" si="150"/>
        <v>3</v>
      </c>
    </row>
    <row r="3003" spans="1:6" x14ac:dyDescent="0.35">
      <c r="A3003">
        <f t="shared" si="148"/>
        <v>0</v>
      </c>
      <c r="B3003" t="str">
        <f t="shared" si="149"/>
        <v>IB</v>
      </c>
      <c r="C3003" s="12" t="s">
        <v>131</v>
      </c>
      <c r="D3003" s="18">
        <f>VLOOKUP(C3003,'DISTRIBUIÇÃO NF4267'!$E$3:$FQ$75,MATCH(B3003,'DISTRIBUIÇÃO NF4267'!$E$3:$FQ$3,0)+1,0)</f>
        <v>0</v>
      </c>
      <c r="F3003" s="28">
        <f t="shared" si="150"/>
        <v>3</v>
      </c>
    </row>
    <row r="3004" spans="1:6" x14ac:dyDescent="0.35">
      <c r="A3004">
        <f t="shared" si="148"/>
        <v>0</v>
      </c>
      <c r="B3004" t="str">
        <f t="shared" si="149"/>
        <v>IB</v>
      </c>
      <c r="C3004" s="12" t="s">
        <v>132</v>
      </c>
      <c r="D3004" s="18">
        <f>VLOOKUP(C3004,'DISTRIBUIÇÃO NF4267'!$E$3:$FQ$75,MATCH(B3004,'DISTRIBUIÇÃO NF4267'!$E$3:$FQ$3,0)+1,0)</f>
        <v>0</v>
      </c>
      <c r="F3004" s="28">
        <f t="shared" si="150"/>
        <v>3</v>
      </c>
    </row>
    <row r="3005" spans="1:6" x14ac:dyDescent="0.35">
      <c r="A3005">
        <f t="shared" si="148"/>
        <v>0</v>
      </c>
      <c r="B3005" t="str">
        <f t="shared" si="149"/>
        <v>IB</v>
      </c>
      <c r="C3005" s="12" t="s">
        <v>133</v>
      </c>
      <c r="D3005" s="18">
        <f>VLOOKUP(C3005,'DISTRIBUIÇÃO NF4267'!$E$3:$FQ$75,MATCH(B3005,'DISTRIBUIÇÃO NF4267'!$E$3:$FQ$3,0)+1,0)</f>
        <v>0</v>
      </c>
      <c r="F3005" s="28">
        <f t="shared" si="150"/>
        <v>3</v>
      </c>
    </row>
    <row r="3006" spans="1:6" x14ac:dyDescent="0.35">
      <c r="A3006">
        <f t="shared" si="148"/>
        <v>0</v>
      </c>
      <c r="B3006" t="str">
        <f t="shared" si="149"/>
        <v>IB</v>
      </c>
      <c r="C3006" s="12" t="s">
        <v>134</v>
      </c>
      <c r="D3006" s="18">
        <f>VLOOKUP(C3006,'DISTRIBUIÇÃO NF4267'!$E$3:$FQ$75,MATCH(B3006,'DISTRIBUIÇÃO NF4267'!$E$3:$FQ$3,0)+1,0)</f>
        <v>0</v>
      </c>
      <c r="F3006" s="28">
        <f t="shared" si="150"/>
        <v>3</v>
      </c>
    </row>
    <row r="3007" spans="1:6" x14ac:dyDescent="0.35">
      <c r="A3007">
        <f t="shared" si="148"/>
        <v>0</v>
      </c>
      <c r="B3007" t="str">
        <f t="shared" si="149"/>
        <v>IB</v>
      </c>
      <c r="C3007" s="12" t="s">
        <v>135</v>
      </c>
      <c r="D3007" s="18">
        <f>VLOOKUP(C3007,'DISTRIBUIÇÃO NF4267'!$E$3:$FQ$75,MATCH(B3007,'DISTRIBUIÇÃO NF4267'!$E$3:$FQ$3,0)+1,0)</f>
        <v>0</v>
      </c>
      <c r="F3007" s="28">
        <f t="shared" si="150"/>
        <v>3</v>
      </c>
    </row>
    <row r="3008" spans="1:6" x14ac:dyDescent="0.35">
      <c r="A3008">
        <f t="shared" si="148"/>
        <v>0</v>
      </c>
      <c r="B3008" t="str">
        <f t="shared" si="149"/>
        <v>IB</v>
      </c>
      <c r="C3008" s="13" t="s">
        <v>22</v>
      </c>
      <c r="D3008" s="18">
        <f>VLOOKUP(C3008,'DISTRIBUIÇÃO NF4267'!$E$3:$FQ$75,MATCH(B3008,'DISTRIBUIÇÃO NF4267'!$E$3:$FQ$3,0)+1,0)</f>
        <v>0</v>
      </c>
      <c r="F3008" s="28">
        <f t="shared" si="150"/>
        <v>3</v>
      </c>
    </row>
    <row r="3009" spans="1:6" x14ac:dyDescent="0.35">
      <c r="A3009">
        <f t="shared" si="148"/>
        <v>0</v>
      </c>
      <c r="B3009" t="str">
        <f t="shared" si="149"/>
        <v>IB</v>
      </c>
      <c r="C3009" s="13" t="s">
        <v>23</v>
      </c>
      <c r="D3009" s="18">
        <f>VLOOKUP(C3009,'DISTRIBUIÇÃO NF4267'!$E$3:$FQ$75,MATCH(B3009,'DISTRIBUIÇÃO NF4267'!$E$3:$FQ$3,0)+1,0)</f>
        <v>0</v>
      </c>
      <c r="F3009" s="28">
        <f t="shared" si="150"/>
        <v>3</v>
      </c>
    </row>
    <row r="3010" spans="1:6" x14ac:dyDescent="0.35">
      <c r="A3010">
        <f t="shared" ref="A3010:A3073" si="151">IF(ISERROR(VLOOKUP(C3010,I:I,1,0)),0,1)</f>
        <v>0</v>
      </c>
      <c r="B3010" t="str">
        <f t="shared" si="149"/>
        <v>IB</v>
      </c>
      <c r="C3010" s="13" t="s">
        <v>24</v>
      </c>
      <c r="D3010" s="18">
        <f>VLOOKUP(C3010,'DISTRIBUIÇÃO NF4267'!$E$3:$FQ$75,MATCH(B3010,'DISTRIBUIÇÃO NF4267'!$E$3:$FQ$3,0)+1,0)</f>
        <v>0</v>
      </c>
      <c r="F3010" s="28">
        <f t="shared" si="150"/>
        <v>3</v>
      </c>
    </row>
    <row r="3011" spans="1:6" x14ac:dyDescent="0.35">
      <c r="A3011">
        <f t="shared" si="151"/>
        <v>0</v>
      </c>
      <c r="B3011" t="str">
        <f t="shared" si="149"/>
        <v>IB</v>
      </c>
      <c r="C3011" s="13" t="s">
        <v>25</v>
      </c>
      <c r="D3011" s="18">
        <f>VLOOKUP(C3011,'DISTRIBUIÇÃO NF4267'!$E$3:$FQ$75,MATCH(B3011,'DISTRIBUIÇÃO NF4267'!$E$3:$FQ$3,0)+1,0)</f>
        <v>0</v>
      </c>
      <c r="F3011" s="28">
        <f t="shared" si="150"/>
        <v>3</v>
      </c>
    </row>
    <row r="3012" spans="1:6" x14ac:dyDescent="0.35">
      <c r="A3012">
        <f t="shared" si="151"/>
        <v>0</v>
      </c>
      <c r="B3012" t="str">
        <f t="shared" si="149"/>
        <v>IB</v>
      </c>
      <c r="C3012" s="13" t="s">
        <v>26</v>
      </c>
      <c r="D3012" s="18">
        <f>VLOOKUP(C3012,'DISTRIBUIÇÃO NF4267'!$E$3:$FQ$75,MATCH(B3012,'DISTRIBUIÇÃO NF4267'!$E$3:$FQ$3,0)+1,0)</f>
        <v>0</v>
      </c>
      <c r="F3012" s="28">
        <f t="shared" si="150"/>
        <v>3</v>
      </c>
    </row>
    <row r="3013" spans="1:6" x14ac:dyDescent="0.35">
      <c r="A3013">
        <f t="shared" si="151"/>
        <v>0</v>
      </c>
      <c r="B3013" t="str">
        <f t="shared" si="149"/>
        <v>IB</v>
      </c>
      <c r="C3013" s="13" t="s">
        <v>27</v>
      </c>
      <c r="D3013" s="18">
        <f>VLOOKUP(C3013,'DISTRIBUIÇÃO NF4267'!$E$3:$FQ$75,MATCH(B3013,'DISTRIBUIÇÃO NF4267'!$E$3:$FQ$3,0)+1,0)</f>
        <v>0</v>
      </c>
      <c r="F3013" s="28">
        <f t="shared" si="150"/>
        <v>3</v>
      </c>
    </row>
    <row r="3014" spans="1:6" x14ac:dyDescent="0.35">
      <c r="A3014">
        <f t="shared" si="151"/>
        <v>0</v>
      </c>
      <c r="B3014" t="str">
        <f t="shared" si="149"/>
        <v>IB</v>
      </c>
      <c r="C3014" s="14" t="s">
        <v>138</v>
      </c>
      <c r="D3014" s="18">
        <f>VLOOKUP(C3014,'DISTRIBUIÇÃO NF4267'!$E$3:$FQ$75,MATCH(B3014,'DISTRIBUIÇÃO NF4267'!$E$3:$FQ$3,0)+1,0)</f>
        <v>0</v>
      </c>
      <c r="F3014" s="28">
        <f t="shared" si="150"/>
        <v>3</v>
      </c>
    </row>
    <row r="3015" spans="1:6" x14ac:dyDescent="0.35">
      <c r="A3015">
        <f t="shared" si="151"/>
        <v>0</v>
      </c>
      <c r="B3015" t="str">
        <f t="shared" si="149"/>
        <v>IB</v>
      </c>
      <c r="C3015" s="14" t="s">
        <v>139</v>
      </c>
      <c r="D3015" s="18">
        <f>VLOOKUP(C3015,'DISTRIBUIÇÃO NF4267'!$E$3:$FQ$75,MATCH(B3015,'DISTRIBUIÇÃO NF4267'!$E$3:$FQ$3,0)+1,0)</f>
        <v>2</v>
      </c>
      <c r="F3015" s="28">
        <f t="shared" si="150"/>
        <v>3</v>
      </c>
    </row>
    <row r="3016" spans="1:6" x14ac:dyDescent="0.35">
      <c r="A3016">
        <f t="shared" si="151"/>
        <v>0</v>
      </c>
      <c r="B3016" t="str">
        <f t="shared" si="149"/>
        <v>IB</v>
      </c>
      <c r="C3016" s="14" t="s">
        <v>140</v>
      </c>
      <c r="D3016" s="18">
        <f>VLOOKUP(C3016,'DISTRIBUIÇÃO NF4267'!$E$3:$FQ$75,MATCH(B3016,'DISTRIBUIÇÃO NF4267'!$E$3:$FQ$3,0)+1,0)</f>
        <v>4</v>
      </c>
      <c r="F3016" s="28">
        <f t="shared" si="150"/>
        <v>3</v>
      </c>
    </row>
    <row r="3017" spans="1:6" x14ac:dyDescent="0.35">
      <c r="A3017">
        <f t="shared" si="151"/>
        <v>0</v>
      </c>
      <c r="B3017" t="str">
        <f t="shared" si="149"/>
        <v>IB</v>
      </c>
      <c r="C3017" s="14" t="s">
        <v>141</v>
      </c>
      <c r="D3017" s="18">
        <f>VLOOKUP(C3017,'DISTRIBUIÇÃO NF4267'!$E$3:$FQ$75,MATCH(B3017,'DISTRIBUIÇÃO NF4267'!$E$3:$FQ$3,0)+1,0)</f>
        <v>2</v>
      </c>
      <c r="F3017" s="28">
        <f t="shared" si="150"/>
        <v>3</v>
      </c>
    </row>
    <row r="3018" spans="1:6" x14ac:dyDescent="0.35">
      <c r="A3018">
        <f t="shared" si="151"/>
        <v>0</v>
      </c>
      <c r="B3018" t="str">
        <f t="shared" si="149"/>
        <v>IB</v>
      </c>
      <c r="C3018" s="14" t="s">
        <v>142</v>
      </c>
      <c r="D3018" s="18">
        <f>VLOOKUP(C3018,'DISTRIBUIÇÃO NF4267'!$E$3:$FQ$75,MATCH(B3018,'DISTRIBUIÇÃO NF4267'!$E$3:$FQ$3,0)+1,0)</f>
        <v>2</v>
      </c>
      <c r="F3018" s="28">
        <f t="shared" si="150"/>
        <v>3</v>
      </c>
    </row>
    <row r="3019" spans="1:6" x14ac:dyDescent="0.35">
      <c r="A3019">
        <f t="shared" si="151"/>
        <v>0</v>
      </c>
      <c r="B3019" t="str">
        <f t="shared" si="149"/>
        <v>IB</v>
      </c>
      <c r="C3019" s="14" t="s">
        <v>143</v>
      </c>
      <c r="D3019" s="18">
        <f>VLOOKUP(C3019,'DISTRIBUIÇÃO NF4267'!$E$3:$FQ$75,MATCH(B3019,'DISTRIBUIÇÃO NF4267'!$E$3:$FQ$3,0)+1,0)</f>
        <v>0</v>
      </c>
      <c r="F3019" s="28">
        <f t="shared" si="150"/>
        <v>3</v>
      </c>
    </row>
    <row r="3020" spans="1:6" x14ac:dyDescent="0.35">
      <c r="A3020">
        <f t="shared" si="151"/>
        <v>0</v>
      </c>
      <c r="B3020" t="str">
        <f t="shared" si="149"/>
        <v>IB</v>
      </c>
      <c r="C3020" s="15" t="s">
        <v>145</v>
      </c>
      <c r="D3020" s="18">
        <f>VLOOKUP(C3020,'DISTRIBUIÇÃO NF4267'!$E$3:$FQ$75,MATCH(B3020,'DISTRIBUIÇÃO NF4267'!$E$3:$FQ$3,0)+1,0)</f>
        <v>0</v>
      </c>
      <c r="F3020" s="28">
        <f t="shared" si="150"/>
        <v>3</v>
      </c>
    </row>
    <row r="3021" spans="1:6" x14ac:dyDescent="0.35">
      <c r="A3021">
        <f t="shared" si="151"/>
        <v>0</v>
      </c>
      <c r="B3021" t="str">
        <f t="shared" si="149"/>
        <v>IB</v>
      </c>
      <c r="C3021" s="15" t="s">
        <v>146</v>
      </c>
      <c r="D3021" s="18">
        <f>VLOOKUP(C3021,'DISTRIBUIÇÃO NF4267'!$E$3:$FQ$75,MATCH(B3021,'DISTRIBUIÇÃO NF4267'!$E$3:$FQ$3,0)+1,0)</f>
        <v>2</v>
      </c>
      <c r="F3021" s="28">
        <f t="shared" si="150"/>
        <v>3</v>
      </c>
    </row>
    <row r="3022" spans="1:6" x14ac:dyDescent="0.35">
      <c r="A3022">
        <f t="shared" si="151"/>
        <v>0</v>
      </c>
      <c r="B3022" t="str">
        <f t="shared" si="149"/>
        <v>IB</v>
      </c>
      <c r="C3022" s="15" t="s">
        <v>147</v>
      </c>
      <c r="D3022" s="18">
        <f>VLOOKUP(C3022,'DISTRIBUIÇÃO NF4267'!$E$3:$FQ$75,MATCH(B3022,'DISTRIBUIÇÃO NF4267'!$E$3:$FQ$3,0)+1,0)</f>
        <v>4</v>
      </c>
      <c r="F3022" s="28">
        <f t="shared" si="150"/>
        <v>3</v>
      </c>
    </row>
    <row r="3023" spans="1:6" x14ac:dyDescent="0.35">
      <c r="A3023">
        <f t="shared" si="151"/>
        <v>0</v>
      </c>
      <c r="B3023" t="str">
        <f t="shared" si="149"/>
        <v>IB</v>
      </c>
      <c r="C3023" s="15" t="s">
        <v>148</v>
      </c>
      <c r="D3023" s="18">
        <f>VLOOKUP(C3023,'DISTRIBUIÇÃO NF4267'!$E$3:$FQ$75,MATCH(B3023,'DISTRIBUIÇÃO NF4267'!$E$3:$FQ$3,0)+1,0)</f>
        <v>2</v>
      </c>
      <c r="F3023" s="28">
        <f t="shared" si="150"/>
        <v>3</v>
      </c>
    </row>
    <row r="3024" spans="1:6" x14ac:dyDescent="0.35">
      <c r="A3024">
        <f t="shared" si="151"/>
        <v>0</v>
      </c>
      <c r="B3024" t="str">
        <f t="shared" si="149"/>
        <v>IB</v>
      </c>
      <c r="C3024" s="15" t="s">
        <v>149</v>
      </c>
      <c r="D3024" s="18">
        <f>VLOOKUP(C3024,'DISTRIBUIÇÃO NF4267'!$E$3:$FQ$75,MATCH(B3024,'DISTRIBUIÇÃO NF4267'!$E$3:$FQ$3,0)+1,0)</f>
        <v>2</v>
      </c>
      <c r="F3024" s="28">
        <f t="shared" si="150"/>
        <v>3</v>
      </c>
    </row>
    <row r="3025" spans="1:6" x14ac:dyDescent="0.35">
      <c r="A3025">
        <f t="shared" si="151"/>
        <v>0</v>
      </c>
      <c r="B3025" t="str">
        <f t="shared" si="149"/>
        <v>IB</v>
      </c>
      <c r="C3025" s="15" t="s">
        <v>150</v>
      </c>
      <c r="D3025" s="18">
        <f>VLOOKUP(C3025,'DISTRIBUIÇÃO NF4267'!$E$3:$FQ$75,MATCH(B3025,'DISTRIBUIÇÃO NF4267'!$E$3:$FQ$3,0)+1,0)</f>
        <v>0</v>
      </c>
      <c r="F3025" s="28">
        <f t="shared" si="150"/>
        <v>3</v>
      </c>
    </row>
    <row r="3026" spans="1:6" x14ac:dyDescent="0.35">
      <c r="A3026">
        <f t="shared" si="151"/>
        <v>0</v>
      </c>
      <c r="B3026" t="s">
        <v>66</v>
      </c>
      <c r="C3026" s="7" t="s">
        <v>98</v>
      </c>
      <c r="D3026" s="18">
        <f>VLOOKUP(C3026,'DISTRIBUIÇÃO NF4267'!$E$3:$FQ$75,MATCH(B3026,'DISTRIBUIÇÃO NF4267'!$E$3:$FQ$3,0)+1,0)</f>
        <v>0</v>
      </c>
      <c r="F3026" s="28">
        <f t="shared" si="150"/>
        <v>3</v>
      </c>
    </row>
    <row r="3027" spans="1:6" x14ac:dyDescent="0.35">
      <c r="A3027">
        <f t="shared" si="151"/>
        <v>0</v>
      </c>
      <c r="B3027" t="str">
        <f>B3026</f>
        <v>II</v>
      </c>
      <c r="C3027" s="7" t="s">
        <v>99</v>
      </c>
      <c r="D3027" s="18">
        <f>VLOOKUP(C3027,'DISTRIBUIÇÃO NF4267'!$E$3:$FQ$75,MATCH(B3027,'DISTRIBUIÇÃO NF4267'!$E$3:$FQ$3,0)+1,0)</f>
        <v>4</v>
      </c>
      <c r="F3027" s="28">
        <f t="shared" si="150"/>
        <v>3</v>
      </c>
    </row>
    <row r="3028" spans="1:6" x14ac:dyDescent="0.35">
      <c r="A3028">
        <f t="shared" si="151"/>
        <v>0</v>
      </c>
      <c r="B3028" t="str">
        <f t="shared" ref="B3028:B3079" si="152">B3027</f>
        <v>II</v>
      </c>
      <c r="C3028" s="7" t="s">
        <v>100</v>
      </c>
      <c r="D3028" s="18">
        <f>VLOOKUP(C3028,'DISTRIBUIÇÃO NF4267'!$E$3:$FQ$75,MATCH(B3028,'DISTRIBUIÇÃO NF4267'!$E$3:$FQ$3,0)+1,0)</f>
        <v>8</v>
      </c>
      <c r="F3028" s="28">
        <f t="shared" si="150"/>
        <v>3</v>
      </c>
    </row>
    <row r="3029" spans="1:6" x14ac:dyDescent="0.35">
      <c r="A3029">
        <f t="shared" si="151"/>
        <v>0</v>
      </c>
      <c r="B3029" t="str">
        <f t="shared" si="152"/>
        <v>II</v>
      </c>
      <c r="C3029" s="7" t="s">
        <v>101</v>
      </c>
      <c r="D3029" s="18">
        <f>VLOOKUP(C3029,'DISTRIBUIÇÃO NF4267'!$E$3:$FQ$75,MATCH(B3029,'DISTRIBUIÇÃO NF4267'!$E$3:$FQ$3,0)+1,0)</f>
        <v>4</v>
      </c>
      <c r="F3029" s="28">
        <f t="shared" si="150"/>
        <v>3</v>
      </c>
    </row>
    <row r="3030" spans="1:6" x14ac:dyDescent="0.35">
      <c r="A3030">
        <f t="shared" si="151"/>
        <v>0</v>
      </c>
      <c r="B3030" t="str">
        <f t="shared" si="152"/>
        <v>II</v>
      </c>
      <c r="C3030" s="7" t="s">
        <v>102</v>
      </c>
      <c r="D3030" s="18">
        <f>VLOOKUP(C3030,'DISTRIBUIÇÃO NF4267'!$E$3:$FQ$75,MATCH(B3030,'DISTRIBUIÇÃO NF4267'!$E$3:$FQ$3,0)+1,0)</f>
        <v>4</v>
      </c>
      <c r="F3030" s="28">
        <f t="shared" si="150"/>
        <v>3</v>
      </c>
    </row>
    <row r="3031" spans="1:6" x14ac:dyDescent="0.35">
      <c r="A3031">
        <f t="shared" si="151"/>
        <v>0</v>
      </c>
      <c r="B3031" t="str">
        <f t="shared" si="152"/>
        <v>II</v>
      </c>
      <c r="C3031" s="7" t="s">
        <v>103</v>
      </c>
      <c r="D3031" s="18">
        <f>VLOOKUP(C3031,'DISTRIBUIÇÃO NF4267'!$E$3:$FQ$75,MATCH(B3031,'DISTRIBUIÇÃO NF4267'!$E$3:$FQ$3,0)+1,0)</f>
        <v>0</v>
      </c>
      <c r="F3031" s="28">
        <f t="shared" si="150"/>
        <v>3</v>
      </c>
    </row>
    <row r="3032" spans="1:6" x14ac:dyDescent="0.35">
      <c r="A3032">
        <f t="shared" si="151"/>
        <v>0</v>
      </c>
      <c r="B3032" t="str">
        <f t="shared" si="152"/>
        <v>II</v>
      </c>
      <c r="C3032" s="8" t="s">
        <v>107</v>
      </c>
      <c r="D3032" s="18">
        <f>VLOOKUP(C3032,'DISTRIBUIÇÃO NF4267'!$E$3:$FQ$75,MATCH(B3032,'DISTRIBUIÇÃO NF4267'!$E$3:$FQ$3,0)+1,0)</f>
        <v>0</v>
      </c>
      <c r="F3032" s="28">
        <f t="shared" si="150"/>
        <v>3</v>
      </c>
    </row>
    <row r="3033" spans="1:6" x14ac:dyDescent="0.35">
      <c r="A3033">
        <f t="shared" si="151"/>
        <v>0</v>
      </c>
      <c r="B3033" t="str">
        <f t="shared" si="152"/>
        <v>II</v>
      </c>
      <c r="C3033" s="8" t="s">
        <v>108</v>
      </c>
      <c r="D3033" s="18">
        <f>VLOOKUP(C3033,'DISTRIBUIÇÃO NF4267'!$E$3:$FQ$75,MATCH(B3033,'DISTRIBUIÇÃO NF4267'!$E$3:$FQ$3,0)+1,0)</f>
        <v>2</v>
      </c>
      <c r="F3033" s="28">
        <f t="shared" si="150"/>
        <v>3</v>
      </c>
    </row>
    <row r="3034" spans="1:6" x14ac:dyDescent="0.35">
      <c r="A3034">
        <f t="shared" si="151"/>
        <v>0</v>
      </c>
      <c r="B3034" t="str">
        <f t="shared" si="152"/>
        <v>II</v>
      </c>
      <c r="C3034" s="8" t="s">
        <v>109</v>
      </c>
      <c r="D3034" s="18">
        <f>VLOOKUP(C3034,'DISTRIBUIÇÃO NF4267'!$E$3:$FQ$75,MATCH(B3034,'DISTRIBUIÇÃO NF4267'!$E$3:$FQ$3,0)+1,0)</f>
        <v>4</v>
      </c>
      <c r="F3034" s="28">
        <f t="shared" si="150"/>
        <v>3</v>
      </c>
    </row>
    <row r="3035" spans="1:6" x14ac:dyDescent="0.35">
      <c r="A3035">
        <f t="shared" si="151"/>
        <v>0</v>
      </c>
      <c r="B3035" t="str">
        <f t="shared" si="152"/>
        <v>II</v>
      </c>
      <c r="C3035" s="8" t="s">
        <v>110</v>
      </c>
      <c r="D3035" s="18">
        <f>VLOOKUP(C3035,'DISTRIBUIÇÃO NF4267'!$E$3:$FQ$75,MATCH(B3035,'DISTRIBUIÇÃO NF4267'!$E$3:$FQ$3,0)+1,0)</f>
        <v>2</v>
      </c>
      <c r="F3035" s="28">
        <f t="shared" si="150"/>
        <v>3</v>
      </c>
    </row>
    <row r="3036" spans="1:6" x14ac:dyDescent="0.35">
      <c r="A3036">
        <f t="shared" si="151"/>
        <v>0</v>
      </c>
      <c r="B3036" t="str">
        <f t="shared" si="152"/>
        <v>II</v>
      </c>
      <c r="C3036" s="8" t="s">
        <v>111</v>
      </c>
      <c r="D3036" s="18">
        <f>VLOOKUP(C3036,'DISTRIBUIÇÃO NF4267'!$E$3:$FQ$75,MATCH(B3036,'DISTRIBUIÇÃO NF4267'!$E$3:$FQ$3,0)+1,0)</f>
        <v>2</v>
      </c>
      <c r="F3036" s="28">
        <f t="shared" si="150"/>
        <v>3</v>
      </c>
    </row>
    <row r="3037" spans="1:6" x14ac:dyDescent="0.35">
      <c r="A3037">
        <f t="shared" si="151"/>
        <v>0</v>
      </c>
      <c r="B3037" t="str">
        <f t="shared" si="152"/>
        <v>II</v>
      </c>
      <c r="C3037" s="8" t="s">
        <v>112</v>
      </c>
      <c r="D3037" s="18">
        <f>VLOOKUP(C3037,'DISTRIBUIÇÃO NF4267'!$E$3:$FQ$75,MATCH(B3037,'DISTRIBUIÇÃO NF4267'!$E$3:$FQ$3,0)+1,0)</f>
        <v>0</v>
      </c>
      <c r="F3037" s="28">
        <f t="shared" si="150"/>
        <v>3</v>
      </c>
    </row>
    <row r="3038" spans="1:6" x14ac:dyDescent="0.35">
      <c r="A3038">
        <f t="shared" si="151"/>
        <v>0</v>
      </c>
      <c r="B3038" t="str">
        <f t="shared" si="152"/>
        <v>II</v>
      </c>
      <c r="C3038" s="9" t="s">
        <v>113</v>
      </c>
      <c r="D3038" s="18">
        <f>VLOOKUP(C3038,'DISTRIBUIÇÃO NF4267'!$E$3:$FQ$75,MATCH(B3038,'DISTRIBUIÇÃO NF4267'!$E$3:$FQ$3,0)+1,0)</f>
        <v>0</v>
      </c>
      <c r="F3038" s="28">
        <f t="shared" si="150"/>
        <v>3</v>
      </c>
    </row>
    <row r="3039" spans="1:6" x14ac:dyDescent="0.35">
      <c r="A3039">
        <f t="shared" si="151"/>
        <v>0</v>
      </c>
      <c r="B3039" t="str">
        <f t="shared" si="152"/>
        <v>II</v>
      </c>
      <c r="C3039" s="9" t="s">
        <v>114</v>
      </c>
      <c r="D3039" s="18">
        <f>VLOOKUP(C3039,'DISTRIBUIÇÃO NF4267'!$E$3:$FQ$75,MATCH(B3039,'DISTRIBUIÇÃO NF4267'!$E$3:$FQ$3,0)+1,0)</f>
        <v>3</v>
      </c>
      <c r="F3039" s="28">
        <f t="shared" si="150"/>
        <v>3</v>
      </c>
    </row>
    <row r="3040" spans="1:6" x14ac:dyDescent="0.35">
      <c r="A3040">
        <f t="shared" si="151"/>
        <v>0</v>
      </c>
      <c r="B3040" t="str">
        <f t="shared" si="152"/>
        <v>II</v>
      </c>
      <c r="C3040" s="9" t="s">
        <v>115</v>
      </c>
      <c r="D3040" s="18">
        <f>VLOOKUP(C3040,'DISTRIBUIÇÃO NF4267'!$E$3:$FQ$75,MATCH(B3040,'DISTRIBUIÇÃO NF4267'!$E$3:$FQ$3,0)+1,0)</f>
        <v>4</v>
      </c>
      <c r="F3040" s="28">
        <f t="shared" si="150"/>
        <v>3</v>
      </c>
    </row>
    <row r="3041" spans="1:6" x14ac:dyDescent="0.35">
      <c r="A3041">
        <f t="shared" si="151"/>
        <v>0</v>
      </c>
      <c r="B3041" t="str">
        <f t="shared" si="152"/>
        <v>II</v>
      </c>
      <c r="C3041" s="9" t="s">
        <v>116</v>
      </c>
      <c r="D3041" s="18">
        <f>VLOOKUP(C3041,'DISTRIBUIÇÃO NF4267'!$E$3:$FQ$75,MATCH(B3041,'DISTRIBUIÇÃO NF4267'!$E$3:$FQ$3,0)+1,0)</f>
        <v>2</v>
      </c>
      <c r="F3041" s="28">
        <f t="shared" si="150"/>
        <v>3</v>
      </c>
    </row>
    <row r="3042" spans="1:6" x14ac:dyDescent="0.35">
      <c r="A3042">
        <f t="shared" si="151"/>
        <v>0</v>
      </c>
      <c r="B3042" t="str">
        <f t="shared" si="152"/>
        <v>II</v>
      </c>
      <c r="C3042" s="9" t="s">
        <v>117</v>
      </c>
      <c r="D3042" s="18">
        <f>VLOOKUP(C3042,'DISTRIBUIÇÃO NF4267'!$E$3:$FQ$75,MATCH(B3042,'DISTRIBUIÇÃO NF4267'!$E$3:$FQ$3,0)+1,0)</f>
        <v>1</v>
      </c>
      <c r="F3042" s="28">
        <f t="shared" si="150"/>
        <v>3</v>
      </c>
    </row>
    <row r="3043" spans="1:6" x14ac:dyDescent="0.35">
      <c r="A3043">
        <f t="shared" si="151"/>
        <v>0</v>
      </c>
      <c r="B3043" t="str">
        <f t="shared" si="152"/>
        <v>II</v>
      </c>
      <c r="C3043" s="9" t="s">
        <v>118</v>
      </c>
      <c r="D3043" s="18">
        <f>VLOOKUP(C3043,'DISTRIBUIÇÃO NF4267'!$E$3:$FQ$75,MATCH(B3043,'DISTRIBUIÇÃO NF4267'!$E$3:$FQ$3,0)+1,0)</f>
        <v>0</v>
      </c>
      <c r="F3043" s="28">
        <f t="shared" si="150"/>
        <v>3</v>
      </c>
    </row>
    <row r="3044" spans="1:6" x14ac:dyDescent="0.35">
      <c r="A3044">
        <f t="shared" si="151"/>
        <v>0</v>
      </c>
      <c r="B3044" t="str">
        <f t="shared" si="152"/>
        <v>II</v>
      </c>
      <c r="C3044" s="10" t="s">
        <v>119</v>
      </c>
      <c r="D3044" s="18">
        <f>VLOOKUP(C3044,'DISTRIBUIÇÃO NF4267'!$E$3:$FQ$75,MATCH(B3044,'DISTRIBUIÇÃO NF4267'!$E$3:$FQ$3,0)+1,0)</f>
        <v>0</v>
      </c>
      <c r="F3044" s="28">
        <f t="shared" si="150"/>
        <v>3</v>
      </c>
    </row>
    <row r="3045" spans="1:6" x14ac:dyDescent="0.35">
      <c r="A3045">
        <f t="shared" si="151"/>
        <v>0</v>
      </c>
      <c r="B3045" t="str">
        <f t="shared" si="152"/>
        <v>II</v>
      </c>
      <c r="C3045" s="10" t="s">
        <v>120</v>
      </c>
      <c r="D3045" s="18">
        <f>VLOOKUP(C3045,'DISTRIBUIÇÃO NF4267'!$E$3:$FQ$75,MATCH(B3045,'DISTRIBUIÇÃO NF4267'!$E$3:$FQ$3,0)+1,0)</f>
        <v>48</v>
      </c>
      <c r="F3045" s="28">
        <f t="shared" si="150"/>
        <v>3</v>
      </c>
    </row>
    <row r="3046" spans="1:6" x14ac:dyDescent="0.35">
      <c r="A3046">
        <f t="shared" si="151"/>
        <v>0</v>
      </c>
      <c r="B3046" t="str">
        <f t="shared" si="152"/>
        <v>II</v>
      </c>
      <c r="C3046" s="10" t="s">
        <v>121</v>
      </c>
      <c r="D3046" s="18">
        <f>VLOOKUP(C3046,'DISTRIBUIÇÃO NF4267'!$E$3:$FQ$75,MATCH(B3046,'DISTRIBUIÇÃO NF4267'!$E$3:$FQ$3,0)+1,0)</f>
        <v>16</v>
      </c>
      <c r="F3046" s="28">
        <f t="shared" si="150"/>
        <v>3</v>
      </c>
    </row>
    <row r="3047" spans="1:6" x14ac:dyDescent="0.35">
      <c r="A3047">
        <f t="shared" si="151"/>
        <v>0</v>
      </c>
      <c r="B3047" t="str">
        <f t="shared" si="152"/>
        <v>II</v>
      </c>
      <c r="C3047" s="10" t="s">
        <v>122</v>
      </c>
      <c r="D3047" s="18">
        <f>VLOOKUP(C3047,'DISTRIBUIÇÃO NF4267'!$E$3:$FQ$75,MATCH(B3047,'DISTRIBUIÇÃO NF4267'!$E$3:$FQ$3,0)+1,0)</f>
        <v>16</v>
      </c>
      <c r="F3047" s="28">
        <f t="shared" si="150"/>
        <v>3</v>
      </c>
    </row>
    <row r="3048" spans="1:6" x14ac:dyDescent="0.35">
      <c r="A3048">
        <f t="shared" si="151"/>
        <v>0</v>
      </c>
      <c r="B3048" t="str">
        <f t="shared" si="152"/>
        <v>II</v>
      </c>
      <c r="C3048" s="10" t="s">
        <v>123</v>
      </c>
      <c r="D3048" s="18">
        <f>VLOOKUP(C3048,'DISTRIBUIÇÃO NF4267'!$E$3:$FQ$75,MATCH(B3048,'DISTRIBUIÇÃO NF4267'!$E$3:$FQ$3,0)+1,0)</f>
        <v>0</v>
      </c>
      <c r="F3048" s="28">
        <f t="shared" si="150"/>
        <v>3</v>
      </c>
    </row>
    <row r="3049" spans="1:6" x14ac:dyDescent="0.35">
      <c r="A3049">
        <f t="shared" si="151"/>
        <v>0</v>
      </c>
      <c r="B3049" t="str">
        <f t="shared" si="152"/>
        <v>II</v>
      </c>
      <c r="C3049" s="10" t="s">
        <v>124</v>
      </c>
      <c r="D3049" s="18">
        <f>VLOOKUP(C3049,'DISTRIBUIÇÃO NF4267'!$E$3:$FQ$75,MATCH(B3049,'DISTRIBUIÇÃO NF4267'!$E$3:$FQ$3,0)+1,0)</f>
        <v>0</v>
      </c>
      <c r="F3049" s="28">
        <f t="shared" si="150"/>
        <v>3</v>
      </c>
    </row>
    <row r="3050" spans="1:6" x14ac:dyDescent="0.35">
      <c r="A3050">
        <f t="shared" si="151"/>
        <v>0</v>
      </c>
      <c r="B3050" t="str">
        <f t="shared" si="152"/>
        <v>II</v>
      </c>
      <c r="C3050" s="11" t="s">
        <v>16</v>
      </c>
      <c r="D3050" s="18">
        <f>VLOOKUP(C3050,'DISTRIBUIÇÃO NF4267'!$E$3:$FQ$75,MATCH(B3050,'DISTRIBUIÇÃO NF4267'!$E$3:$FQ$3,0)+1,0)</f>
        <v>0</v>
      </c>
      <c r="F3050" s="28">
        <f t="shared" si="150"/>
        <v>3</v>
      </c>
    </row>
    <row r="3051" spans="1:6" x14ac:dyDescent="0.35">
      <c r="A3051">
        <f t="shared" si="151"/>
        <v>0</v>
      </c>
      <c r="B3051" t="str">
        <f t="shared" si="152"/>
        <v>II</v>
      </c>
      <c r="C3051" s="11" t="s">
        <v>17</v>
      </c>
      <c r="D3051" s="18">
        <f>VLOOKUP(C3051,'DISTRIBUIÇÃO NF4267'!$E$3:$FQ$75,MATCH(B3051,'DISTRIBUIÇÃO NF4267'!$E$3:$FQ$3,0)+1,0)</f>
        <v>9</v>
      </c>
      <c r="F3051" s="28">
        <f t="shared" si="150"/>
        <v>3</v>
      </c>
    </row>
    <row r="3052" spans="1:6" x14ac:dyDescent="0.35">
      <c r="A3052">
        <f t="shared" si="151"/>
        <v>0</v>
      </c>
      <c r="B3052" t="str">
        <f t="shared" si="152"/>
        <v>II</v>
      </c>
      <c r="C3052" s="11" t="s">
        <v>18</v>
      </c>
      <c r="D3052" s="18">
        <f>VLOOKUP(C3052,'DISTRIBUIÇÃO NF4267'!$E$3:$FQ$75,MATCH(B3052,'DISTRIBUIÇÃO NF4267'!$E$3:$FQ$3,0)+1,0)</f>
        <v>3</v>
      </c>
      <c r="F3052" s="28">
        <f t="shared" si="150"/>
        <v>3</v>
      </c>
    </row>
    <row r="3053" spans="1:6" x14ac:dyDescent="0.35">
      <c r="A3053">
        <f t="shared" si="151"/>
        <v>0</v>
      </c>
      <c r="B3053" t="str">
        <f t="shared" si="152"/>
        <v>II</v>
      </c>
      <c r="C3053" s="11" t="s">
        <v>19</v>
      </c>
      <c r="D3053" s="18">
        <f>VLOOKUP(C3053,'DISTRIBUIÇÃO NF4267'!$E$3:$FQ$75,MATCH(B3053,'DISTRIBUIÇÃO NF4267'!$E$3:$FQ$3,0)+1,0)</f>
        <v>3</v>
      </c>
      <c r="F3053" s="28">
        <f t="shared" si="150"/>
        <v>3</v>
      </c>
    </row>
    <row r="3054" spans="1:6" x14ac:dyDescent="0.35">
      <c r="A3054">
        <f t="shared" si="151"/>
        <v>0</v>
      </c>
      <c r="B3054" t="str">
        <f t="shared" si="152"/>
        <v>II</v>
      </c>
      <c r="C3054" s="11" t="s">
        <v>20</v>
      </c>
      <c r="D3054" s="18">
        <f>VLOOKUP(C3054,'DISTRIBUIÇÃO NF4267'!$E$3:$FQ$75,MATCH(B3054,'DISTRIBUIÇÃO NF4267'!$E$3:$FQ$3,0)+1,0)</f>
        <v>15</v>
      </c>
      <c r="F3054" s="28">
        <f t="shared" si="150"/>
        <v>3</v>
      </c>
    </row>
    <row r="3055" spans="1:6" x14ac:dyDescent="0.35">
      <c r="A3055">
        <f t="shared" si="151"/>
        <v>0</v>
      </c>
      <c r="B3055" t="str">
        <f t="shared" si="152"/>
        <v>II</v>
      </c>
      <c r="C3055" s="11" t="s">
        <v>21</v>
      </c>
      <c r="D3055" s="18">
        <f>VLOOKUP(C3055,'DISTRIBUIÇÃO NF4267'!$E$3:$FQ$75,MATCH(B3055,'DISTRIBUIÇÃO NF4267'!$E$3:$FQ$3,0)+1,0)</f>
        <v>0</v>
      </c>
      <c r="F3055" s="28">
        <f t="shared" si="150"/>
        <v>3</v>
      </c>
    </row>
    <row r="3056" spans="1:6" x14ac:dyDescent="0.35">
      <c r="A3056">
        <f t="shared" si="151"/>
        <v>0</v>
      </c>
      <c r="B3056" t="str">
        <f t="shared" si="152"/>
        <v>II</v>
      </c>
      <c r="C3056" s="12" t="s">
        <v>130</v>
      </c>
      <c r="D3056" s="18">
        <f>VLOOKUP(C3056,'DISTRIBUIÇÃO NF4267'!$E$3:$FQ$75,MATCH(B3056,'DISTRIBUIÇÃO NF4267'!$E$3:$FQ$3,0)+1,0)</f>
        <v>0</v>
      </c>
      <c r="F3056" s="28">
        <f t="shared" si="150"/>
        <v>3</v>
      </c>
    </row>
    <row r="3057" spans="1:6" x14ac:dyDescent="0.35">
      <c r="A3057">
        <f t="shared" si="151"/>
        <v>0</v>
      </c>
      <c r="B3057" t="str">
        <f t="shared" si="152"/>
        <v>II</v>
      </c>
      <c r="C3057" s="12" t="s">
        <v>131</v>
      </c>
      <c r="D3057" s="18">
        <f>VLOOKUP(C3057,'DISTRIBUIÇÃO NF4267'!$E$3:$FQ$75,MATCH(B3057,'DISTRIBUIÇÃO NF4267'!$E$3:$FQ$3,0)+1,0)</f>
        <v>0</v>
      </c>
      <c r="F3057" s="28">
        <f t="shared" si="150"/>
        <v>3</v>
      </c>
    </row>
    <row r="3058" spans="1:6" x14ac:dyDescent="0.35">
      <c r="A3058">
        <f t="shared" si="151"/>
        <v>0</v>
      </c>
      <c r="B3058" t="str">
        <f t="shared" si="152"/>
        <v>II</v>
      </c>
      <c r="C3058" s="12" t="s">
        <v>132</v>
      </c>
      <c r="D3058" s="18">
        <f>VLOOKUP(C3058,'DISTRIBUIÇÃO NF4267'!$E$3:$FQ$75,MATCH(B3058,'DISTRIBUIÇÃO NF4267'!$E$3:$FQ$3,0)+1,0)</f>
        <v>0</v>
      </c>
      <c r="F3058" s="28">
        <f t="shared" si="150"/>
        <v>3</v>
      </c>
    </row>
    <row r="3059" spans="1:6" x14ac:dyDescent="0.35">
      <c r="A3059">
        <f t="shared" si="151"/>
        <v>0</v>
      </c>
      <c r="B3059" t="str">
        <f t="shared" si="152"/>
        <v>II</v>
      </c>
      <c r="C3059" s="12" t="s">
        <v>133</v>
      </c>
      <c r="D3059" s="18">
        <f>VLOOKUP(C3059,'DISTRIBUIÇÃO NF4267'!$E$3:$FQ$75,MATCH(B3059,'DISTRIBUIÇÃO NF4267'!$E$3:$FQ$3,0)+1,0)</f>
        <v>0</v>
      </c>
      <c r="F3059" s="28">
        <f t="shared" si="150"/>
        <v>3</v>
      </c>
    </row>
    <row r="3060" spans="1:6" x14ac:dyDescent="0.35">
      <c r="A3060">
        <f t="shared" si="151"/>
        <v>0</v>
      </c>
      <c r="B3060" t="str">
        <f t="shared" si="152"/>
        <v>II</v>
      </c>
      <c r="C3060" s="12" t="s">
        <v>134</v>
      </c>
      <c r="D3060" s="18">
        <f>VLOOKUP(C3060,'DISTRIBUIÇÃO NF4267'!$E$3:$FQ$75,MATCH(B3060,'DISTRIBUIÇÃO NF4267'!$E$3:$FQ$3,0)+1,0)</f>
        <v>0</v>
      </c>
      <c r="F3060" s="28">
        <f t="shared" si="150"/>
        <v>3</v>
      </c>
    </row>
    <row r="3061" spans="1:6" x14ac:dyDescent="0.35">
      <c r="A3061">
        <f t="shared" si="151"/>
        <v>0</v>
      </c>
      <c r="B3061" t="str">
        <f t="shared" si="152"/>
        <v>II</v>
      </c>
      <c r="C3061" s="12" t="s">
        <v>135</v>
      </c>
      <c r="D3061" s="18">
        <f>VLOOKUP(C3061,'DISTRIBUIÇÃO NF4267'!$E$3:$FQ$75,MATCH(B3061,'DISTRIBUIÇÃO NF4267'!$E$3:$FQ$3,0)+1,0)</f>
        <v>0</v>
      </c>
      <c r="F3061" s="28">
        <f t="shared" si="150"/>
        <v>3</v>
      </c>
    </row>
    <row r="3062" spans="1:6" x14ac:dyDescent="0.35">
      <c r="A3062">
        <f t="shared" si="151"/>
        <v>0</v>
      </c>
      <c r="B3062" t="str">
        <f t="shared" si="152"/>
        <v>II</v>
      </c>
      <c r="C3062" s="13" t="s">
        <v>22</v>
      </c>
      <c r="D3062" s="18">
        <f>VLOOKUP(C3062,'DISTRIBUIÇÃO NF4267'!$E$3:$FQ$75,MATCH(B3062,'DISTRIBUIÇÃO NF4267'!$E$3:$FQ$3,0)+1,0)</f>
        <v>0</v>
      </c>
      <c r="F3062" s="28">
        <f t="shared" si="150"/>
        <v>3</v>
      </c>
    </row>
    <row r="3063" spans="1:6" x14ac:dyDescent="0.35">
      <c r="A3063">
        <f t="shared" si="151"/>
        <v>0</v>
      </c>
      <c r="B3063" t="str">
        <f t="shared" si="152"/>
        <v>II</v>
      </c>
      <c r="C3063" s="13" t="s">
        <v>23</v>
      </c>
      <c r="D3063" s="18">
        <f>VLOOKUP(C3063,'DISTRIBUIÇÃO NF4267'!$E$3:$FQ$75,MATCH(B3063,'DISTRIBUIÇÃO NF4267'!$E$3:$FQ$3,0)+1,0)</f>
        <v>0</v>
      </c>
      <c r="F3063" s="28">
        <f t="shared" si="150"/>
        <v>3</v>
      </c>
    </row>
    <row r="3064" spans="1:6" x14ac:dyDescent="0.35">
      <c r="A3064">
        <f t="shared" si="151"/>
        <v>0</v>
      </c>
      <c r="B3064" t="str">
        <f t="shared" si="152"/>
        <v>II</v>
      </c>
      <c r="C3064" s="13" t="s">
        <v>24</v>
      </c>
      <c r="D3064" s="18">
        <f>VLOOKUP(C3064,'DISTRIBUIÇÃO NF4267'!$E$3:$FQ$75,MATCH(B3064,'DISTRIBUIÇÃO NF4267'!$E$3:$FQ$3,0)+1,0)</f>
        <v>0</v>
      </c>
      <c r="F3064" s="28">
        <f t="shared" ref="F3064:F3127" si="153">ROUNDUP(SUMIFS(D:D,B:B,B3064)/80,0)</f>
        <v>3</v>
      </c>
    </row>
    <row r="3065" spans="1:6" x14ac:dyDescent="0.35">
      <c r="A3065">
        <f t="shared" si="151"/>
        <v>0</v>
      </c>
      <c r="B3065" t="str">
        <f t="shared" si="152"/>
        <v>II</v>
      </c>
      <c r="C3065" s="13" t="s">
        <v>25</v>
      </c>
      <c r="D3065" s="18">
        <f>VLOOKUP(C3065,'DISTRIBUIÇÃO NF4267'!$E$3:$FQ$75,MATCH(B3065,'DISTRIBUIÇÃO NF4267'!$E$3:$FQ$3,0)+1,0)</f>
        <v>0</v>
      </c>
      <c r="F3065" s="28">
        <f t="shared" si="153"/>
        <v>3</v>
      </c>
    </row>
    <row r="3066" spans="1:6" x14ac:dyDescent="0.35">
      <c r="A3066">
        <f t="shared" si="151"/>
        <v>0</v>
      </c>
      <c r="B3066" t="str">
        <f t="shared" si="152"/>
        <v>II</v>
      </c>
      <c r="C3066" s="13" t="s">
        <v>26</v>
      </c>
      <c r="D3066" s="18">
        <f>VLOOKUP(C3066,'DISTRIBUIÇÃO NF4267'!$E$3:$FQ$75,MATCH(B3066,'DISTRIBUIÇÃO NF4267'!$E$3:$FQ$3,0)+1,0)</f>
        <v>0</v>
      </c>
      <c r="F3066" s="28">
        <f t="shared" si="153"/>
        <v>3</v>
      </c>
    </row>
    <row r="3067" spans="1:6" x14ac:dyDescent="0.35">
      <c r="A3067">
        <f t="shared" si="151"/>
        <v>0</v>
      </c>
      <c r="B3067" t="str">
        <f t="shared" si="152"/>
        <v>II</v>
      </c>
      <c r="C3067" s="13" t="s">
        <v>27</v>
      </c>
      <c r="D3067" s="18">
        <f>VLOOKUP(C3067,'DISTRIBUIÇÃO NF4267'!$E$3:$FQ$75,MATCH(B3067,'DISTRIBUIÇÃO NF4267'!$E$3:$FQ$3,0)+1,0)</f>
        <v>0</v>
      </c>
      <c r="F3067" s="28">
        <f t="shared" si="153"/>
        <v>3</v>
      </c>
    </row>
    <row r="3068" spans="1:6" x14ac:dyDescent="0.35">
      <c r="A3068">
        <f t="shared" si="151"/>
        <v>0</v>
      </c>
      <c r="B3068" t="str">
        <f t="shared" si="152"/>
        <v>II</v>
      </c>
      <c r="C3068" s="14" t="s">
        <v>138</v>
      </c>
      <c r="D3068" s="18">
        <f>VLOOKUP(C3068,'DISTRIBUIÇÃO NF4267'!$E$3:$FQ$75,MATCH(B3068,'DISTRIBUIÇÃO NF4267'!$E$3:$FQ$3,0)+1,0)</f>
        <v>0</v>
      </c>
      <c r="F3068" s="28">
        <f t="shared" si="153"/>
        <v>3</v>
      </c>
    </row>
    <row r="3069" spans="1:6" x14ac:dyDescent="0.35">
      <c r="A3069">
        <f t="shared" si="151"/>
        <v>0</v>
      </c>
      <c r="B3069" t="str">
        <f t="shared" si="152"/>
        <v>II</v>
      </c>
      <c r="C3069" s="14" t="s">
        <v>139</v>
      </c>
      <c r="D3069" s="18">
        <f>VLOOKUP(C3069,'DISTRIBUIÇÃO NF4267'!$E$3:$FQ$75,MATCH(B3069,'DISTRIBUIÇÃO NF4267'!$E$3:$FQ$3,0)+1,0)</f>
        <v>2</v>
      </c>
      <c r="F3069" s="28">
        <f t="shared" si="153"/>
        <v>3</v>
      </c>
    </row>
    <row r="3070" spans="1:6" x14ac:dyDescent="0.35">
      <c r="A3070">
        <f t="shared" si="151"/>
        <v>0</v>
      </c>
      <c r="B3070" t="str">
        <f t="shared" si="152"/>
        <v>II</v>
      </c>
      <c r="C3070" s="14" t="s">
        <v>140</v>
      </c>
      <c r="D3070" s="18">
        <f>VLOOKUP(C3070,'DISTRIBUIÇÃO NF4267'!$E$3:$FQ$75,MATCH(B3070,'DISTRIBUIÇÃO NF4267'!$E$3:$FQ$3,0)+1,0)</f>
        <v>4</v>
      </c>
      <c r="F3070" s="28">
        <f t="shared" si="153"/>
        <v>3</v>
      </c>
    </row>
    <row r="3071" spans="1:6" x14ac:dyDescent="0.35">
      <c r="A3071">
        <f t="shared" si="151"/>
        <v>0</v>
      </c>
      <c r="B3071" t="str">
        <f t="shared" si="152"/>
        <v>II</v>
      </c>
      <c r="C3071" s="14" t="s">
        <v>141</v>
      </c>
      <c r="D3071" s="18">
        <f>VLOOKUP(C3071,'DISTRIBUIÇÃO NF4267'!$E$3:$FQ$75,MATCH(B3071,'DISTRIBUIÇÃO NF4267'!$E$3:$FQ$3,0)+1,0)</f>
        <v>2</v>
      </c>
      <c r="F3071" s="28">
        <f t="shared" si="153"/>
        <v>3</v>
      </c>
    </row>
    <row r="3072" spans="1:6" x14ac:dyDescent="0.35">
      <c r="A3072">
        <f t="shared" si="151"/>
        <v>0</v>
      </c>
      <c r="B3072" t="str">
        <f t="shared" si="152"/>
        <v>II</v>
      </c>
      <c r="C3072" s="14" t="s">
        <v>142</v>
      </c>
      <c r="D3072" s="18">
        <f>VLOOKUP(C3072,'DISTRIBUIÇÃO NF4267'!$E$3:$FQ$75,MATCH(B3072,'DISTRIBUIÇÃO NF4267'!$E$3:$FQ$3,0)+1,0)</f>
        <v>2</v>
      </c>
      <c r="F3072" s="28">
        <f t="shared" si="153"/>
        <v>3</v>
      </c>
    </row>
    <row r="3073" spans="1:6" x14ac:dyDescent="0.35">
      <c r="A3073">
        <f t="shared" si="151"/>
        <v>0</v>
      </c>
      <c r="B3073" t="str">
        <f t="shared" si="152"/>
        <v>II</v>
      </c>
      <c r="C3073" s="14" t="s">
        <v>143</v>
      </c>
      <c r="D3073" s="18">
        <f>VLOOKUP(C3073,'DISTRIBUIÇÃO NF4267'!$E$3:$FQ$75,MATCH(B3073,'DISTRIBUIÇÃO NF4267'!$E$3:$FQ$3,0)+1,0)</f>
        <v>0</v>
      </c>
      <c r="F3073" s="28">
        <f t="shared" si="153"/>
        <v>3</v>
      </c>
    </row>
    <row r="3074" spans="1:6" x14ac:dyDescent="0.35">
      <c r="A3074">
        <f t="shared" ref="A3074:A3137" si="154">IF(ISERROR(VLOOKUP(C3074,I:I,1,0)),0,1)</f>
        <v>0</v>
      </c>
      <c r="B3074" t="str">
        <f t="shared" si="152"/>
        <v>II</v>
      </c>
      <c r="C3074" s="15" t="s">
        <v>145</v>
      </c>
      <c r="D3074" s="18">
        <f>VLOOKUP(C3074,'DISTRIBUIÇÃO NF4267'!$E$3:$FQ$75,MATCH(B3074,'DISTRIBUIÇÃO NF4267'!$E$3:$FQ$3,0)+1,0)</f>
        <v>0</v>
      </c>
      <c r="F3074" s="28">
        <f t="shared" si="153"/>
        <v>3</v>
      </c>
    </row>
    <row r="3075" spans="1:6" x14ac:dyDescent="0.35">
      <c r="A3075">
        <f t="shared" si="154"/>
        <v>0</v>
      </c>
      <c r="B3075" t="str">
        <f t="shared" si="152"/>
        <v>II</v>
      </c>
      <c r="C3075" s="15" t="s">
        <v>146</v>
      </c>
      <c r="D3075" s="18">
        <f>VLOOKUP(C3075,'DISTRIBUIÇÃO NF4267'!$E$3:$FQ$75,MATCH(B3075,'DISTRIBUIÇÃO NF4267'!$E$3:$FQ$3,0)+1,0)</f>
        <v>2</v>
      </c>
      <c r="F3075" s="28">
        <f t="shared" si="153"/>
        <v>3</v>
      </c>
    </row>
    <row r="3076" spans="1:6" x14ac:dyDescent="0.35">
      <c r="A3076">
        <f t="shared" si="154"/>
        <v>0</v>
      </c>
      <c r="B3076" t="str">
        <f t="shared" si="152"/>
        <v>II</v>
      </c>
      <c r="C3076" s="15" t="s">
        <v>147</v>
      </c>
      <c r="D3076" s="18">
        <f>VLOOKUP(C3076,'DISTRIBUIÇÃO NF4267'!$E$3:$FQ$75,MATCH(B3076,'DISTRIBUIÇÃO NF4267'!$E$3:$FQ$3,0)+1,0)</f>
        <v>4</v>
      </c>
      <c r="F3076" s="28">
        <f t="shared" si="153"/>
        <v>3</v>
      </c>
    </row>
    <row r="3077" spans="1:6" x14ac:dyDescent="0.35">
      <c r="A3077">
        <f t="shared" si="154"/>
        <v>0</v>
      </c>
      <c r="B3077" t="str">
        <f t="shared" si="152"/>
        <v>II</v>
      </c>
      <c r="C3077" s="15" t="s">
        <v>148</v>
      </c>
      <c r="D3077" s="18">
        <f>VLOOKUP(C3077,'DISTRIBUIÇÃO NF4267'!$E$3:$FQ$75,MATCH(B3077,'DISTRIBUIÇÃO NF4267'!$E$3:$FQ$3,0)+1,0)</f>
        <v>2</v>
      </c>
      <c r="F3077" s="28">
        <f t="shared" si="153"/>
        <v>3</v>
      </c>
    </row>
    <row r="3078" spans="1:6" x14ac:dyDescent="0.35">
      <c r="A3078">
        <f t="shared" si="154"/>
        <v>0</v>
      </c>
      <c r="B3078" t="str">
        <f t="shared" si="152"/>
        <v>II</v>
      </c>
      <c r="C3078" s="15" t="s">
        <v>149</v>
      </c>
      <c r="D3078" s="18">
        <f>VLOOKUP(C3078,'DISTRIBUIÇÃO NF4267'!$E$3:$FQ$75,MATCH(B3078,'DISTRIBUIÇÃO NF4267'!$E$3:$FQ$3,0)+1,0)</f>
        <v>2</v>
      </c>
      <c r="F3078" s="28">
        <f t="shared" si="153"/>
        <v>3</v>
      </c>
    </row>
    <row r="3079" spans="1:6" x14ac:dyDescent="0.35">
      <c r="A3079">
        <f t="shared" si="154"/>
        <v>0</v>
      </c>
      <c r="B3079" t="str">
        <f t="shared" si="152"/>
        <v>II</v>
      </c>
      <c r="C3079" s="15" t="s">
        <v>150</v>
      </c>
      <c r="D3079" s="18">
        <f>VLOOKUP(C3079,'DISTRIBUIÇÃO NF4267'!$E$3:$FQ$75,MATCH(B3079,'DISTRIBUIÇÃO NF4267'!$E$3:$FQ$3,0)+1,0)</f>
        <v>0</v>
      </c>
      <c r="F3079" s="28">
        <f t="shared" si="153"/>
        <v>3</v>
      </c>
    </row>
    <row r="3080" spans="1:6" x14ac:dyDescent="0.35">
      <c r="A3080">
        <f t="shared" si="154"/>
        <v>0</v>
      </c>
      <c r="B3080" t="s">
        <v>67</v>
      </c>
      <c r="C3080" s="7" t="s">
        <v>98</v>
      </c>
      <c r="D3080" s="18">
        <f>VLOOKUP(C3080,'DISTRIBUIÇÃO NF4267'!$E$3:$FQ$75,MATCH(B3080,'DISTRIBUIÇÃO NF4267'!$E$3:$FQ$3,0)+1,0)</f>
        <v>0</v>
      </c>
      <c r="F3080" s="28">
        <f t="shared" si="153"/>
        <v>3</v>
      </c>
    </row>
    <row r="3081" spans="1:6" x14ac:dyDescent="0.35">
      <c r="A3081">
        <f t="shared" si="154"/>
        <v>0</v>
      </c>
      <c r="B3081" t="str">
        <f>B3080</f>
        <v>I9</v>
      </c>
      <c r="C3081" s="7" t="s">
        <v>99</v>
      </c>
      <c r="D3081" s="18">
        <f>VLOOKUP(C3081,'DISTRIBUIÇÃO NF4267'!$E$3:$FQ$75,MATCH(B3081,'DISTRIBUIÇÃO NF4267'!$E$3:$FQ$3,0)+1,0)</f>
        <v>4</v>
      </c>
      <c r="F3081" s="28">
        <f t="shared" si="153"/>
        <v>3</v>
      </c>
    </row>
    <row r="3082" spans="1:6" x14ac:dyDescent="0.35">
      <c r="A3082">
        <f t="shared" si="154"/>
        <v>0</v>
      </c>
      <c r="B3082" t="str">
        <f t="shared" ref="B3082:B3133" si="155">B3081</f>
        <v>I9</v>
      </c>
      <c r="C3082" s="7" t="s">
        <v>100</v>
      </c>
      <c r="D3082" s="18">
        <f>VLOOKUP(C3082,'DISTRIBUIÇÃO NF4267'!$E$3:$FQ$75,MATCH(B3082,'DISTRIBUIÇÃO NF4267'!$E$3:$FQ$3,0)+1,0)</f>
        <v>8</v>
      </c>
      <c r="F3082" s="28">
        <f t="shared" si="153"/>
        <v>3</v>
      </c>
    </row>
    <row r="3083" spans="1:6" x14ac:dyDescent="0.35">
      <c r="A3083">
        <f t="shared" si="154"/>
        <v>0</v>
      </c>
      <c r="B3083" t="str">
        <f t="shared" si="155"/>
        <v>I9</v>
      </c>
      <c r="C3083" s="7" t="s">
        <v>101</v>
      </c>
      <c r="D3083" s="18">
        <f>VLOOKUP(C3083,'DISTRIBUIÇÃO NF4267'!$E$3:$FQ$75,MATCH(B3083,'DISTRIBUIÇÃO NF4267'!$E$3:$FQ$3,0)+1,0)</f>
        <v>4</v>
      </c>
      <c r="F3083" s="28">
        <f t="shared" si="153"/>
        <v>3</v>
      </c>
    </row>
    <row r="3084" spans="1:6" x14ac:dyDescent="0.35">
      <c r="A3084">
        <f t="shared" si="154"/>
        <v>0</v>
      </c>
      <c r="B3084" t="str">
        <f t="shared" si="155"/>
        <v>I9</v>
      </c>
      <c r="C3084" s="7" t="s">
        <v>102</v>
      </c>
      <c r="D3084" s="18">
        <f>VLOOKUP(C3084,'DISTRIBUIÇÃO NF4267'!$E$3:$FQ$75,MATCH(B3084,'DISTRIBUIÇÃO NF4267'!$E$3:$FQ$3,0)+1,0)</f>
        <v>4</v>
      </c>
      <c r="F3084" s="28">
        <f t="shared" si="153"/>
        <v>3</v>
      </c>
    </row>
    <row r="3085" spans="1:6" x14ac:dyDescent="0.35">
      <c r="A3085">
        <f t="shared" si="154"/>
        <v>0</v>
      </c>
      <c r="B3085" t="str">
        <f t="shared" si="155"/>
        <v>I9</v>
      </c>
      <c r="C3085" s="7" t="s">
        <v>103</v>
      </c>
      <c r="D3085" s="18">
        <f>VLOOKUP(C3085,'DISTRIBUIÇÃO NF4267'!$E$3:$FQ$75,MATCH(B3085,'DISTRIBUIÇÃO NF4267'!$E$3:$FQ$3,0)+1,0)</f>
        <v>0</v>
      </c>
      <c r="F3085" s="28">
        <f t="shared" si="153"/>
        <v>3</v>
      </c>
    </row>
    <row r="3086" spans="1:6" x14ac:dyDescent="0.35">
      <c r="A3086">
        <f t="shared" si="154"/>
        <v>0</v>
      </c>
      <c r="B3086" t="str">
        <f t="shared" si="155"/>
        <v>I9</v>
      </c>
      <c r="C3086" s="8" t="s">
        <v>107</v>
      </c>
      <c r="D3086" s="18">
        <f>VLOOKUP(C3086,'DISTRIBUIÇÃO NF4267'!$E$3:$FQ$75,MATCH(B3086,'DISTRIBUIÇÃO NF4267'!$E$3:$FQ$3,0)+1,0)</f>
        <v>0</v>
      </c>
      <c r="F3086" s="28">
        <f t="shared" si="153"/>
        <v>3</v>
      </c>
    </row>
    <row r="3087" spans="1:6" x14ac:dyDescent="0.35">
      <c r="A3087">
        <f t="shared" si="154"/>
        <v>0</v>
      </c>
      <c r="B3087" t="str">
        <f t="shared" si="155"/>
        <v>I9</v>
      </c>
      <c r="C3087" s="8" t="s">
        <v>108</v>
      </c>
      <c r="D3087" s="18">
        <f>VLOOKUP(C3087,'DISTRIBUIÇÃO NF4267'!$E$3:$FQ$75,MATCH(B3087,'DISTRIBUIÇÃO NF4267'!$E$3:$FQ$3,0)+1,0)</f>
        <v>2</v>
      </c>
      <c r="F3087" s="28">
        <f t="shared" si="153"/>
        <v>3</v>
      </c>
    </row>
    <row r="3088" spans="1:6" x14ac:dyDescent="0.35">
      <c r="A3088">
        <f t="shared" si="154"/>
        <v>0</v>
      </c>
      <c r="B3088" t="str">
        <f t="shared" si="155"/>
        <v>I9</v>
      </c>
      <c r="C3088" s="8" t="s">
        <v>109</v>
      </c>
      <c r="D3088" s="18">
        <f>VLOOKUP(C3088,'DISTRIBUIÇÃO NF4267'!$E$3:$FQ$75,MATCH(B3088,'DISTRIBUIÇÃO NF4267'!$E$3:$FQ$3,0)+1,0)</f>
        <v>4</v>
      </c>
      <c r="F3088" s="28">
        <f t="shared" si="153"/>
        <v>3</v>
      </c>
    </row>
    <row r="3089" spans="1:6" x14ac:dyDescent="0.35">
      <c r="A3089">
        <f t="shared" si="154"/>
        <v>0</v>
      </c>
      <c r="B3089" t="str">
        <f t="shared" si="155"/>
        <v>I9</v>
      </c>
      <c r="C3089" s="8" t="s">
        <v>110</v>
      </c>
      <c r="D3089" s="18">
        <f>VLOOKUP(C3089,'DISTRIBUIÇÃO NF4267'!$E$3:$FQ$75,MATCH(B3089,'DISTRIBUIÇÃO NF4267'!$E$3:$FQ$3,0)+1,0)</f>
        <v>2</v>
      </c>
      <c r="F3089" s="28">
        <f t="shared" si="153"/>
        <v>3</v>
      </c>
    </row>
    <row r="3090" spans="1:6" x14ac:dyDescent="0.35">
      <c r="A3090">
        <f t="shared" si="154"/>
        <v>0</v>
      </c>
      <c r="B3090" t="str">
        <f t="shared" si="155"/>
        <v>I9</v>
      </c>
      <c r="C3090" s="8" t="s">
        <v>111</v>
      </c>
      <c r="D3090" s="18">
        <f>VLOOKUP(C3090,'DISTRIBUIÇÃO NF4267'!$E$3:$FQ$75,MATCH(B3090,'DISTRIBUIÇÃO NF4267'!$E$3:$FQ$3,0)+1,0)</f>
        <v>2</v>
      </c>
      <c r="F3090" s="28">
        <f t="shared" si="153"/>
        <v>3</v>
      </c>
    </row>
    <row r="3091" spans="1:6" x14ac:dyDescent="0.35">
      <c r="A3091">
        <f t="shared" si="154"/>
        <v>0</v>
      </c>
      <c r="B3091" t="str">
        <f t="shared" si="155"/>
        <v>I9</v>
      </c>
      <c r="C3091" s="8" t="s">
        <v>112</v>
      </c>
      <c r="D3091" s="18">
        <f>VLOOKUP(C3091,'DISTRIBUIÇÃO NF4267'!$E$3:$FQ$75,MATCH(B3091,'DISTRIBUIÇÃO NF4267'!$E$3:$FQ$3,0)+1,0)</f>
        <v>0</v>
      </c>
      <c r="F3091" s="28">
        <f t="shared" si="153"/>
        <v>3</v>
      </c>
    </row>
    <row r="3092" spans="1:6" x14ac:dyDescent="0.35">
      <c r="A3092">
        <f t="shared" si="154"/>
        <v>0</v>
      </c>
      <c r="B3092" t="str">
        <f t="shared" si="155"/>
        <v>I9</v>
      </c>
      <c r="C3092" s="9" t="s">
        <v>113</v>
      </c>
      <c r="D3092" s="18">
        <f>VLOOKUP(C3092,'DISTRIBUIÇÃO NF4267'!$E$3:$FQ$75,MATCH(B3092,'DISTRIBUIÇÃO NF4267'!$E$3:$FQ$3,0)+1,0)</f>
        <v>0</v>
      </c>
      <c r="F3092" s="28">
        <f t="shared" si="153"/>
        <v>3</v>
      </c>
    </row>
    <row r="3093" spans="1:6" x14ac:dyDescent="0.35">
      <c r="A3093">
        <f t="shared" si="154"/>
        <v>0</v>
      </c>
      <c r="B3093" t="str">
        <f t="shared" si="155"/>
        <v>I9</v>
      </c>
      <c r="C3093" s="9" t="s">
        <v>114</v>
      </c>
      <c r="D3093" s="18">
        <f>VLOOKUP(C3093,'DISTRIBUIÇÃO NF4267'!$E$3:$FQ$75,MATCH(B3093,'DISTRIBUIÇÃO NF4267'!$E$3:$FQ$3,0)+1,0)</f>
        <v>3</v>
      </c>
      <c r="F3093" s="28">
        <f t="shared" si="153"/>
        <v>3</v>
      </c>
    </row>
    <row r="3094" spans="1:6" x14ac:dyDescent="0.35">
      <c r="A3094">
        <f t="shared" si="154"/>
        <v>0</v>
      </c>
      <c r="B3094" t="str">
        <f t="shared" si="155"/>
        <v>I9</v>
      </c>
      <c r="C3094" s="9" t="s">
        <v>115</v>
      </c>
      <c r="D3094" s="18">
        <f>VLOOKUP(C3094,'DISTRIBUIÇÃO NF4267'!$E$3:$FQ$75,MATCH(B3094,'DISTRIBUIÇÃO NF4267'!$E$3:$FQ$3,0)+1,0)</f>
        <v>4</v>
      </c>
      <c r="F3094" s="28">
        <f t="shared" si="153"/>
        <v>3</v>
      </c>
    </row>
    <row r="3095" spans="1:6" x14ac:dyDescent="0.35">
      <c r="A3095">
        <f t="shared" si="154"/>
        <v>0</v>
      </c>
      <c r="B3095" t="str">
        <f t="shared" si="155"/>
        <v>I9</v>
      </c>
      <c r="C3095" s="9" t="s">
        <v>116</v>
      </c>
      <c r="D3095" s="18">
        <f>VLOOKUP(C3095,'DISTRIBUIÇÃO NF4267'!$E$3:$FQ$75,MATCH(B3095,'DISTRIBUIÇÃO NF4267'!$E$3:$FQ$3,0)+1,0)</f>
        <v>2</v>
      </c>
      <c r="F3095" s="28">
        <f t="shared" si="153"/>
        <v>3</v>
      </c>
    </row>
    <row r="3096" spans="1:6" x14ac:dyDescent="0.35">
      <c r="A3096">
        <f t="shared" si="154"/>
        <v>0</v>
      </c>
      <c r="B3096" t="str">
        <f t="shared" si="155"/>
        <v>I9</v>
      </c>
      <c r="C3096" s="9" t="s">
        <v>117</v>
      </c>
      <c r="D3096" s="18">
        <f>VLOOKUP(C3096,'DISTRIBUIÇÃO NF4267'!$E$3:$FQ$75,MATCH(B3096,'DISTRIBUIÇÃO NF4267'!$E$3:$FQ$3,0)+1,0)</f>
        <v>1</v>
      </c>
      <c r="F3096" s="28">
        <f t="shared" si="153"/>
        <v>3</v>
      </c>
    </row>
    <row r="3097" spans="1:6" x14ac:dyDescent="0.35">
      <c r="A3097">
        <f t="shared" si="154"/>
        <v>0</v>
      </c>
      <c r="B3097" t="str">
        <f t="shared" si="155"/>
        <v>I9</v>
      </c>
      <c r="C3097" s="9" t="s">
        <v>118</v>
      </c>
      <c r="D3097" s="18">
        <f>VLOOKUP(C3097,'DISTRIBUIÇÃO NF4267'!$E$3:$FQ$75,MATCH(B3097,'DISTRIBUIÇÃO NF4267'!$E$3:$FQ$3,0)+1,0)</f>
        <v>0</v>
      </c>
      <c r="F3097" s="28">
        <f t="shared" si="153"/>
        <v>3</v>
      </c>
    </row>
    <row r="3098" spans="1:6" x14ac:dyDescent="0.35">
      <c r="A3098">
        <f t="shared" si="154"/>
        <v>0</v>
      </c>
      <c r="B3098" t="str">
        <f t="shared" si="155"/>
        <v>I9</v>
      </c>
      <c r="C3098" s="10" t="s">
        <v>119</v>
      </c>
      <c r="D3098" s="18">
        <f>VLOOKUP(C3098,'DISTRIBUIÇÃO NF4267'!$E$3:$FQ$75,MATCH(B3098,'DISTRIBUIÇÃO NF4267'!$E$3:$FQ$3,0)+1,0)</f>
        <v>0</v>
      </c>
      <c r="F3098" s="28">
        <f t="shared" si="153"/>
        <v>3</v>
      </c>
    </row>
    <row r="3099" spans="1:6" x14ac:dyDescent="0.35">
      <c r="A3099">
        <f t="shared" si="154"/>
        <v>0</v>
      </c>
      <c r="B3099" t="str">
        <f t="shared" si="155"/>
        <v>I9</v>
      </c>
      <c r="C3099" s="10" t="s">
        <v>120</v>
      </c>
      <c r="D3099" s="18">
        <f>VLOOKUP(C3099,'DISTRIBUIÇÃO NF4267'!$E$3:$FQ$75,MATCH(B3099,'DISTRIBUIÇÃO NF4267'!$E$3:$FQ$3,0)+1,0)</f>
        <v>48</v>
      </c>
      <c r="F3099" s="28">
        <f t="shared" si="153"/>
        <v>3</v>
      </c>
    </row>
    <row r="3100" spans="1:6" x14ac:dyDescent="0.35">
      <c r="A3100">
        <f t="shared" si="154"/>
        <v>0</v>
      </c>
      <c r="B3100" t="str">
        <f t="shared" si="155"/>
        <v>I9</v>
      </c>
      <c r="C3100" s="10" t="s">
        <v>121</v>
      </c>
      <c r="D3100" s="18">
        <f>VLOOKUP(C3100,'DISTRIBUIÇÃO NF4267'!$E$3:$FQ$75,MATCH(B3100,'DISTRIBUIÇÃO NF4267'!$E$3:$FQ$3,0)+1,0)</f>
        <v>16</v>
      </c>
      <c r="F3100" s="28">
        <f t="shared" si="153"/>
        <v>3</v>
      </c>
    </row>
    <row r="3101" spans="1:6" x14ac:dyDescent="0.35">
      <c r="A3101">
        <f t="shared" si="154"/>
        <v>0</v>
      </c>
      <c r="B3101" t="str">
        <f t="shared" si="155"/>
        <v>I9</v>
      </c>
      <c r="C3101" s="10" t="s">
        <v>122</v>
      </c>
      <c r="D3101" s="18">
        <f>VLOOKUP(C3101,'DISTRIBUIÇÃO NF4267'!$E$3:$FQ$75,MATCH(B3101,'DISTRIBUIÇÃO NF4267'!$E$3:$FQ$3,0)+1,0)</f>
        <v>16</v>
      </c>
      <c r="F3101" s="28">
        <f t="shared" si="153"/>
        <v>3</v>
      </c>
    </row>
    <row r="3102" spans="1:6" x14ac:dyDescent="0.35">
      <c r="A3102">
        <f t="shared" si="154"/>
        <v>0</v>
      </c>
      <c r="B3102" t="str">
        <f t="shared" si="155"/>
        <v>I9</v>
      </c>
      <c r="C3102" s="10" t="s">
        <v>123</v>
      </c>
      <c r="D3102" s="18">
        <f>VLOOKUP(C3102,'DISTRIBUIÇÃO NF4267'!$E$3:$FQ$75,MATCH(B3102,'DISTRIBUIÇÃO NF4267'!$E$3:$FQ$3,0)+1,0)</f>
        <v>0</v>
      </c>
      <c r="F3102" s="28">
        <f t="shared" si="153"/>
        <v>3</v>
      </c>
    </row>
    <row r="3103" spans="1:6" x14ac:dyDescent="0.35">
      <c r="A3103">
        <f t="shared" si="154"/>
        <v>0</v>
      </c>
      <c r="B3103" t="str">
        <f t="shared" si="155"/>
        <v>I9</v>
      </c>
      <c r="C3103" s="10" t="s">
        <v>124</v>
      </c>
      <c r="D3103" s="18">
        <f>VLOOKUP(C3103,'DISTRIBUIÇÃO NF4267'!$E$3:$FQ$75,MATCH(B3103,'DISTRIBUIÇÃO NF4267'!$E$3:$FQ$3,0)+1,0)</f>
        <v>0</v>
      </c>
      <c r="F3103" s="28">
        <f t="shared" si="153"/>
        <v>3</v>
      </c>
    </row>
    <row r="3104" spans="1:6" x14ac:dyDescent="0.35">
      <c r="A3104">
        <f t="shared" si="154"/>
        <v>0</v>
      </c>
      <c r="B3104" t="str">
        <f t="shared" si="155"/>
        <v>I9</v>
      </c>
      <c r="C3104" s="11" t="s">
        <v>16</v>
      </c>
      <c r="D3104" s="18">
        <f>VLOOKUP(C3104,'DISTRIBUIÇÃO NF4267'!$E$3:$FQ$75,MATCH(B3104,'DISTRIBUIÇÃO NF4267'!$E$3:$FQ$3,0)+1,0)</f>
        <v>0</v>
      </c>
      <c r="F3104" s="28">
        <f t="shared" si="153"/>
        <v>3</v>
      </c>
    </row>
    <row r="3105" spans="1:6" x14ac:dyDescent="0.35">
      <c r="A3105">
        <f t="shared" si="154"/>
        <v>0</v>
      </c>
      <c r="B3105" t="str">
        <f t="shared" si="155"/>
        <v>I9</v>
      </c>
      <c r="C3105" s="11" t="s">
        <v>17</v>
      </c>
      <c r="D3105" s="18">
        <f>VLOOKUP(C3105,'DISTRIBUIÇÃO NF4267'!$E$3:$FQ$75,MATCH(B3105,'DISTRIBUIÇÃO NF4267'!$E$3:$FQ$3,0)+1,0)</f>
        <v>9</v>
      </c>
      <c r="F3105" s="28">
        <f t="shared" si="153"/>
        <v>3</v>
      </c>
    </row>
    <row r="3106" spans="1:6" x14ac:dyDescent="0.35">
      <c r="A3106">
        <f t="shared" si="154"/>
        <v>0</v>
      </c>
      <c r="B3106" t="str">
        <f t="shared" si="155"/>
        <v>I9</v>
      </c>
      <c r="C3106" s="11" t="s">
        <v>18</v>
      </c>
      <c r="D3106" s="18">
        <f>VLOOKUP(C3106,'DISTRIBUIÇÃO NF4267'!$E$3:$FQ$75,MATCH(B3106,'DISTRIBUIÇÃO NF4267'!$E$3:$FQ$3,0)+1,0)</f>
        <v>3</v>
      </c>
      <c r="F3106" s="28">
        <f t="shared" si="153"/>
        <v>3</v>
      </c>
    </row>
    <row r="3107" spans="1:6" x14ac:dyDescent="0.35">
      <c r="A3107">
        <f t="shared" si="154"/>
        <v>0</v>
      </c>
      <c r="B3107" t="str">
        <f t="shared" si="155"/>
        <v>I9</v>
      </c>
      <c r="C3107" s="11" t="s">
        <v>19</v>
      </c>
      <c r="D3107" s="18">
        <f>VLOOKUP(C3107,'DISTRIBUIÇÃO NF4267'!$E$3:$FQ$75,MATCH(B3107,'DISTRIBUIÇÃO NF4267'!$E$3:$FQ$3,0)+1,0)</f>
        <v>3</v>
      </c>
      <c r="F3107" s="28">
        <f t="shared" si="153"/>
        <v>3</v>
      </c>
    </row>
    <row r="3108" spans="1:6" x14ac:dyDescent="0.35">
      <c r="A3108">
        <f t="shared" si="154"/>
        <v>0</v>
      </c>
      <c r="B3108" t="str">
        <f t="shared" si="155"/>
        <v>I9</v>
      </c>
      <c r="C3108" s="11" t="s">
        <v>20</v>
      </c>
      <c r="D3108" s="18">
        <f>VLOOKUP(C3108,'DISTRIBUIÇÃO NF4267'!$E$3:$FQ$75,MATCH(B3108,'DISTRIBUIÇÃO NF4267'!$E$3:$FQ$3,0)+1,0)</f>
        <v>15</v>
      </c>
      <c r="F3108" s="28">
        <f t="shared" si="153"/>
        <v>3</v>
      </c>
    </row>
    <row r="3109" spans="1:6" x14ac:dyDescent="0.35">
      <c r="A3109">
        <f t="shared" si="154"/>
        <v>0</v>
      </c>
      <c r="B3109" t="str">
        <f t="shared" si="155"/>
        <v>I9</v>
      </c>
      <c r="C3109" s="11" t="s">
        <v>21</v>
      </c>
      <c r="D3109" s="18">
        <f>VLOOKUP(C3109,'DISTRIBUIÇÃO NF4267'!$E$3:$FQ$75,MATCH(B3109,'DISTRIBUIÇÃO NF4267'!$E$3:$FQ$3,0)+1,0)</f>
        <v>0</v>
      </c>
      <c r="F3109" s="28">
        <f t="shared" si="153"/>
        <v>3</v>
      </c>
    </row>
    <row r="3110" spans="1:6" x14ac:dyDescent="0.35">
      <c r="A3110">
        <f t="shared" si="154"/>
        <v>0</v>
      </c>
      <c r="B3110" t="str">
        <f t="shared" si="155"/>
        <v>I9</v>
      </c>
      <c r="C3110" s="12" t="s">
        <v>130</v>
      </c>
      <c r="D3110" s="18">
        <f>VLOOKUP(C3110,'DISTRIBUIÇÃO NF4267'!$E$3:$FQ$75,MATCH(B3110,'DISTRIBUIÇÃO NF4267'!$E$3:$FQ$3,0)+1,0)</f>
        <v>0</v>
      </c>
      <c r="F3110" s="28">
        <f t="shared" si="153"/>
        <v>3</v>
      </c>
    </row>
    <row r="3111" spans="1:6" x14ac:dyDescent="0.35">
      <c r="A3111">
        <f t="shared" si="154"/>
        <v>0</v>
      </c>
      <c r="B3111" t="str">
        <f t="shared" si="155"/>
        <v>I9</v>
      </c>
      <c r="C3111" s="12" t="s">
        <v>131</v>
      </c>
      <c r="D3111" s="18">
        <f>VLOOKUP(C3111,'DISTRIBUIÇÃO NF4267'!$E$3:$FQ$75,MATCH(B3111,'DISTRIBUIÇÃO NF4267'!$E$3:$FQ$3,0)+1,0)</f>
        <v>0</v>
      </c>
      <c r="F3111" s="28">
        <f t="shared" si="153"/>
        <v>3</v>
      </c>
    </row>
    <row r="3112" spans="1:6" x14ac:dyDescent="0.35">
      <c r="A3112">
        <f t="shared" si="154"/>
        <v>0</v>
      </c>
      <c r="B3112" t="str">
        <f t="shared" si="155"/>
        <v>I9</v>
      </c>
      <c r="C3112" s="12" t="s">
        <v>132</v>
      </c>
      <c r="D3112" s="18">
        <f>VLOOKUP(C3112,'DISTRIBUIÇÃO NF4267'!$E$3:$FQ$75,MATCH(B3112,'DISTRIBUIÇÃO NF4267'!$E$3:$FQ$3,0)+1,0)</f>
        <v>0</v>
      </c>
      <c r="F3112" s="28">
        <f t="shared" si="153"/>
        <v>3</v>
      </c>
    </row>
    <row r="3113" spans="1:6" x14ac:dyDescent="0.35">
      <c r="A3113">
        <f t="shared" si="154"/>
        <v>0</v>
      </c>
      <c r="B3113" t="str">
        <f t="shared" si="155"/>
        <v>I9</v>
      </c>
      <c r="C3113" s="12" t="s">
        <v>133</v>
      </c>
      <c r="D3113" s="18">
        <f>VLOOKUP(C3113,'DISTRIBUIÇÃO NF4267'!$E$3:$FQ$75,MATCH(B3113,'DISTRIBUIÇÃO NF4267'!$E$3:$FQ$3,0)+1,0)</f>
        <v>0</v>
      </c>
      <c r="F3113" s="28">
        <f t="shared" si="153"/>
        <v>3</v>
      </c>
    </row>
    <row r="3114" spans="1:6" x14ac:dyDescent="0.35">
      <c r="A3114">
        <f t="shared" si="154"/>
        <v>0</v>
      </c>
      <c r="B3114" t="str">
        <f t="shared" si="155"/>
        <v>I9</v>
      </c>
      <c r="C3114" s="12" t="s">
        <v>134</v>
      </c>
      <c r="D3114" s="18">
        <f>VLOOKUP(C3114,'DISTRIBUIÇÃO NF4267'!$E$3:$FQ$75,MATCH(B3114,'DISTRIBUIÇÃO NF4267'!$E$3:$FQ$3,0)+1,0)</f>
        <v>0</v>
      </c>
      <c r="F3114" s="28">
        <f t="shared" si="153"/>
        <v>3</v>
      </c>
    </row>
    <row r="3115" spans="1:6" x14ac:dyDescent="0.35">
      <c r="A3115">
        <f t="shared" si="154"/>
        <v>0</v>
      </c>
      <c r="B3115" t="str">
        <f t="shared" si="155"/>
        <v>I9</v>
      </c>
      <c r="C3115" s="12" t="s">
        <v>135</v>
      </c>
      <c r="D3115" s="18">
        <f>VLOOKUP(C3115,'DISTRIBUIÇÃO NF4267'!$E$3:$FQ$75,MATCH(B3115,'DISTRIBUIÇÃO NF4267'!$E$3:$FQ$3,0)+1,0)</f>
        <v>0</v>
      </c>
      <c r="F3115" s="28">
        <f t="shared" si="153"/>
        <v>3</v>
      </c>
    </row>
    <row r="3116" spans="1:6" x14ac:dyDescent="0.35">
      <c r="A3116">
        <f t="shared" si="154"/>
        <v>0</v>
      </c>
      <c r="B3116" t="str">
        <f t="shared" si="155"/>
        <v>I9</v>
      </c>
      <c r="C3116" s="13" t="s">
        <v>22</v>
      </c>
      <c r="D3116" s="18">
        <f>VLOOKUP(C3116,'DISTRIBUIÇÃO NF4267'!$E$3:$FQ$75,MATCH(B3116,'DISTRIBUIÇÃO NF4267'!$E$3:$FQ$3,0)+1,0)</f>
        <v>0</v>
      </c>
      <c r="F3116" s="28">
        <f t="shared" si="153"/>
        <v>3</v>
      </c>
    </row>
    <row r="3117" spans="1:6" x14ac:dyDescent="0.35">
      <c r="A3117">
        <f t="shared" si="154"/>
        <v>0</v>
      </c>
      <c r="B3117" t="str">
        <f t="shared" si="155"/>
        <v>I9</v>
      </c>
      <c r="C3117" s="13" t="s">
        <v>23</v>
      </c>
      <c r="D3117" s="18">
        <f>VLOOKUP(C3117,'DISTRIBUIÇÃO NF4267'!$E$3:$FQ$75,MATCH(B3117,'DISTRIBUIÇÃO NF4267'!$E$3:$FQ$3,0)+1,0)</f>
        <v>0</v>
      </c>
      <c r="F3117" s="28">
        <f t="shared" si="153"/>
        <v>3</v>
      </c>
    </row>
    <row r="3118" spans="1:6" x14ac:dyDescent="0.35">
      <c r="A3118">
        <f t="shared" si="154"/>
        <v>0</v>
      </c>
      <c r="B3118" t="str">
        <f t="shared" si="155"/>
        <v>I9</v>
      </c>
      <c r="C3118" s="13" t="s">
        <v>24</v>
      </c>
      <c r="D3118" s="18">
        <f>VLOOKUP(C3118,'DISTRIBUIÇÃO NF4267'!$E$3:$FQ$75,MATCH(B3118,'DISTRIBUIÇÃO NF4267'!$E$3:$FQ$3,0)+1,0)</f>
        <v>0</v>
      </c>
      <c r="F3118" s="28">
        <f t="shared" si="153"/>
        <v>3</v>
      </c>
    </row>
    <row r="3119" spans="1:6" x14ac:dyDescent="0.35">
      <c r="A3119">
        <f t="shared" si="154"/>
        <v>0</v>
      </c>
      <c r="B3119" t="str">
        <f t="shared" si="155"/>
        <v>I9</v>
      </c>
      <c r="C3119" s="13" t="s">
        <v>25</v>
      </c>
      <c r="D3119" s="18">
        <f>VLOOKUP(C3119,'DISTRIBUIÇÃO NF4267'!$E$3:$FQ$75,MATCH(B3119,'DISTRIBUIÇÃO NF4267'!$E$3:$FQ$3,0)+1,0)</f>
        <v>0</v>
      </c>
      <c r="F3119" s="28">
        <f t="shared" si="153"/>
        <v>3</v>
      </c>
    </row>
    <row r="3120" spans="1:6" x14ac:dyDescent="0.35">
      <c r="A3120">
        <f t="shared" si="154"/>
        <v>0</v>
      </c>
      <c r="B3120" t="str">
        <f t="shared" si="155"/>
        <v>I9</v>
      </c>
      <c r="C3120" s="13" t="s">
        <v>26</v>
      </c>
      <c r="D3120" s="18">
        <f>VLOOKUP(C3120,'DISTRIBUIÇÃO NF4267'!$E$3:$FQ$75,MATCH(B3120,'DISTRIBUIÇÃO NF4267'!$E$3:$FQ$3,0)+1,0)</f>
        <v>0</v>
      </c>
      <c r="F3120" s="28">
        <f t="shared" si="153"/>
        <v>3</v>
      </c>
    </row>
    <row r="3121" spans="1:6" x14ac:dyDescent="0.35">
      <c r="A3121">
        <f t="shared" si="154"/>
        <v>0</v>
      </c>
      <c r="B3121" t="str">
        <f t="shared" si="155"/>
        <v>I9</v>
      </c>
      <c r="C3121" s="13" t="s">
        <v>27</v>
      </c>
      <c r="D3121" s="18">
        <f>VLOOKUP(C3121,'DISTRIBUIÇÃO NF4267'!$E$3:$FQ$75,MATCH(B3121,'DISTRIBUIÇÃO NF4267'!$E$3:$FQ$3,0)+1,0)</f>
        <v>0</v>
      </c>
      <c r="F3121" s="28">
        <f t="shared" si="153"/>
        <v>3</v>
      </c>
    </row>
    <row r="3122" spans="1:6" x14ac:dyDescent="0.35">
      <c r="A3122">
        <f t="shared" si="154"/>
        <v>0</v>
      </c>
      <c r="B3122" t="str">
        <f t="shared" si="155"/>
        <v>I9</v>
      </c>
      <c r="C3122" s="14" t="s">
        <v>138</v>
      </c>
      <c r="D3122" s="18">
        <f>VLOOKUP(C3122,'DISTRIBUIÇÃO NF4267'!$E$3:$FQ$75,MATCH(B3122,'DISTRIBUIÇÃO NF4267'!$E$3:$FQ$3,0)+1,0)</f>
        <v>0</v>
      </c>
      <c r="F3122" s="28">
        <f t="shared" si="153"/>
        <v>3</v>
      </c>
    </row>
    <row r="3123" spans="1:6" x14ac:dyDescent="0.35">
      <c r="A3123">
        <f t="shared" si="154"/>
        <v>0</v>
      </c>
      <c r="B3123" t="str">
        <f t="shared" si="155"/>
        <v>I9</v>
      </c>
      <c r="C3123" s="14" t="s">
        <v>139</v>
      </c>
      <c r="D3123" s="18">
        <f>VLOOKUP(C3123,'DISTRIBUIÇÃO NF4267'!$E$3:$FQ$75,MATCH(B3123,'DISTRIBUIÇÃO NF4267'!$E$3:$FQ$3,0)+1,0)</f>
        <v>2</v>
      </c>
      <c r="F3123" s="28">
        <f t="shared" si="153"/>
        <v>3</v>
      </c>
    </row>
    <row r="3124" spans="1:6" x14ac:dyDescent="0.35">
      <c r="A3124">
        <f t="shared" si="154"/>
        <v>0</v>
      </c>
      <c r="B3124" t="str">
        <f t="shared" si="155"/>
        <v>I9</v>
      </c>
      <c r="C3124" s="14" t="s">
        <v>140</v>
      </c>
      <c r="D3124" s="18">
        <f>VLOOKUP(C3124,'DISTRIBUIÇÃO NF4267'!$E$3:$FQ$75,MATCH(B3124,'DISTRIBUIÇÃO NF4267'!$E$3:$FQ$3,0)+1,0)</f>
        <v>4</v>
      </c>
      <c r="F3124" s="28">
        <f t="shared" si="153"/>
        <v>3</v>
      </c>
    </row>
    <row r="3125" spans="1:6" x14ac:dyDescent="0.35">
      <c r="A3125">
        <f t="shared" si="154"/>
        <v>0</v>
      </c>
      <c r="B3125" t="str">
        <f t="shared" si="155"/>
        <v>I9</v>
      </c>
      <c r="C3125" s="14" t="s">
        <v>141</v>
      </c>
      <c r="D3125" s="18">
        <f>VLOOKUP(C3125,'DISTRIBUIÇÃO NF4267'!$E$3:$FQ$75,MATCH(B3125,'DISTRIBUIÇÃO NF4267'!$E$3:$FQ$3,0)+1,0)</f>
        <v>2</v>
      </c>
      <c r="F3125" s="28">
        <f t="shared" si="153"/>
        <v>3</v>
      </c>
    </row>
    <row r="3126" spans="1:6" x14ac:dyDescent="0.35">
      <c r="A3126">
        <f t="shared" si="154"/>
        <v>0</v>
      </c>
      <c r="B3126" t="str">
        <f t="shared" si="155"/>
        <v>I9</v>
      </c>
      <c r="C3126" s="14" t="s">
        <v>142</v>
      </c>
      <c r="D3126" s="18">
        <f>VLOOKUP(C3126,'DISTRIBUIÇÃO NF4267'!$E$3:$FQ$75,MATCH(B3126,'DISTRIBUIÇÃO NF4267'!$E$3:$FQ$3,0)+1,0)</f>
        <v>2</v>
      </c>
      <c r="F3126" s="28">
        <f t="shared" si="153"/>
        <v>3</v>
      </c>
    </row>
    <row r="3127" spans="1:6" x14ac:dyDescent="0.35">
      <c r="A3127">
        <f t="shared" si="154"/>
        <v>0</v>
      </c>
      <c r="B3127" t="str">
        <f t="shared" si="155"/>
        <v>I9</v>
      </c>
      <c r="C3127" s="14" t="s">
        <v>143</v>
      </c>
      <c r="D3127" s="18">
        <f>VLOOKUP(C3127,'DISTRIBUIÇÃO NF4267'!$E$3:$FQ$75,MATCH(B3127,'DISTRIBUIÇÃO NF4267'!$E$3:$FQ$3,0)+1,0)</f>
        <v>0</v>
      </c>
      <c r="F3127" s="28">
        <f t="shared" si="153"/>
        <v>3</v>
      </c>
    </row>
    <row r="3128" spans="1:6" x14ac:dyDescent="0.35">
      <c r="A3128">
        <f t="shared" si="154"/>
        <v>0</v>
      </c>
      <c r="B3128" t="str">
        <f t="shared" si="155"/>
        <v>I9</v>
      </c>
      <c r="C3128" s="15" t="s">
        <v>145</v>
      </c>
      <c r="D3128" s="18">
        <f>VLOOKUP(C3128,'DISTRIBUIÇÃO NF4267'!$E$3:$FQ$75,MATCH(B3128,'DISTRIBUIÇÃO NF4267'!$E$3:$FQ$3,0)+1,0)</f>
        <v>0</v>
      </c>
      <c r="F3128" s="28">
        <f t="shared" ref="F3128:F3191" si="156">ROUNDUP(SUMIFS(D:D,B:B,B3128)/80,0)</f>
        <v>3</v>
      </c>
    </row>
    <row r="3129" spans="1:6" x14ac:dyDescent="0.35">
      <c r="A3129">
        <f t="shared" si="154"/>
        <v>0</v>
      </c>
      <c r="B3129" t="str">
        <f t="shared" si="155"/>
        <v>I9</v>
      </c>
      <c r="C3129" s="15" t="s">
        <v>146</v>
      </c>
      <c r="D3129" s="18">
        <f>VLOOKUP(C3129,'DISTRIBUIÇÃO NF4267'!$E$3:$FQ$75,MATCH(B3129,'DISTRIBUIÇÃO NF4267'!$E$3:$FQ$3,0)+1,0)</f>
        <v>2</v>
      </c>
      <c r="F3129" s="28">
        <f t="shared" si="156"/>
        <v>3</v>
      </c>
    </row>
    <row r="3130" spans="1:6" x14ac:dyDescent="0.35">
      <c r="A3130">
        <f t="shared" si="154"/>
        <v>0</v>
      </c>
      <c r="B3130" t="str">
        <f t="shared" si="155"/>
        <v>I9</v>
      </c>
      <c r="C3130" s="15" t="s">
        <v>147</v>
      </c>
      <c r="D3130" s="18">
        <f>VLOOKUP(C3130,'DISTRIBUIÇÃO NF4267'!$E$3:$FQ$75,MATCH(B3130,'DISTRIBUIÇÃO NF4267'!$E$3:$FQ$3,0)+1,0)</f>
        <v>4</v>
      </c>
      <c r="F3130" s="28">
        <f t="shared" si="156"/>
        <v>3</v>
      </c>
    </row>
    <row r="3131" spans="1:6" x14ac:dyDescent="0.35">
      <c r="A3131">
        <f t="shared" si="154"/>
        <v>0</v>
      </c>
      <c r="B3131" t="str">
        <f t="shared" si="155"/>
        <v>I9</v>
      </c>
      <c r="C3131" s="15" t="s">
        <v>148</v>
      </c>
      <c r="D3131" s="18">
        <f>VLOOKUP(C3131,'DISTRIBUIÇÃO NF4267'!$E$3:$FQ$75,MATCH(B3131,'DISTRIBUIÇÃO NF4267'!$E$3:$FQ$3,0)+1,0)</f>
        <v>2</v>
      </c>
      <c r="F3131" s="28">
        <f t="shared" si="156"/>
        <v>3</v>
      </c>
    </row>
    <row r="3132" spans="1:6" x14ac:dyDescent="0.35">
      <c r="A3132">
        <f t="shared" si="154"/>
        <v>0</v>
      </c>
      <c r="B3132" t="str">
        <f t="shared" si="155"/>
        <v>I9</v>
      </c>
      <c r="C3132" s="15" t="s">
        <v>149</v>
      </c>
      <c r="D3132" s="18">
        <f>VLOOKUP(C3132,'DISTRIBUIÇÃO NF4267'!$E$3:$FQ$75,MATCH(B3132,'DISTRIBUIÇÃO NF4267'!$E$3:$FQ$3,0)+1,0)</f>
        <v>2</v>
      </c>
      <c r="F3132" s="28">
        <f t="shared" si="156"/>
        <v>3</v>
      </c>
    </row>
    <row r="3133" spans="1:6" x14ac:dyDescent="0.35">
      <c r="A3133">
        <f t="shared" si="154"/>
        <v>0</v>
      </c>
      <c r="B3133" t="str">
        <f t="shared" si="155"/>
        <v>I9</v>
      </c>
      <c r="C3133" s="15" t="s">
        <v>150</v>
      </c>
      <c r="D3133" s="18">
        <f>VLOOKUP(C3133,'DISTRIBUIÇÃO NF4267'!$E$3:$FQ$75,MATCH(B3133,'DISTRIBUIÇÃO NF4267'!$E$3:$FQ$3,0)+1,0)</f>
        <v>0</v>
      </c>
      <c r="F3133" s="28">
        <f t="shared" si="156"/>
        <v>3</v>
      </c>
    </row>
    <row r="3134" spans="1:6" x14ac:dyDescent="0.35">
      <c r="A3134">
        <f t="shared" si="154"/>
        <v>0</v>
      </c>
      <c r="B3134" t="s">
        <v>68</v>
      </c>
      <c r="C3134" s="7" t="s">
        <v>98</v>
      </c>
      <c r="D3134" s="18">
        <f>VLOOKUP(C3134,'DISTRIBUIÇÃO NF4267'!$E$3:$FQ$75,MATCH(B3134,'DISTRIBUIÇÃO NF4267'!$E$3:$FQ$3,0)+1,0)</f>
        <v>0</v>
      </c>
      <c r="F3134" s="28">
        <f t="shared" si="156"/>
        <v>3</v>
      </c>
    </row>
    <row r="3135" spans="1:6" x14ac:dyDescent="0.35">
      <c r="A3135">
        <f t="shared" si="154"/>
        <v>0</v>
      </c>
      <c r="B3135" t="str">
        <f>B3134</f>
        <v>IE</v>
      </c>
      <c r="C3135" s="7" t="s">
        <v>99</v>
      </c>
      <c r="D3135" s="18">
        <f>VLOOKUP(C3135,'DISTRIBUIÇÃO NF4267'!$E$3:$FQ$75,MATCH(B3135,'DISTRIBUIÇÃO NF4267'!$E$3:$FQ$3,0)+1,0)</f>
        <v>4</v>
      </c>
      <c r="F3135" s="28">
        <f t="shared" si="156"/>
        <v>3</v>
      </c>
    </row>
    <row r="3136" spans="1:6" x14ac:dyDescent="0.35">
      <c r="A3136">
        <f t="shared" si="154"/>
        <v>0</v>
      </c>
      <c r="B3136" t="str">
        <f t="shared" ref="B3136:B3187" si="157">B3135</f>
        <v>IE</v>
      </c>
      <c r="C3136" s="7" t="s">
        <v>100</v>
      </c>
      <c r="D3136" s="18">
        <f>VLOOKUP(C3136,'DISTRIBUIÇÃO NF4267'!$E$3:$FQ$75,MATCH(B3136,'DISTRIBUIÇÃO NF4267'!$E$3:$FQ$3,0)+1,0)</f>
        <v>8</v>
      </c>
      <c r="F3136" s="28">
        <f t="shared" si="156"/>
        <v>3</v>
      </c>
    </row>
    <row r="3137" spans="1:6" x14ac:dyDescent="0.35">
      <c r="A3137">
        <f t="shared" si="154"/>
        <v>0</v>
      </c>
      <c r="B3137" t="str">
        <f t="shared" si="157"/>
        <v>IE</v>
      </c>
      <c r="C3137" s="7" t="s">
        <v>101</v>
      </c>
      <c r="D3137" s="18">
        <f>VLOOKUP(C3137,'DISTRIBUIÇÃO NF4267'!$E$3:$FQ$75,MATCH(B3137,'DISTRIBUIÇÃO NF4267'!$E$3:$FQ$3,0)+1,0)</f>
        <v>4</v>
      </c>
      <c r="F3137" s="28">
        <f t="shared" si="156"/>
        <v>3</v>
      </c>
    </row>
    <row r="3138" spans="1:6" x14ac:dyDescent="0.35">
      <c r="A3138">
        <f t="shared" ref="A3138:A3201" si="158">IF(ISERROR(VLOOKUP(C3138,I:I,1,0)),0,1)</f>
        <v>0</v>
      </c>
      <c r="B3138" t="str">
        <f t="shared" si="157"/>
        <v>IE</v>
      </c>
      <c r="C3138" s="7" t="s">
        <v>102</v>
      </c>
      <c r="D3138" s="18">
        <f>VLOOKUP(C3138,'DISTRIBUIÇÃO NF4267'!$E$3:$FQ$75,MATCH(B3138,'DISTRIBUIÇÃO NF4267'!$E$3:$FQ$3,0)+1,0)</f>
        <v>4</v>
      </c>
      <c r="F3138" s="28">
        <f t="shared" si="156"/>
        <v>3</v>
      </c>
    </row>
    <row r="3139" spans="1:6" x14ac:dyDescent="0.35">
      <c r="A3139">
        <f t="shared" si="158"/>
        <v>0</v>
      </c>
      <c r="B3139" t="str">
        <f t="shared" si="157"/>
        <v>IE</v>
      </c>
      <c r="C3139" s="7" t="s">
        <v>103</v>
      </c>
      <c r="D3139" s="18">
        <f>VLOOKUP(C3139,'DISTRIBUIÇÃO NF4267'!$E$3:$FQ$75,MATCH(B3139,'DISTRIBUIÇÃO NF4267'!$E$3:$FQ$3,0)+1,0)</f>
        <v>0</v>
      </c>
      <c r="F3139" s="28">
        <f t="shared" si="156"/>
        <v>3</v>
      </c>
    </row>
    <row r="3140" spans="1:6" x14ac:dyDescent="0.35">
      <c r="A3140">
        <f t="shared" si="158"/>
        <v>0</v>
      </c>
      <c r="B3140" t="str">
        <f t="shared" si="157"/>
        <v>IE</v>
      </c>
      <c r="C3140" s="8" t="s">
        <v>107</v>
      </c>
      <c r="D3140" s="18">
        <f>VLOOKUP(C3140,'DISTRIBUIÇÃO NF4267'!$E$3:$FQ$75,MATCH(B3140,'DISTRIBUIÇÃO NF4267'!$E$3:$FQ$3,0)+1,0)</f>
        <v>0</v>
      </c>
      <c r="F3140" s="28">
        <f t="shared" si="156"/>
        <v>3</v>
      </c>
    </row>
    <row r="3141" spans="1:6" x14ac:dyDescent="0.35">
      <c r="A3141">
        <f t="shared" si="158"/>
        <v>0</v>
      </c>
      <c r="B3141" t="str">
        <f t="shared" si="157"/>
        <v>IE</v>
      </c>
      <c r="C3141" s="8" t="s">
        <v>108</v>
      </c>
      <c r="D3141" s="18">
        <f>VLOOKUP(C3141,'DISTRIBUIÇÃO NF4267'!$E$3:$FQ$75,MATCH(B3141,'DISTRIBUIÇÃO NF4267'!$E$3:$FQ$3,0)+1,0)</f>
        <v>2</v>
      </c>
      <c r="F3141" s="28">
        <f t="shared" si="156"/>
        <v>3</v>
      </c>
    </row>
    <row r="3142" spans="1:6" x14ac:dyDescent="0.35">
      <c r="A3142">
        <f t="shared" si="158"/>
        <v>0</v>
      </c>
      <c r="B3142" t="str">
        <f t="shared" si="157"/>
        <v>IE</v>
      </c>
      <c r="C3142" s="8" t="s">
        <v>109</v>
      </c>
      <c r="D3142" s="18">
        <f>VLOOKUP(C3142,'DISTRIBUIÇÃO NF4267'!$E$3:$FQ$75,MATCH(B3142,'DISTRIBUIÇÃO NF4267'!$E$3:$FQ$3,0)+1,0)</f>
        <v>4</v>
      </c>
      <c r="F3142" s="28">
        <f t="shared" si="156"/>
        <v>3</v>
      </c>
    </row>
    <row r="3143" spans="1:6" x14ac:dyDescent="0.35">
      <c r="A3143">
        <f t="shared" si="158"/>
        <v>0</v>
      </c>
      <c r="B3143" t="str">
        <f t="shared" si="157"/>
        <v>IE</v>
      </c>
      <c r="C3143" s="8" t="s">
        <v>110</v>
      </c>
      <c r="D3143" s="18">
        <f>VLOOKUP(C3143,'DISTRIBUIÇÃO NF4267'!$E$3:$FQ$75,MATCH(B3143,'DISTRIBUIÇÃO NF4267'!$E$3:$FQ$3,0)+1,0)</f>
        <v>2</v>
      </c>
      <c r="F3143" s="28">
        <f t="shared" si="156"/>
        <v>3</v>
      </c>
    </row>
    <row r="3144" spans="1:6" x14ac:dyDescent="0.35">
      <c r="A3144">
        <f t="shared" si="158"/>
        <v>0</v>
      </c>
      <c r="B3144" t="str">
        <f t="shared" si="157"/>
        <v>IE</v>
      </c>
      <c r="C3144" s="8" t="s">
        <v>111</v>
      </c>
      <c r="D3144" s="18">
        <f>VLOOKUP(C3144,'DISTRIBUIÇÃO NF4267'!$E$3:$FQ$75,MATCH(B3144,'DISTRIBUIÇÃO NF4267'!$E$3:$FQ$3,0)+1,0)</f>
        <v>2</v>
      </c>
      <c r="F3144" s="28">
        <f t="shared" si="156"/>
        <v>3</v>
      </c>
    </row>
    <row r="3145" spans="1:6" x14ac:dyDescent="0.35">
      <c r="A3145">
        <f t="shared" si="158"/>
        <v>0</v>
      </c>
      <c r="B3145" t="str">
        <f t="shared" si="157"/>
        <v>IE</v>
      </c>
      <c r="C3145" s="8" t="s">
        <v>112</v>
      </c>
      <c r="D3145" s="18">
        <f>VLOOKUP(C3145,'DISTRIBUIÇÃO NF4267'!$E$3:$FQ$75,MATCH(B3145,'DISTRIBUIÇÃO NF4267'!$E$3:$FQ$3,0)+1,0)</f>
        <v>0</v>
      </c>
      <c r="F3145" s="28">
        <f t="shared" si="156"/>
        <v>3</v>
      </c>
    </row>
    <row r="3146" spans="1:6" x14ac:dyDescent="0.35">
      <c r="A3146">
        <f t="shared" si="158"/>
        <v>0</v>
      </c>
      <c r="B3146" t="str">
        <f t="shared" si="157"/>
        <v>IE</v>
      </c>
      <c r="C3146" s="9" t="s">
        <v>113</v>
      </c>
      <c r="D3146" s="18">
        <f>VLOOKUP(C3146,'DISTRIBUIÇÃO NF4267'!$E$3:$FQ$75,MATCH(B3146,'DISTRIBUIÇÃO NF4267'!$E$3:$FQ$3,0)+1,0)</f>
        <v>0</v>
      </c>
      <c r="F3146" s="28">
        <f t="shared" si="156"/>
        <v>3</v>
      </c>
    </row>
    <row r="3147" spans="1:6" x14ac:dyDescent="0.35">
      <c r="A3147">
        <f t="shared" si="158"/>
        <v>0</v>
      </c>
      <c r="B3147" t="str">
        <f t="shared" si="157"/>
        <v>IE</v>
      </c>
      <c r="C3147" s="9" t="s">
        <v>114</v>
      </c>
      <c r="D3147" s="18">
        <f>VLOOKUP(C3147,'DISTRIBUIÇÃO NF4267'!$E$3:$FQ$75,MATCH(B3147,'DISTRIBUIÇÃO NF4267'!$E$3:$FQ$3,0)+1,0)</f>
        <v>3</v>
      </c>
      <c r="F3147" s="28">
        <f t="shared" si="156"/>
        <v>3</v>
      </c>
    </row>
    <row r="3148" spans="1:6" x14ac:dyDescent="0.35">
      <c r="A3148">
        <f t="shared" si="158"/>
        <v>0</v>
      </c>
      <c r="B3148" t="str">
        <f t="shared" si="157"/>
        <v>IE</v>
      </c>
      <c r="C3148" s="9" t="s">
        <v>115</v>
      </c>
      <c r="D3148" s="18">
        <f>VLOOKUP(C3148,'DISTRIBUIÇÃO NF4267'!$E$3:$FQ$75,MATCH(B3148,'DISTRIBUIÇÃO NF4267'!$E$3:$FQ$3,0)+1,0)</f>
        <v>4</v>
      </c>
      <c r="F3148" s="28">
        <f t="shared" si="156"/>
        <v>3</v>
      </c>
    </row>
    <row r="3149" spans="1:6" x14ac:dyDescent="0.35">
      <c r="A3149">
        <f t="shared" si="158"/>
        <v>0</v>
      </c>
      <c r="B3149" t="str">
        <f t="shared" si="157"/>
        <v>IE</v>
      </c>
      <c r="C3149" s="9" t="s">
        <v>116</v>
      </c>
      <c r="D3149" s="18">
        <f>VLOOKUP(C3149,'DISTRIBUIÇÃO NF4267'!$E$3:$FQ$75,MATCH(B3149,'DISTRIBUIÇÃO NF4267'!$E$3:$FQ$3,0)+1,0)</f>
        <v>2</v>
      </c>
      <c r="F3149" s="28">
        <f t="shared" si="156"/>
        <v>3</v>
      </c>
    </row>
    <row r="3150" spans="1:6" x14ac:dyDescent="0.35">
      <c r="A3150">
        <f t="shared" si="158"/>
        <v>0</v>
      </c>
      <c r="B3150" t="str">
        <f t="shared" si="157"/>
        <v>IE</v>
      </c>
      <c r="C3150" s="9" t="s">
        <v>117</v>
      </c>
      <c r="D3150" s="18">
        <f>VLOOKUP(C3150,'DISTRIBUIÇÃO NF4267'!$E$3:$FQ$75,MATCH(B3150,'DISTRIBUIÇÃO NF4267'!$E$3:$FQ$3,0)+1,0)</f>
        <v>1</v>
      </c>
      <c r="F3150" s="28">
        <f t="shared" si="156"/>
        <v>3</v>
      </c>
    </row>
    <row r="3151" spans="1:6" x14ac:dyDescent="0.35">
      <c r="A3151">
        <f t="shared" si="158"/>
        <v>0</v>
      </c>
      <c r="B3151" t="str">
        <f t="shared" si="157"/>
        <v>IE</v>
      </c>
      <c r="C3151" s="9" t="s">
        <v>118</v>
      </c>
      <c r="D3151" s="18">
        <f>VLOOKUP(C3151,'DISTRIBUIÇÃO NF4267'!$E$3:$FQ$75,MATCH(B3151,'DISTRIBUIÇÃO NF4267'!$E$3:$FQ$3,0)+1,0)</f>
        <v>0</v>
      </c>
      <c r="F3151" s="28">
        <f t="shared" si="156"/>
        <v>3</v>
      </c>
    </row>
    <row r="3152" spans="1:6" x14ac:dyDescent="0.35">
      <c r="A3152">
        <f t="shared" si="158"/>
        <v>0</v>
      </c>
      <c r="B3152" t="str">
        <f t="shared" si="157"/>
        <v>IE</v>
      </c>
      <c r="C3152" s="10" t="s">
        <v>119</v>
      </c>
      <c r="D3152" s="18">
        <f>VLOOKUP(C3152,'DISTRIBUIÇÃO NF4267'!$E$3:$FQ$75,MATCH(B3152,'DISTRIBUIÇÃO NF4267'!$E$3:$FQ$3,0)+1,0)</f>
        <v>0</v>
      </c>
      <c r="F3152" s="28">
        <f t="shared" si="156"/>
        <v>3</v>
      </c>
    </row>
    <row r="3153" spans="1:6" x14ac:dyDescent="0.35">
      <c r="A3153">
        <f t="shared" si="158"/>
        <v>0</v>
      </c>
      <c r="B3153" t="str">
        <f t="shared" si="157"/>
        <v>IE</v>
      </c>
      <c r="C3153" s="10" t="s">
        <v>120</v>
      </c>
      <c r="D3153" s="18">
        <f>VLOOKUP(C3153,'DISTRIBUIÇÃO NF4267'!$E$3:$FQ$75,MATCH(B3153,'DISTRIBUIÇÃO NF4267'!$E$3:$FQ$3,0)+1,0)</f>
        <v>48</v>
      </c>
      <c r="F3153" s="28">
        <f t="shared" si="156"/>
        <v>3</v>
      </c>
    </row>
    <row r="3154" spans="1:6" x14ac:dyDescent="0.35">
      <c r="A3154">
        <f t="shared" si="158"/>
        <v>0</v>
      </c>
      <c r="B3154" t="str">
        <f t="shared" si="157"/>
        <v>IE</v>
      </c>
      <c r="C3154" s="10" t="s">
        <v>121</v>
      </c>
      <c r="D3154" s="18">
        <f>VLOOKUP(C3154,'DISTRIBUIÇÃO NF4267'!$E$3:$FQ$75,MATCH(B3154,'DISTRIBUIÇÃO NF4267'!$E$3:$FQ$3,0)+1,0)</f>
        <v>16</v>
      </c>
      <c r="F3154" s="28">
        <f t="shared" si="156"/>
        <v>3</v>
      </c>
    </row>
    <row r="3155" spans="1:6" x14ac:dyDescent="0.35">
      <c r="A3155">
        <f t="shared" si="158"/>
        <v>0</v>
      </c>
      <c r="B3155" t="str">
        <f t="shared" si="157"/>
        <v>IE</v>
      </c>
      <c r="C3155" s="10" t="s">
        <v>122</v>
      </c>
      <c r="D3155" s="18">
        <f>VLOOKUP(C3155,'DISTRIBUIÇÃO NF4267'!$E$3:$FQ$75,MATCH(B3155,'DISTRIBUIÇÃO NF4267'!$E$3:$FQ$3,0)+1,0)</f>
        <v>16</v>
      </c>
      <c r="F3155" s="28">
        <f t="shared" si="156"/>
        <v>3</v>
      </c>
    </row>
    <row r="3156" spans="1:6" x14ac:dyDescent="0.35">
      <c r="A3156">
        <f t="shared" si="158"/>
        <v>0</v>
      </c>
      <c r="B3156" t="str">
        <f t="shared" si="157"/>
        <v>IE</v>
      </c>
      <c r="C3156" s="10" t="s">
        <v>123</v>
      </c>
      <c r="D3156" s="18">
        <f>VLOOKUP(C3156,'DISTRIBUIÇÃO NF4267'!$E$3:$FQ$75,MATCH(B3156,'DISTRIBUIÇÃO NF4267'!$E$3:$FQ$3,0)+1,0)</f>
        <v>0</v>
      </c>
      <c r="F3156" s="28">
        <f t="shared" si="156"/>
        <v>3</v>
      </c>
    </row>
    <row r="3157" spans="1:6" x14ac:dyDescent="0.35">
      <c r="A3157">
        <f t="shared" si="158"/>
        <v>0</v>
      </c>
      <c r="B3157" t="str">
        <f t="shared" si="157"/>
        <v>IE</v>
      </c>
      <c r="C3157" s="10" t="s">
        <v>124</v>
      </c>
      <c r="D3157" s="18">
        <f>VLOOKUP(C3157,'DISTRIBUIÇÃO NF4267'!$E$3:$FQ$75,MATCH(B3157,'DISTRIBUIÇÃO NF4267'!$E$3:$FQ$3,0)+1,0)</f>
        <v>0</v>
      </c>
      <c r="F3157" s="28">
        <f t="shared" si="156"/>
        <v>3</v>
      </c>
    </row>
    <row r="3158" spans="1:6" x14ac:dyDescent="0.35">
      <c r="A3158">
        <f t="shared" si="158"/>
        <v>0</v>
      </c>
      <c r="B3158" t="str">
        <f t="shared" si="157"/>
        <v>IE</v>
      </c>
      <c r="C3158" s="11" t="s">
        <v>16</v>
      </c>
      <c r="D3158" s="18">
        <f>VLOOKUP(C3158,'DISTRIBUIÇÃO NF4267'!$E$3:$FQ$75,MATCH(B3158,'DISTRIBUIÇÃO NF4267'!$E$3:$FQ$3,0)+1,0)</f>
        <v>0</v>
      </c>
      <c r="F3158" s="28">
        <f t="shared" si="156"/>
        <v>3</v>
      </c>
    </row>
    <row r="3159" spans="1:6" x14ac:dyDescent="0.35">
      <c r="A3159">
        <f t="shared" si="158"/>
        <v>0</v>
      </c>
      <c r="B3159" t="str">
        <f t="shared" si="157"/>
        <v>IE</v>
      </c>
      <c r="C3159" s="11" t="s">
        <v>17</v>
      </c>
      <c r="D3159" s="18">
        <f>VLOOKUP(C3159,'DISTRIBUIÇÃO NF4267'!$E$3:$FQ$75,MATCH(B3159,'DISTRIBUIÇÃO NF4267'!$E$3:$FQ$3,0)+1,0)</f>
        <v>9</v>
      </c>
      <c r="F3159" s="28">
        <f t="shared" si="156"/>
        <v>3</v>
      </c>
    </row>
    <row r="3160" spans="1:6" x14ac:dyDescent="0.35">
      <c r="A3160">
        <f t="shared" si="158"/>
        <v>0</v>
      </c>
      <c r="B3160" t="str">
        <f t="shared" si="157"/>
        <v>IE</v>
      </c>
      <c r="C3160" s="11" t="s">
        <v>18</v>
      </c>
      <c r="D3160" s="18">
        <f>VLOOKUP(C3160,'DISTRIBUIÇÃO NF4267'!$E$3:$FQ$75,MATCH(B3160,'DISTRIBUIÇÃO NF4267'!$E$3:$FQ$3,0)+1,0)</f>
        <v>3</v>
      </c>
      <c r="F3160" s="28">
        <f t="shared" si="156"/>
        <v>3</v>
      </c>
    </row>
    <row r="3161" spans="1:6" x14ac:dyDescent="0.35">
      <c r="A3161">
        <f t="shared" si="158"/>
        <v>0</v>
      </c>
      <c r="B3161" t="str">
        <f t="shared" si="157"/>
        <v>IE</v>
      </c>
      <c r="C3161" s="11" t="s">
        <v>19</v>
      </c>
      <c r="D3161" s="18">
        <f>VLOOKUP(C3161,'DISTRIBUIÇÃO NF4267'!$E$3:$FQ$75,MATCH(B3161,'DISTRIBUIÇÃO NF4267'!$E$3:$FQ$3,0)+1,0)</f>
        <v>3</v>
      </c>
      <c r="F3161" s="28">
        <f t="shared" si="156"/>
        <v>3</v>
      </c>
    </row>
    <row r="3162" spans="1:6" x14ac:dyDescent="0.35">
      <c r="A3162">
        <f t="shared" si="158"/>
        <v>0</v>
      </c>
      <c r="B3162" t="str">
        <f t="shared" si="157"/>
        <v>IE</v>
      </c>
      <c r="C3162" s="11" t="s">
        <v>20</v>
      </c>
      <c r="D3162" s="18">
        <f>VLOOKUP(C3162,'DISTRIBUIÇÃO NF4267'!$E$3:$FQ$75,MATCH(B3162,'DISTRIBUIÇÃO NF4267'!$E$3:$FQ$3,0)+1,0)</f>
        <v>15</v>
      </c>
      <c r="F3162" s="28">
        <f t="shared" si="156"/>
        <v>3</v>
      </c>
    </row>
    <row r="3163" spans="1:6" x14ac:dyDescent="0.35">
      <c r="A3163">
        <f t="shared" si="158"/>
        <v>0</v>
      </c>
      <c r="B3163" t="str">
        <f t="shared" si="157"/>
        <v>IE</v>
      </c>
      <c r="C3163" s="11" t="s">
        <v>21</v>
      </c>
      <c r="D3163" s="18">
        <f>VLOOKUP(C3163,'DISTRIBUIÇÃO NF4267'!$E$3:$FQ$75,MATCH(B3163,'DISTRIBUIÇÃO NF4267'!$E$3:$FQ$3,0)+1,0)</f>
        <v>0</v>
      </c>
      <c r="F3163" s="28">
        <f t="shared" si="156"/>
        <v>3</v>
      </c>
    </row>
    <row r="3164" spans="1:6" x14ac:dyDescent="0.35">
      <c r="A3164">
        <f t="shared" si="158"/>
        <v>0</v>
      </c>
      <c r="B3164" t="str">
        <f t="shared" si="157"/>
        <v>IE</v>
      </c>
      <c r="C3164" s="12" t="s">
        <v>130</v>
      </c>
      <c r="D3164" s="18">
        <f>VLOOKUP(C3164,'DISTRIBUIÇÃO NF4267'!$E$3:$FQ$75,MATCH(B3164,'DISTRIBUIÇÃO NF4267'!$E$3:$FQ$3,0)+1,0)</f>
        <v>0</v>
      </c>
      <c r="F3164" s="28">
        <f t="shared" si="156"/>
        <v>3</v>
      </c>
    </row>
    <row r="3165" spans="1:6" x14ac:dyDescent="0.35">
      <c r="A3165">
        <f t="shared" si="158"/>
        <v>0</v>
      </c>
      <c r="B3165" t="str">
        <f t="shared" si="157"/>
        <v>IE</v>
      </c>
      <c r="C3165" s="12" t="s">
        <v>131</v>
      </c>
      <c r="D3165" s="18">
        <f>VLOOKUP(C3165,'DISTRIBUIÇÃO NF4267'!$E$3:$FQ$75,MATCH(B3165,'DISTRIBUIÇÃO NF4267'!$E$3:$FQ$3,0)+1,0)</f>
        <v>0</v>
      </c>
      <c r="F3165" s="28">
        <f t="shared" si="156"/>
        <v>3</v>
      </c>
    </row>
    <row r="3166" spans="1:6" x14ac:dyDescent="0.35">
      <c r="A3166">
        <f t="shared" si="158"/>
        <v>0</v>
      </c>
      <c r="B3166" t="str">
        <f t="shared" si="157"/>
        <v>IE</v>
      </c>
      <c r="C3166" s="12" t="s">
        <v>132</v>
      </c>
      <c r="D3166" s="18">
        <f>VLOOKUP(C3166,'DISTRIBUIÇÃO NF4267'!$E$3:$FQ$75,MATCH(B3166,'DISTRIBUIÇÃO NF4267'!$E$3:$FQ$3,0)+1,0)</f>
        <v>0</v>
      </c>
      <c r="F3166" s="28">
        <f t="shared" si="156"/>
        <v>3</v>
      </c>
    </row>
    <row r="3167" spans="1:6" x14ac:dyDescent="0.35">
      <c r="A3167">
        <f t="shared" si="158"/>
        <v>0</v>
      </c>
      <c r="B3167" t="str">
        <f t="shared" si="157"/>
        <v>IE</v>
      </c>
      <c r="C3167" s="12" t="s">
        <v>133</v>
      </c>
      <c r="D3167" s="18">
        <f>VLOOKUP(C3167,'DISTRIBUIÇÃO NF4267'!$E$3:$FQ$75,MATCH(B3167,'DISTRIBUIÇÃO NF4267'!$E$3:$FQ$3,0)+1,0)</f>
        <v>0</v>
      </c>
      <c r="F3167" s="28">
        <f t="shared" si="156"/>
        <v>3</v>
      </c>
    </row>
    <row r="3168" spans="1:6" x14ac:dyDescent="0.35">
      <c r="A3168">
        <f t="shared" si="158"/>
        <v>0</v>
      </c>
      <c r="B3168" t="str">
        <f t="shared" si="157"/>
        <v>IE</v>
      </c>
      <c r="C3168" s="12" t="s">
        <v>134</v>
      </c>
      <c r="D3168" s="18">
        <f>VLOOKUP(C3168,'DISTRIBUIÇÃO NF4267'!$E$3:$FQ$75,MATCH(B3168,'DISTRIBUIÇÃO NF4267'!$E$3:$FQ$3,0)+1,0)</f>
        <v>0</v>
      </c>
      <c r="F3168" s="28">
        <f t="shared" si="156"/>
        <v>3</v>
      </c>
    </row>
    <row r="3169" spans="1:6" x14ac:dyDescent="0.35">
      <c r="A3169">
        <f t="shared" si="158"/>
        <v>0</v>
      </c>
      <c r="B3169" t="str">
        <f t="shared" si="157"/>
        <v>IE</v>
      </c>
      <c r="C3169" s="12" t="s">
        <v>135</v>
      </c>
      <c r="D3169" s="18">
        <f>VLOOKUP(C3169,'DISTRIBUIÇÃO NF4267'!$E$3:$FQ$75,MATCH(B3169,'DISTRIBUIÇÃO NF4267'!$E$3:$FQ$3,0)+1,0)</f>
        <v>0</v>
      </c>
      <c r="F3169" s="28">
        <f t="shared" si="156"/>
        <v>3</v>
      </c>
    </row>
    <row r="3170" spans="1:6" x14ac:dyDescent="0.35">
      <c r="A3170">
        <f t="shared" si="158"/>
        <v>0</v>
      </c>
      <c r="B3170" t="str">
        <f t="shared" si="157"/>
        <v>IE</v>
      </c>
      <c r="C3170" s="13" t="s">
        <v>22</v>
      </c>
      <c r="D3170" s="18">
        <f>VLOOKUP(C3170,'DISTRIBUIÇÃO NF4267'!$E$3:$FQ$75,MATCH(B3170,'DISTRIBUIÇÃO NF4267'!$E$3:$FQ$3,0)+1,0)</f>
        <v>0</v>
      </c>
      <c r="F3170" s="28">
        <f t="shared" si="156"/>
        <v>3</v>
      </c>
    </row>
    <row r="3171" spans="1:6" x14ac:dyDescent="0.35">
      <c r="A3171">
        <f t="shared" si="158"/>
        <v>0</v>
      </c>
      <c r="B3171" t="str">
        <f t="shared" si="157"/>
        <v>IE</v>
      </c>
      <c r="C3171" s="13" t="s">
        <v>23</v>
      </c>
      <c r="D3171" s="18">
        <f>VLOOKUP(C3171,'DISTRIBUIÇÃO NF4267'!$E$3:$FQ$75,MATCH(B3171,'DISTRIBUIÇÃO NF4267'!$E$3:$FQ$3,0)+1,0)</f>
        <v>0</v>
      </c>
      <c r="F3171" s="28">
        <f t="shared" si="156"/>
        <v>3</v>
      </c>
    </row>
    <row r="3172" spans="1:6" x14ac:dyDescent="0.35">
      <c r="A3172">
        <f t="shared" si="158"/>
        <v>0</v>
      </c>
      <c r="B3172" t="str">
        <f t="shared" si="157"/>
        <v>IE</v>
      </c>
      <c r="C3172" s="13" t="s">
        <v>24</v>
      </c>
      <c r="D3172" s="18">
        <f>VLOOKUP(C3172,'DISTRIBUIÇÃO NF4267'!$E$3:$FQ$75,MATCH(B3172,'DISTRIBUIÇÃO NF4267'!$E$3:$FQ$3,0)+1,0)</f>
        <v>0</v>
      </c>
      <c r="F3172" s="28">
        <f t="shared" si="156"/>
        <v>3</v>
      </c>
    </row>
    <row r="3173" spans="1:6" x14ac:dyDescent="0.35">
      <c r="A3173">
        <f t="shared" si="158"/>
        <v>0</v>
      </c>
      <c r="B3173" t="str">
        <f t="shared" si="157"/>
        <v>IE</v>
      </c>
      <c r="C3173" s="13" t="s">
        <v>25</v>
      </c>
      <c r="D3173" s="18">
        <f>VLOOKUP(C3173,'DISTRIBUIÇÃO NF4267'!$E$3:$FQ$75,MATCH(B3173,'DISTRIBUIÇÃO NF4267'!$E$3:$FQ$3,0)+1,0)</f>
        <v>0</v>
      </c>
      <c r="F3173" s="28">
        <f t="shared" si="156"/>
        <v>3</v>
      </c>
    </row>
    <row r="3174" spans="1:6" x14ac:dyDescent="0.35">
      <c r="A3174">
        <f t="shared" si="158"/>
        <v>0</v>
      </c>
      <c r="B3174" t="str">
        <f t="shared" si="157"/>
        <v>IE</v>
      </c>
      <c r="C3174" s="13" t="s">
        <v>26</v>
      </c>
      <c r="D3174" s="18">
        <f>VLOOKUP(C3174,'DISTRIBUIÇÃO NF4267'!$E$3:$FQ$75,MATCH(B3174,'DISTRIBUIÇÃO NF4267'!$E$3:$FQ$3,0)+1,0)</f>
        <v>0</v>
      </c>
      <c r="F3174" s="28">
        <f t="shared" si="156"/>
        <v>3</v>
      </c>
    </row>
    <row r="3175" spans="1:6" x14ac:dyDescent="0.35">
      <c r="A3175">
        <f t="shared" si="158"/>
        <v>0</v>
      </c>
      <c r="B3175" t="str">
        <f t="shared" si="157"/>
        <v>IE</v>
      </c>
      <c r="C3175" s="13" t="s">
        <v>27</v>
      </c>
      <c r="D3175" s="18">
        <f>VLOOKUP(C3175,'DISTRIBUIÇÃO NF4267'!$E$3:$FQ$75,MATCH(B3175,'DISTRIBUIÇÃO NF4267'!$E$3:$FQ$3,0)+1,0)</f>
        <v>0</v>
      </c>
      <c r="F3175" s="28">
        <f t="shared" si="156"/>
        <v>3</v>
      </c>
    </row>
    <row r="3176" spans="1:6" x14ac:dyDescent="0.35">
      <c r="A3176">
        <f t="shared" si="158"/>
        <v>0</v>
      </c>
      <c r="B3176" t="str">
        <f t="shared" si="157"/>
        <v>IE</v>
      </c>
      <c r="C3176" s="14" t="s">
        <v>138</v>
      </c>
      <c r="D3176" s="18">
        <f>VLOOKUP(C3176,'DISTRIBUIÇÃO NF4267'!$E$3:$FQ$75,MATCH(B3176,'DISTRIBUIÇÃO NF4267'!$E$3:$FQ$3,0)+1,0)</f>
        <v>0</v>
      </c>
      <c r="F3176" s="28">
        <f t="shared" si="156"/>
        <v>3</v>
      </c>
    </row>
    <row r="3177" spans="1:6" x14ac:dyDescent="0.35">
      <c r="A3177">
        <f t="shared" si="158"/>
        <v>0</v>
      </c>
      <c r="B3177" t="str">
        <f t="shared" si="157"/>
        <v>IE</v>
      </c>
      <c r="C3177" s="14" t="s">
        <v>139</v>
      </c>
      <c r="D3177" s="18">
        <f>VLOOKUP(C3177,'DISTRIBUIÇÃO NF4267'!$E$3:$FQ$75,MATCH(B3177,'DISTRIBUIÇÃO NF4267'!$E$3:$FQ$3,0)+1,0)</f>
        <v>2</v>
      </c>
      <c r="F3177" s="28">
        <f t="shared" si="156"/>
        <v>3</v>
      </c>
    </row>
    <row r="3178" spans="1:6" x14ac:dyDescent="0.35">
      <c r="A3178">
        <f t="shared" si="158"/>
        <v>0</v>
      </c>
      <c r="B3178" t="str">
        <f t="shared" si="157"/>
        <v>IE</v>
      </c>
      <c r="C3178" s="14" t="s">
        <v>140</v>
      </c>
      <c r="D3178" s="18">
        <f>VLOOKUP(C3178,'DISTRIBUIÇÃO NF4267'!$E$3:$FQ$75,MATCH(B3178,'DISTRIBUIÇÃO NF4267'!$E$3:$FQ$3,0)+1,0)</f>
        <v>4</v>
      </c>
      <c r="F3178" s="28">
        <f t="shared" si="156"/>
        <v>3</v>
      </c>
    </row>
    <row r="3179" spans="1:6" x14ac:dyDescent="0.35">
      <c r="A3179">
        <f t="shared" si="158"/>
        <v>0</v>
      </c>
      <c r="B3179" t="str">
        <f t="shared" si="157"/>
        <v>IE</v>
      </c>
      <c r="C3179" s="14" t="s">
        <v>141</v>
      </c>
      <c r="D3179" s="18">
        <f>VLOOKUP(C3179,'DISTRIBUIÇÃO NF4267'!$E$3:$FQ$75,MATCH(B3179,'DISTRIBUIÇÃO NF4267'!$E$3:$FQ$3,0)+1,0)</f>
        <v>2</v>
      </c>
      <c r="F3179" s="28">
        <f t="shared" si="156"/>
        <v>3</v>
      </c>
    </row>
    <row r="3180" spans="1:6" x14ac:dyDescent="0.35">
      <c r="A3180">
        <f t="shared" si="158"/>
        <v>0</v>
      </c>
      <c r="B3180" t="str">
        <f t="shared" si="157"/>
        <v>IE</v>
      </c>
      <c r="C3180" s="14" t="s">
        <v>142</v>
      </c>
      <c r="D3180" s="18">
        <f>VLOOKUP(C3180,'DISTRIBUIÇÃO NF4267'!$E$3:$FQ$75,MATCH(B3180,'DISTRIBUIÇÃO NF4267'!$E$3:$FQ$3,0)+1,0)</f>
        <v>2</v>
      </c>
      <c r="F3180" s="28">
        <f t="shared" si="156"/>
        <v>3</v>
      </c>
    </row>
    <row r="3181" spans="1:6" x14ac:dyDescent="0.35">
      <c r="A3181">
        <f t="shared" si="158"/>
        <v>0</v>
      </c>
      <c r="B3181" t="str">
        <f t="shared" si="157"/>
        <v>IE</v>
      </c>
      <c r="C3181" s="14" t="s">
        <v>143</v>
      </c>
      <c r="D3181" s="18">
        <f>VLOOKUP(C3181,'DISTRIBUIÇÃO NF4267'!$E$3:$FQ$75,MATCH(B3181,'DISTRIBUIÇÃO NF4267'!$E$3:$FQ$3,0)+1,0)</f>
        <v>0</v>
      </c>
      <c r="F3181" s="28">
        <f t="shared" si="156"/>
        <v>3</v>
      </c>
    </row>
    <row r="3182" spans="1:6" x14ac:dyDescent="0.35">
      <c r="A3182">
        <f t="shared" si="158"/>
        <v>0</v>
      </c>
      <c r="B3182" t="str">
        <f t="shared" si="157"/>
        <v>IE</v>
      </c>
      <c r="C3182" s="15" t="s">
        <v>145</v>
      </c>
      <c r="D3182" s="18">
        <f>VLOOKUP(C3182,'DISTRIBUIÇÃO NF4267'!$E$3:$FQ$75,MATCH(B3182,'DISTRIBUIÇÃO NF4267'!$E$3:$FQ$3,0)+1,0)</f>
        <v>0</v>
      </c>
      <c r="F3182" s="28">
        <f t="shared" si="156"/>
        <v>3</v>
      </c>
    </row>
    <row r="3183" spans="1:6" x14ac:dyDescent="0.35">
      <c r="A3183">
        <f t="shared" si="158"/>
        <v>0</v>
      </c>
      <c r="B3183" t="str">
        <f t="shared" si="157"/>
        <v>IE</v>
      </c>
      <c r="C3183" s="15" t="s">
        <v>146</v>
      </c>
      <c r="D3183" s="18">
        <f>VLOOKUP(C3183,'DISTRIBUIÇÃO NF4267'!$E$3:$FQ$75,MATCH(B3183,'DISTRIBUIÇÃO NF4267'!$E$3:$FQ$3,0)+1,0)</f>
        <v>2</v>
      </c>
      <c r="F3183" s="28">
        <f t="shared" si="156"/>
        <v>3</v>
      </c>
    </row>
    <row r="3184" spans="1:6" x14ac:dyDescent="0.35">
      <c r="A3184">
        <f t="shared" si="158"/>
        <v>0</v>
      </c>
      <c r="B3184" t="str">
        <f t="shared" si="157"/>
        <v>IE</v>
      </c>
      <c r="C3184" s="15" t="s">
        <v>147</v>
      </c>
      <c r="D3184" s="18">
        <f>VLOOKUP(C3184,'DISTRIBUIÇÃO NF4267'!$E$3:$FQ$75,MATCH(B3184,'DISTRIBUIÇÃO NF4267'!$E$3:$FQ$3,0)+1,0)</f>
        <v>4</v>
      </c>
      <c r="F3184" s="28">
        <f t="shared" si="156"/>
        <v>3</v>
      </c>
    </row>
    <row r="3185" spans="1:6" x14ac:dyDescent="0.35">
      <c r="A3185">
        <f t="shared" si="158"/>
        <v>0</v>
      </c>
      <c r="B3185" t="str">
        <f t="shared" si="157"/>
        <v>IE</v>
      </c>
      <c r="C3185" s="15" t="s">
        <v>148</v>
      </c>
      <c r="D3185" s="18">
        <f>VLOOKUP(C3185,'DISTRIBUIÇÃO NF4267'!$E$3:$FQ$75,MATCH(B3185,'DISTRIBUIÇÃO NF4267'!$E$3:$FQ$3,0)+1,0)</f>
        <v>2</v>
      </c>
      <c r="F3185" s="28">
        <f t="shared" si="156"/>
        <v>3</v>
      </c>
    </row>
    <row r="3186" spans="1:6" x14ac:dyDescent="0.35">
      <c r="A3186">
        <f t="shared" si="158"/>
        <v>0</v>
      </c>
      <c r="B3186" t="str">
        <f t="shared" si="157"/>
        <v>IE</v>
      </c>
      <c r="C3186" s="15" t="s">
        <v>149</v>
      </c>
      <c r="D3186" s="18">
        <f>VLOOKUP(C3186,'DISTRIBUIÇÃO NF4267'!$E$3:$FQ$75,MATCH(B3186,'DISTRIBUIÇÃO NF4267'!$E$3:$FQ$3,0)+1,0)</f>
        <v>2</v>
      </c>
      <c r="F3186" s="28">
        <f t="shared" si="156"/>
        <v>3</v>
      </c>
    </row>
    <row r="3187" spans="1:6" x14ac:dyDescent="0.35">
      <c r="A3187">
        <f t="shared" si="158"/>
        <v>0</v>
      </c>
      <c r="B3187" t="str">
        <f t="shared" si="157"/>
        <v>IE</v>
      </c>
      <c r="C3187" s="15" t="s">
        <v>150</v>
      </c>
      <c r="D3187" s="18">
        <f>VLOOKUP(C3187,'DISTRIBUIÇÃO NF4267'!$E$3:$FQ$75,MATCH(B3187,'DISTRIBUIÇÃO NF4267'!$E$3:$FQ$3,0)+1,0)</f>
        <v>0</v>
      </c>
      <c r="F3187" s="28">
        <f t="shared" si="156"/>
        <v>3</v>
      </c>
    </row>
    <row r="3188" spans="1:6" x14ac:dyDescent="0.35">
      <c r="A3188">
        <f t="shared" si="158"/>
        <v>0</v>
      </c>
      <c r="B3188" t="s">
        <v>69</v>
      </c>
      <c r="C3188" s="7" t="s">
        <v>98</v>
      </c>
      <c r="D3188" s="18">
        <f>VLOOKUP(C3188,'DISTRIBUIÇÃO NF4267'!$E$3:$FQ$75,MATCH(B3188,'DISTRIBUIÇÃO NF4267'!$E$3:$FQ$3,0)+1,0)</f>
        <v>0</v>
      </c>
      <c r="F3188" s="28">
        <f t="shared" si="156"/>
        <v>3</v>
      </c>
    </row>
    <row r="3189" spans="1:6" x14ac:dyDescent="0.35">
      <c r="A3189">
        <f t="shared" si="158"/>
        <v>0</v>
      </c>
      <c r="B3189" t="str">
        <f>B3188</f>
        <v>I0</v>
      </c>
      <c r="C3189" s="7" t="s">
        <v>99</v>
      </c>
      <c r="D3189" s="18">
        <f>VLOOKUP(C3189,'DISTRIBUIÇÃO NF4267'!$E$3:$FQ$75,MATCH(B3189,'DISTRIBUIÇÃO NF4267'!$E$3:$FQ$3,0)+1,0)</f>
        <v>4</v>
      </c>
      <c r="F3189" s="28">
        <f t="shared" si="156"/>
        <v>3</v>
      </c>
    </row>
    <row r="3190" spans="1:6" x14ac:dyDescent="0.35">
      <c r="A3190">
        <f t="shared" si="158"/>
        <v>0</v>
      </c>
      <c r="B3190" t="str">
        <f t="shared" ref="B3190:B3241" si="159">B3189</f>
        <v>I0</v>
      </c>
      <c r="C3190" s="7" t="s">
        <v>100</v>
      </c>
      <c r="D3190" s="18">
        <f>VLOOKUP(C3190,'DISTRIBUIÇÃO NF4267'!$E$3:$FQ$75,MATCH(B3190,'DISTRIBUIÇÃO NF4267'!$E$3:$FQ$3,0)+1,0)</f>
        <v>8</v>
      </c>
      <c r="F3190" s="28">
        <f t="shared" si="156"/>
        <v>3</v>
      </c>
    </row>
    <row r="3191" spans="1:6" x14ac:dyDescent="0.35">
      <c r="A3191">
        <f t="shared" si="158"/>
        <v>0</v>
      </c>
      <c r="B3191" t="str">
        <f t="shared" si="159"/>
        <v>I0</v>
      </c>
      <c r="C3191" s="7" t="s">
        <v>101</v>
      </c>
      <c r="D3191" s="18">
        <f>VLOOKUP(C3191,'DISTRIBUIÇÃO NF4267'!$E$3:$FQ$75,MATCH(B3191,'DISTRIBUIÇÃO NF4267'!$E$3:$FQ$3,0)+1,0)</f>
        <v>4</v>
      </c>
      <c r="F3191" s="28">
        <f t="shared" si="156"/>
        <v>3</v>
      </c>
    </row>
    <row r="3192" spans="1:6" x14ac:dyDescent="0.35">
      <c r="A3192">
        <f t="shared" si="158"/>
        <v>0</v>
      </c>
      <c r="B3192" t="str">
        <f t="shared" si="159"/>
        <v>I0</v>
      </c>
      <c r="C3192" s="7" t="s">
        <v>102</v>
      </c>
      <c r="D3192" s="18">
        <f>VLOOKUP(C3192,'DISTRIBUIÇÃO NF4267'!$E$3:$FQ$75,MATCH(B3192,'DISTRIBUIÇÃO NF4267'!$E$3:$FQ$3,0)+1,0)</f>
        <v>4</v>
      </c>
      <c r="F3192" s="28">
        <f t="shared" ref="F3192:F3255" si="160">ROUNDUP(SUMIFS(D:D,B:B,B3192)/80,0)</f>
        <v>3</v>
      </c>
    </row>
    <row r="3193" spans="1:6" x14ac:dyDescent="0.35">
      <c r="A3193">
        <f t="shared" si="158"/>
        <v>0</v>
      </c>
      <c r="B3193" t="str">
        <f t="shared" si="159"/>
        <v>I0</v>
      </c>
      <c r="C3193" s="7" t="s">
        <v>103</v>
      </c>
      <c r="D3193" s="18">
        <f>VLOOKUP(C3193,'DISTRIBUIÇÃO NF4267'!$E$3:$FQ$75,MATCH(B3193,'DISTRIBUIÇÃO NF4267'!$E$3:$FQ$3,0)+1,0)</f>
        <v>0</v>
      </c>
      <c r="F3193" s="28">
        <f t="shared" si="160"/>
        <v>3</v>
      </c>
    </row>
    <row r="3194" spans="1:6" x14ac:dyDescent="0.35">
      <c r="A3194">
        <f t="shared" si="158"/>
        <v>0</v>
      </c>
      <c r="B3194" t="str">
        <f t="shared" si="159"/>
        <v>I0</v>
      </c>
      <c r="C3194" s="8" t="s">
        <v>107</v>
      </c>
      <c r="D3194" s="18">
        <f>VLOOKUP(C3194,'DISTRIBUIÇÃO NF4267'!$E$3:$FQ$75,MATCH(B3194,'DISTRIBUIÇÃO NF4267'!$E$3:$FQ$3,0)+1,0)</f>
        <v>0</v>
      </c>
      <c r="F3194" s="28">
        <f t="shared" si="160"/>
        <v>3</v>
      </c>
    </row>
    <row r="3195" spans="1:6" x14ac:dyDescent="0.35">
      <c r="A3195">
        <f t="shared" si="158"/>
        <v>0</v>
      </c>
      <c r="B3195" t="str">
        <f t="shared" si="159"/>
        <v>I0</v>
      </c>
      <c r="C3195" s="8" t="s">
        <v>108</v>
      </c>
      <c r="D3195" s="18">
        <f>VLOOKUP(C3195,'DISTRIBUIÇÃO NF4267'!$E$3:$FQ$75,MATCH(B3195,'DISTRIBUIÇÃO NF4267'!$E$3:$FQ$3,0)+1,0)</f>
        <v>2</v>
      </c>
      <c r="F3195" s="28">
        <f t="shared" si="160"/>
        <v>3</v>
      </c>
    </row>
    <row r="3196" spans="1:6" x14ac:dyDescent="0.35">
      <c r="A3196">
        <f t="shared" si="158"/>
        <v>0</v>
      </c>
      <c r="B3196" t="str">
        <f t="shared" si="159"/>
        <v>I0</v>
      </c>
      <c r="C3196" s="8" t="s">
        <v>109</v>
      </c>
      <c r="D3196" s="18">
        <f>VLOOKUP(C3196,'DISTRIBUIÇÃO NF4267'!$E$3:$FQ$75,MATCH(B3196,'DISTRIBUIÇÃO NF4267'!$E$3:$FQ$3,0)+1,0)</f>
        <v>4</v>
      </c>
      <c r="F3196" s="28">
        <f t="shared" si="160"/>
        <v>3</v>
      </c>
    </row>
    <row r="3197" spans="1:6" x14ac:dyDescent="0.35">
      <c r="A3197">
        <f t="shared" si="158"/>
        <v>0</v>
      </c>
      <c r="B3197" t="str">
        <f t="shared" si="159"/>
        <v>I0</v>
      </c>
      <c r="C3197" s="8" t="s">
        <v>110</v>
      </c>
      <c r="D3197" s="18">
        <f>VLOOKUP(C3197,'DISTRIBUIÇÃO NF4267'!$E$3:$FQ$75,MATCH(B3197,'DISTRIBUIÇÃO NF4267'!$E$3:$FQ$3,0)+1,0)</f>
        <v>2</v>
      </c>
      <c r="F3197" s="28">
        <f t="shared" si="160"/>
        <v>3</v>
      </c>
    </row>
    <row r="3198" spans="1:6" x14ac:dyDescent="0.35">
      <c r="A3198">
        <f t="shared" si="158"/>
        <v>0</v>
      </c>
      <c r="B3198" t="str">
        <f t="shared" si="159"/>
        <v>I0</v>
      </c>
      <c r="C3198" s="8" t="s">
        <v>111</v>
      </c>
      <c r="D3198" s="18">
        <f>VLOOKUP(C3198,'DISTRIBUIÇÃO NF4267'!$E$3:$FQ$75,MATCH(B3198,'DISTRIBUIÇÃO NF4267'!$E$3:$FQ$3,0)+1,0)</f>
        <v>2</v>
      </c>
      <c r="F3198" s="28">
        <f t="shared" si="160"/>
        <v>3</v>
      </c>
    </row>
    <row r="3199" spans="1:6" x14ac:dyDescent="0.35">
      <c r="A3199">
        <f t="shared" si="158"/>
        <v>0</v>
      </c>
      <c r="B3199" t="str">
        <f t="shared" si="159"/>
        <v>I0</v>
      </c>
      <c r="C3199" s="8" t="s">
        <v>112</v>
      </c>
      <c r="D3199" s="18">
        <f>VLOOKUP(C3199,'DISTRIBUIÇÃO NF4267'!$E$3:$FQ$75,MATCH(B3199,'DISTRIBUIÇÃO NF4267'!$E$3:$FQ$3,0)+1,0)</f>
        <v>0</v>
      </c>
      <c r="F3199" s="28">
        <f t="shared" si="160"/>
        <v>3</v>
      </c>
    </row>
    <row r="3200" spans="1:6" x14ac:dyDescent="0.35">
      <c r="A3200">
        <f t="shared" si="158"/>
        <v>0</v>
      </c>
      <c r="B3200" t="str">
        <f t="shared" si="159"/>
        <v>I0</v>
      </c>
      <c r="C3200" s="9" t="s">
        <v>113</v>
      </c>
      <c r="D3200" s="18">
        <f>VLOOKUP(C3200,'DISTRIBUIÇÃO NF4267'!$E$3:$FQ$75,MATCH(B3200,'DISTRIBUIÇÃO NF4267'!$E$3:$FQ$3,0)+1,0)</f>
        <v>0</v>
      </c>
      <c r="F3200" s="28">
        <f t="shared" si="160"/>
        <v>3</v>
      </c>
    </row>
    <row r="3201" spans="1:6" x14ac:dyDescent="0.35">
      <c r="A3201">
        <f t="shared" si="158"/>
        <v>0</v>
      </c>
      <c r="B3201" t="str">
        <f t="shared" si="159"/>
        <v>I0</v>
      </c>
      <c r="C3201" s="9" t="s">
        <v>114</v>
      </c>
      <c r="D3201" s="18">
        <f>VLOOKUP(C3201,'DISTRIBUIÇÃO NF4267'!$E$3:$FQ$75,MATCH(B3201,'DISTRIBUIÇÃO NF4267'!$E$3:$FQ$3,0)+1,0)</f>
        <v>3</v>
      </c>
      <c r="F3201" s="28">
        <f t="shared" si="160"/>
        <v>3</v>
      </c>
    </row>
    <row r="3202" spans="1:6" x14ac:dyDescent="0.35">
      <c r="A3202">
        <f t="shared" ref="A3202:A3265" si="161">IF(ISERROR(VLOOKUP(C3202,I:I,1,0)),0,1)</f>
        <v>0</v>
      </c>
      <c r="B3202" t="str">
        <f t="shared" si="159"/>
        <v>I0</v>
      </c>
      <c r="C3202" s="9" t="s">
        <v>115</v>
      </c>
      <c r="D3202" s="18">
        <f>VLOOKUP(C3202,'DISTRIBUIÇÃO NF4267'!$E$3:$FQ$75,MATCH(B3202,'DISTRIBUIÇÃO NF4267'!$E$3:$FQ$3,0)+1,0)</f>
        <v>4</v>
      </c>
      <c r="F3202" s="28">
        <f t="shared" si="160"/>
        <v>3</v>
      </c>
    </row>
    <row r="3203" spans="1:6" x14ac:dyDescent="0.35">
      <c r="A3203">
        <f t="shared" si="161"/>
        <v>0</v>
      </c>
      <c r="B3203" t="str">
        <f t="shared" si="159"/>
        <v>I0</v>
      </c>
      <c r="C3203" s="9" t="s">
        <v>116</v>
      </c>
      <c r="D3203" s="18">
        <f>VLOOKUP(C3203,'DISTRIBUIÇÃO NF4267'!$E$3:$FQ$75,MATCH(B3203,'DISTRIBUIÇÃO NF4267'!$E$3:$FQ$3,0)+1,0)</f>
        <v>2</v>
      </c>
      <c r="F3203" s="28">
        <f t="shared" si="160"/>
        <v>3</v>
      </c>
    </row>
    <row r="3204" spans="1:6" x14ac:dyDescent="0.35">
      <c r="A3204">
        <f t="shared" si="161"/>
        <v>0</v>
      </c>
      <c r="B3204" t="str">
        <f t="shared" si="159"/>
        <v>I0</v>
      </c>
      <c r="C3204" s="9" t="s">
        <v>117</v>
      </c>
      <c r="D3204" s="18">
        <f>VLOOKUP(C3204,'DISTRIBUIÇÃO NF4267'!$E$3:$FQ$75,MATCH(B3204,'DISTRIBUIÇÃO NF4267'!$E$3:$FQ$3,0)+1,0)</f>
        <v>1</v>
      </c>
      <c r="F3204" s="28">
        <f t="shared" si="160"/>
        <v>3</v>
      </c>
    </row>
    <row r="3205" spans="1:6" x14ac:dyDescent="0.35">
      <c r="A3205">
        <f t="shared" si="161"/>
        <v>0</v>
      </c>
      <c r="B3205" t="str">
        <f t="shared" si="159"/>
        <v>I0</v>
      </c>
      <c r="C3205" s="9" t="s">
        <v>118</v>
      </c>
      <c r="D3205" s="18">
        <f>VLOOKUP(C3205,'DISTRIBUIÇÃO NF4267'!$E$3:$FQ$75,MATCH(B3205,'DISTRIBUIÇÃO NF4267'!$E$3:$FQ$3,0)+1,0)</f>
        <v>0</v>
      </c>
      <c r="F3205" s="28">
        <f t="shared" si="160"/>
        <v>3</v>
      </c>
    </row>
    <row r="3206" spans="1:6" x14ac:dyDescent="0.35">
      <c r="A3206">
        <f t="shared" si="161"/>
        <v>0</v>
      </c>
      <c r="B3206" t="str">
        <f t="shared" si="159"/>
        <v>I0</v>
      </c>
      <c r="C3206" s="10" t="s">
        <v>119</v>
      </c>
      <c r="D3206" s="18">
        <f>VLOOKUP(C3206,'DISTRIBUIÇÃO NF4267'!$E$3:$FQ$75,MATCH(B3206,'DISTRIBUIÇÃO NF4267'!$E$3:$FQ$3,0)+1,0)</f>
        <v>0</v>
      </c>
      <c r="F3206" s="28">
        <f t="shared" si="160"/>
        <v>3</v>
      </c>
    </row>
    <row r="3207" spans="1:6" x14ac:dyDescent="0.35">
      <c r="A3207">
        <f t="shared" si="161"/>
        <v>0</v>
      </c>
      <c r="B3207" t="str">
        <f t="shared" si="159"/>
        <v>I0</v>
      </c>
      <c r="C3207" s="10" t="s">
        <v>120</v>
      </c>
      <c r="D3207" s="18">
        <f>VLOOKUP(C3207,'DISTRIBUIÇÃO NF4267'!$E$3:$FQ$75,MATCH(B3207,'DISTRIBUIÇÃO NF4267'!$E$3:$FQ$3,0)+1,0)</f>
        <v>48</v>
      </c>
      <c r="F3207" s="28">
        <f t="shared" si="160"/>
        <v>3</v>
      </c>
    </row>
    <row r="3208" spans="1:6" x14ac:dyDescent="0.35">
      <c r="A3208">
        <f t="shared" si="161"/>
        <v>0</v>
      </c>
      <c r="B3208" t="str">
        <f t="shared" si="159"/>
        <v>I0</v>
      </c>
      <c r="C3208" s="10" t="s">
        <v>121</v>
      </c>
      <c r="D3208" s="18">
        <f>VLOOKUP(C3208,'DISTRIBUIÇÃO NF4267'!$E$3:$FQ$75,MATCH(B3208,'DISTRIBUIÇÃO NF4267'!$E$3:$FQ$3,0)+1,0)</f>
        <v>16</v>
      </c>
      <c r="F3208" s="28">
        <f t="shared" si="160"/>
        <v>3</v>
      </c>
    </row>
    <row r="3209" spans="1:6" x14ac:dyDescent="0.35">
      <c r="A3209">
        <f t="shared" si="161"/>
        <v>0</v>
      </c>
      <c r="B3209" t="str">
        <f t="shared" si="159"/>
        <v>I0</v>
      </c>
      <c r="C3209" s="10" t="s">
        <v>122</v>
      </c>
      <c r="D3209" s="18">
        <f>VLOOKUP(C3209,'DISTRIBUIÇÃO NF4267'!$E$3:$FQ$75,MATCH(B3209,'DISTRIBUIÇÃO NF4267'!$E$3:$FQ$3,0)+1,0)</f>
        <v>16</v>
      </c>
      <c r="F3209" s="28">
        <f t="shared" si="160"/>
        <v>3</v>
      </c>
    </row>
    <row r="3210" spans="1:6" x14ac:dyDescent="0.35">
      <c r="A3210">
        <f t="shared" si="161"/>
        <v>0</v>
      </c>
      <c r="B3210" t="str">
        <f t="shared" si="159"/>
        <v>I0</v>
      </c>
      <c r="C3210" s="10" t="s">
        <v>123</v>
      </c>
      <c r="D3210" s="18">
        <f>VLOOKUP(C3210,'DISTRIBUIÇÃO NF4267'!$E$3:$FQ$75,MATCH(B3210,'DISTRIBUIÇÃO NF4267'!$E$3:$FQ$3,0)+1,0)</f>
        <v>0</v>
      </c>
      <c r="F3210" s="28">
        <f t="shared" si="160"/>
        <v>3</v>
      </c>
    </row>
    <row r="3211" spans="1:6" x14ac:dyDescent="0.35">
      <c r="A3211">
        <f t="shared" si="161"/>
        <v>0</v>
      </c>
      <c r="B3211" t="str">
        <f t="shared" si="159"/>
        <v>I0</v>
      </c>
      <c r="C3211" s="10" t="s">
        <v>124</v>
      </c>
      <c r="D3211" s="18">
        <f>VLOOKUP(C3211,'DISTRIBUIÇÃO NF4267'!$E$3:$FQ$75,MATCH(B3211,'DISTRIBUIÇÃO NF4267'!$E$3:$FQ$3,0)+1,0)</f>
        <v>0</v>
      </c>
      <c r="F3211" s="28">
        <f t="shared" si="160"/>
        <v>3</v>
      </c>
    </row>
    <row r="3212" spans="1:6" x14ac:dyDescent="0.35">
      <c r="A3212">
        <f t="shared" si="161"/>
        <v>0</v>
      </c>
      <c r="B3212" t="str">
        <f t="shared" si="159"/>
        <v>I0</v>
      </c>
      <c r="C3212" s="11" t="s">
        <v>16</v>
      </c>
      <c r="D3212" s="18">
        <f>VLOOKUP(C3212,'DISTRIBUIÇÃO NF4267'!$E$3:$FQ$75,MATCH(B3212,'DISTRIBUIÇÃO NF4267'!$E$3:$FQ$3,0)+1,0)</f>
        <v>0</v>
      </c>
      <c r="F3212" s="28">
        <f t="shared" si="160"/>
        <v>3</v>
      </c>
    </row>
    <row r="3213" spans="1:6" x14ac:dyDescent="0.35">
      <c r="A3213">
        <f t="shared" si="161"/>
        <v>0</v>
      </c>
      <c r="B3213" t="str">
        <f t="shared" si="159"/>
        <v>I0</v>
      </c>
      <c r="C3213" s="11" t="s">
        <v>17</v>
      </c>
      <c r="D3213" s="18">
        <f>VLOOKUP(C3213,'DISTRIBUIÇÃO NF4267'!$E$3:$FQ$75,MATCH(B3213,'DISTRIBUIÇÃO NF4267'!$E$3:$FQ$3,0)+1,0)</f>
        <v>9</v>
      </c>
      <c r="F3213" s="28">
        <f t="shared" si="160"/>
        <v>3</v>
      </c>
    </row>
    <row r="3214" spans="1:6" x14ac:dyDescent="0.35">
      <c r="A3214">
        <f t="shared" si="161"/>
        <v>0</v>
      </c>
      <c r="B3214" t="str">
        <f t="shared" si="159"/>
        <v>I0</v>
      </c>
      <c r="C3214" s="11" t="s">
        <v>18</v>
      </c>
      <c r="D3214" s="18">
        <f>VLOOKUP(C3214,'DISTRIBUIÇÃO NF4267'!$E$3:$FQ$75,MATCH(B3214,'DISTRIBUIÇÃO NF4267'!$E$3:$FQ$3,0)+1,0)</f>
        <v>3</v>
      </c>
      <c r="F3214" s="28">
        <f t="shared" si="160"/>
        <v>3</v>
      </c>
    </row>
    <row r="3215" spans="1:6" x14ac:dyDescent="0.35">
      <c r="A3215">
        <f t="shared" si="161"/>
        <v>0</v>
      </c>
      <c r="B3215" t="str">
        <f t="shared" si="159"/>
        <v>I0</v>
      </c>
      <c r="C3215" s="11" t="s">
        <v>19</v>
      </c>
      <c r="D3215" s="18">
        <f>VLOOKUP(C3215,'DISTRIBUIÇÃO NF4267'!$E$3:$FQ$75,MATCH(B3215,'DISTRIBUIÇÃO NF4267'!$E$3:$FQ$3,0)+1,0)</f>
        <v>3</v>
      </c>
      <c r="F3215" s="28">
        <f t="shared" si="160"/>
        <v>3</v>
      </c>
    </row>
    <row r="3216" spans="1:6" x14ac:dyDescent="0.35">
      <c r="A3216">
        <f t="shared" si="161"/>
        <v>0</v>
      </c>
      <c r="B3216" t="str">
        <f t="shared" si="159"/>
        <v>I0</v>
      </c>
      <c r="C3216" s="11" t="s">
        <v>20</v>
      </c>
      <c r="D3216" s="18">
        <f>VLOOKUP(C3216,'DISTRIBUIÇÃO NF4267'!$E$3:$FQ$75,MATCH(B3216,'DISTRIBUIÇÃO NF4267'!$E$3:$FQ$3,0)+1,0)</f>
        <v>15</v>
      </c>
      <c r="F3216" s="28">
        <f t="shared" si="160"/>
        <v>3</v>
      </c>
    </row>
    <row r="3217" spans="1:6" x14ac:dyDescent="0.35">
      <c r="A3217">
        <f t="shared" si="161"/>
        <v>0</v>
      </c>
      <c r="B3217" t="str">
        <f t="shared" si="159"/>
        <v>I0</v>
      </c>
      <c r="C3217" s="11" t="s">
        <v>21</v>
      </c>
      <c r="D3217" s="18">
        <f>VLOOKUP(C3217,'DISTRIBUIÇÃO NF4267'!$E$3:$FQ$75,MATCH(B3217,'DISTRIBUIÇÃO NF4267'!$E$3:$FQ$3,0)+1,0)</f>
        <v>0</v>
      </c>
      <c r="F3217" s="28">
        <f t="shared" si="160"/>
        <v>3</v>
      </c>
    </row>
    <row r="3218" spans="1:6" x14ac:dyDescent="0.35">
      <c r="A3218">
        <f t="shared" si="161"/>
        <v>0</v>
      </c>
      <c r="B3218" t="str">
        <f t="shared" si="159"/>
        <v>I0</v>
      </c>
      <c r="C3218" s="12" t="s">
        <v>130</v>
      </c>
      <c r="D3218" s="18">
        <f>VLOOKUP(C3218,'DISTRIBUIÇÃO NF4267'!$E$3:$FQ$75,MATCH(B3218,'DISTRIBUIÇÃO NF4267'!$E$3:$FQ$3,0)+1,0)</f>
        <v>0</v>
      </c>
      <c r="F3218" s="28">
        <f t="shared" si="160"/>
        <v>3</v>
      </c>
    </row>
    <row r="3219" spans="1:6" x14ac:dyDescent="0.35">
      <c r="A3219">
        <f t="shared" si="161"/>
        <v>0</v>
      </c>
      <c r="B3219" t="str">
        <f t="shared" si="159"/>
        <v>I0</v>
      </c>
      <c r="C3219" s="12" t="s">
        <v>131</v>
      </c>
      <c r="D3219" s="18">
        <f>VLOOKUP(C3219,'DISTRIBUIÇÃO NF4267'!$E$3:$FQ$75,MATCH(B3219,'DISTRIBUIÇÃO NF4267'!$E$3:$FQ$3,0)+1,0)</f>
        <v>0</v>
      </c>
      <c r="F3219" s="28">
        <f t="shared" si="160"/>
        <v>3</v>
      </c>
    </row>
    <row r="3220" spans="1:6" x14ac:dyDescent="0.35">
      <c r="A3220">
        <f t="shared" si="161"/>
        <v>0</v>
      </c>
      <c r="B3220" t="str">
        <f t="shared" si="159"/>
        <v>I0</v>
      </c>
      <c r="C3220" s="12" t="s">
        <v>132</v>
      </c>
      <c r="D3220" s="18">
        <f>VLOOKUP(C3220,'DISTRIBUIÇÃO NF4267'!$E$3:$FQ$75,MATCH(B3220,'DISTRIBUIÇÃO NF4267'!$E$3:$FQ$3,0)+1,0)</f>
        <v>0</v>
      </c>
      <c r="F3220" s="28">
        <f t="shared" si="160"/>
        <v>3</v>
      </c>
    </row>
    <row r="3221" spans="1:6" x14ac:dyDescent="0.35">
      <c r="A3221">
        <f t="shared" si="161"/>
        <v>0</v>
      </c>
      <c r="B3221" t="str">
        <f t="shared" si="159"/>
        <v>I0</v>
      </c>
      <c r="C3221" s="12" t="s">
        <v>133</v>
      </c>
      <c r="D3221" s="18">
        <f>VLOOKUP(C3221,'DISTRIBUIÇÃO NF4267'!$E$3:$FQ$75,MATCH(B3221,'DISTRIBUIÇÃO NF4267'!$E$3:$FQ$3,0)+1,0)</f>
        <v>0</v>
      </c>
      <c r="F3221" s="28">
        <f t="shared" si="160"/>
        <v>3</v>
      </c>
    </row>
    <row r="3222" spans="1:6" x14ac:dyDescent="0.35">
      <c r="A3222">
        <f t="shared" si="161"/>
        <v>0</v>
      </c>
      <c r="B3222" t="str">
        <f t="shared" si="159"/>
        <v>I0</v>
      </c>
      <c r="C3222" s="12" t="s">
        <v>134</v>
      </c>
      <c r="D3222" s="18">
        <f>VLOOKUP(C3222,'DISTRIBUIÇÃO NF4267'!$E$3:$FQ$75,MATCH(B3222,'DISTRIBUIÇÃO NF4267'!$E$3:$FQ$3,0)+1,0)</f>
        <v>0</v>
      </c>
      <c r="F3222" s="28">
        <f t="shared" si="160"/>
        <v>3</v>
      </c>
    </row>
    <row r="3223" spans="1:6" x14ac:dyDescent="0.35">
      <c r="A3223">
        <f t="shared" si="161"/>
        <v>0</v>
      </c>
      <c r="B3223" t="str">
        <f t="shared" si="159"/>
        <v>I0</v>
      </c>
      <c r="C3223" s="12" t="s">
        <v>135</v>
      </c>
      <c r="D3223" s="18">
        <f>VLOOKUP(C3223,'DISTRIBUIÇÃO NF4267'!$E$3:$FQ$75,MATCH(B3223,'DISTRIBUIÇÃO NF4267'!$E$3:$FQ$3,0)+1,0)</f>
        <v>0</v>
      </c>
      <c r="F3223" s="28">
        <f t="shared" si="160"/>
        <v>3</v>
      </c>
    </row>
    <row r="3224" spans="1:6" x14ac:dyDescent="0.35">
      <c r="A3224">
        <f t="shared" si="161"/>
        <v>0</v>
      </c>
      <c r="B3224" t="str">
        <f t="shared" si="159"/>
        <v>I0</v>
      </c>
      <c r="C3224" s="13" t="s">
        <v>22</v>
      </c>
      <c r="D3224" s="18">
        <f>VLOOKUP(C3224,'DISTRIBUIÇÃO NF4267'!$E$3:$FQ$75,MATCH(B3224,'DISTRIBUIÇÃO NF4267'!$E$3:$FQ$3,0)+1,0)</f>
        <v>0</v>
      </c>
      <c r="F3224" s="28">
        <f t="shared" si="160"/>
        <v>3</v>
      </c>
    </row>
    <row r="3225" spans="1:6" x14ac:dyDescent="0.35">
      <c r="A3225">
        <f t="shared" si="161"/>
        <v>0</v>
      </c>
      <c r="B3225" t="str">
        <f t="shared" si="159"/>
        <v>I0</v>
      </c>
      <c r="C3225" s="13" t="s">
        <v>23</v>
      </c>
      <c r="D3225" s="18">
        <f>VLOOKUP(C3225,'DISTRIBUIÇÃO NF4267'!$E$3:$FQ$75,MATCH(B3225,'DISTRIBUIÇÃO NF4267'!$E$3:$FQ$3,0)+1,0)</f>
        <v>0</v>
      </c>
      <c r="F3225" s="28">
        <f t="shared" si="160"/>
        <v>3</v>
      </c>
    </row>
    <row r="3226" spans="1:6" x14ac:dyDescent="0.35">
      <c r="A3226">
        <f t="shared" si="161"/>
        <v>0</v>
      </c>
      <c r="B3226" t="str">
        <f t="shared" si="159"/>
        <v>I0</v>
      </c>
      <c r="C3226" s="13" t="s">
        <v>24</v>
      </c>
      <c r="D3226" s="18">
        <f>VLOOKUP(C3226,'DISTRIBUIÇÃO NF4267'!$E$3:$FQ$75,MATCH(B3226,'DISTRIBUIÇÃO NF4267'!$E$3:$FQ$3,0)+1,0)</f>
        <v>0</v>
      </c>
      <c r="F3226" s="28">
        <f t="shared" si="160"/>
        <v>3</v>
      </c>
    </row>
    <row r="3227" spans="1:6" x14ac:dyDescent="0.35">
      <c r="A3227">
        <f t="shared" si="161"/>
        <v>0</v>
      </c>
      <c r="B3227" t="str">
        <f t="shared" si="159"/>
        <v>I0</v>
      </c>
      <c r="C3227" s="13" t="s">
        <v>25</v>
      </c>
      <c r="D3227" s="18">
        <f>VLOOKUP(C3227,'DISTRIBUIÇÃO NF4267'!$E$3:$FQ$75,MATCH(B3227,'DISTRIBUIÇÃO NF4267'!$E$3:$FQ$3,0)+1,0)</f>
        <v>0</v>
      </c>
      <c r="F3227" s="28">
        <f t="shared" si="160"/>
        <v>3</v>
      </c>
    </row>
    <row r="3228" spans="1:6" x14ac:dyDescent="0.35">
      <c r="A3228">
        <f t="shared" si="161"/>
        <v>0</v>
      </c>
      <c r="B3228" t="str">
        <f t="shared" si="159"/>
        <v>I0</v>
      </c>
      <c r="C3228" s="13" t="s">
        <v>26</v>
      </c>
      <c r="D3228" s="18">
        <f>VLOOKUP(C3228,'DISTRIBUIÇÃO NF4267'!$E$3:$FQ$75,MATCH(B3228,'DISTRIBUIÇÃO NF4267'!$E$3:$FQ$3,0)+1,0)</f>
        <v>0</v>
      </c>
      <c r="F3228" s="28">
        <f t="shared" si="160"/>
        <v>3</v>
      </c>
    </row>
    <row r="3229" spans="1:6" x14ac:dyDescent="0.35">
      <c r="A3229">
        <f t="shared" si="161"/>
        <v>0</v>
      </c>
      <c r="B3229" t="str">
        <f t="shared" si="159"/>
        <v>I0</v>
      </c>
      <c r="C3229" s="13" t="s">
        <v>27</v>
      </c>
      <c r="D3229" s="18">
        <f>VLOOKUP(C3229,'DISTRIBUIÇÃO NF4267'!$E$3:$FQ$75,MATCH(B3229,'DISTRIBUIÇÃO NF4267'!$E$3:$FQ$3,0)+1,0)</f>
        <v>0</v>
      </c>
      <c r="F3229" s="28">
        <f t="shared" si="160"/>
        <v>3</v>
      </c>
    </row>
    <row r="3230" spans="1:6" x14ac:dyDescent="0.35">
      <c r="A3230">
        <f t="shared" si="161"/>
        <v>0</v>
      </c>
      <c r="B3230" t="str">
        <f t="shared" si="159"/>
        <v>I0</v>
      </c>
      <c r="C3230" s="14" t="s">
        <v>138</v>
      </c>
      <c r="D3230" s="18">
        <f>VLOOKUP(C3230,'DISTRIBUIÇÃO NF4267'!$E$3:$FQ$75,MATCH(B3230,'DISTRIBUIÇÃO NF4267'!$E$3:$FQ$3,0)+1,0)</f>
        <v>0</v>
      </c>
      <c r="F3230" s="28">
        <f t="shared" si="160"/>
        <v>3</v>
      </c>
    </row>
    <row r="3231" spans="1:6" x14ac:dyDescent="0.35">
      <c r="A3231">
        <f t="shared" si="161"/>
        <v>0</v>
      </c>
      <c r="B3231" t="str">
        <f t="shared" si="159"/>
        <v>I0</v>
      </c>
      <c r="C3231" s="14" t="s">
        <v>139</v>
      </c>
      <c r="D3231" s="18">
        <f>VLOOKUP(C3231,'DISTRIBUIÇÃO NF4267'!$E$3:$FQ$75,MATCH(B3231,'DISTRIBUIÇÃO NF4267'!$E$3:$FQ$3,0)+1,0)</f>
        <v>2</v>
      </c>
      <c r="F3231" s="28">
        <f t="shared" si="160"/>
        <v>3</v>
      </c>
    </row>
    <row r="3232" spans="1:6" x14ac:dyDescent="0.35">
      <c r="A3232">
        <f t="shared" si="161"/>
        <v>0</v>
      </c>
      <c r="B3232" t="str">
        <f t="shared" si="159"/>
        <v>I0</v>
      </c>
      <c r="C3232" s="14" t="s">
        <v>140</v>
      </c>
      <c r="D3232" s="18">
        <f>VLOOKUP(C3232,'DISTRIBUIÇÃO NF4267'!$E$3:$FQ$75,MATCH(B3232,'DISTRIBUIÇÃO NF4267'!$E$3:$FQ$3,0)+1,0)</f>
        <v>4</v>
      </c>
      <c r="F3232" s="28">
        <f t="shared" si="160"/>
        <v>3</v>
      </c>
    </row>
    <row r="3233" spans="1:6" x14ac:dyDescent="0.35">
      <c r="A3233">
        <f t="shared" si="161"/>
        <v>0</v>
      </c>
      <c r="B3233" t="str">
        <f t="shared" si="159"/>
        <v>I0</v>
      </c>
      <c r="C3233" s="14" t="s">
        <v>141</v>
      </c>
      <c r="D3233" s="18">
        <f>VLOOKUP(C3233,'DISTRIBUIÇÃO NF4267'!$E$3:$FQ$75,MATCH(B3233,'DISTRIBUIÇÃO NF4267'!$E$3:$FQ$3,0)+1,0)</f>
        <v>2</v>
      </c>
      <c r="F3233" s="28">
        <f t="shared" si="160"/>
        <v>3</v>
      </c>
    </row>
    <row r="3234" spans="1:6" x14ac:dyDescent="0.35">
      <c r="A3234">
        <f t="shared" si="161"/>
        <v>0</v>
      </c>
      <c r="B3234" t="str">
        <f t="shared" si="159"/>
        <v>I0</v>
      </c>
      <c r="C3234" s="14" t="s">
        <v>142</v>
      </c>
      <c r="D3234" s="18">
        <f>VLOOKUP(C3234,'DISTRIBUIÇÃO NF4267'!$E$3:$FQ$75,MATCH(B3234,'DISTRIBUIÇÃO NF4267'!$E$3:$FQ$3,0)+1,0)</f>
        <v>2</v>
      </c>
      <c r="F3234" s="28">
        <f t="shared" si="160"/>
        <v>3</v>
      </c>
    </row>
    <row r="3235" spans="1:6" x14ac:dyDescent="0.35">
      <c r="A3235">
        <f t="shared" si="161"/>
        <v>0</v>
      </c>
      <c r="B3235" t="str">
        <f t="shared" si="159"/>
        <v>I0</v>
      </c>
      <c r="C3235" s="14" t="s">
        <v>143</v>
      </c>
      <c r="D3235" s="18">
        <f>VLOOKUP(C3235,'DISTRIBUIÇÃO NF4267'!$E$3:$FQ$75,MATCH(B3235,'DISTRIBUIÇÃO NF4267'!$E$3:$FQ$3,0)+1,0)</f>
        <v>0</v>
      </c>
      <c r="F3235" s="28">
        <f t="shared" si="160"/>
        <v>3</v>
      </c>
    </row>
    <row r="3236" spans="1:6" x14ac:dyDescent="0.35">
      <c r="A3236">
        <f t="shared" si="161"/>
        <v>0</v>
      </c>
      <c r="B3236" t="str">
        <f t="shared" si="159"/>
        <v>I0</v>
      </c>
      <c r="C3236" s="15" t="s">
        <v>145</v>
      </c>
      <c r="D3236" s="18">
        <f>VLOOKUP(C3236,'DISTRIBUIÇÃO NF4267'!$E$3:$FQ$75,MATCH(B3236,'DISTRIBUIÇÃO NF4267'!$E$3:$FQ$3,0)+1,0)</f>
        <v>0</v>
      </c>
      <c r="F3236" s="28">
        <f t="shared" si="160"/>
        <v>3</v>
      </c>
    </row>
    <row r="3237" spans="1:6" x14ac:dyDescent="0.35">
      <c r="A3237">
        <f t="shared" si="161"/>
        <v>0</v>
      </c>
      <c r="B3237" t="str">
        <f t="shared" si="159"/>
        <v>I0</v>
      </c>
      <c r="C3237" s="15" t="s">
        <v>146</v>
      </c>
      <c r="D3237" s="18">
        <f>VLOOKUP(C3237,'DISTRIBUIÇÃO NF4267'!$E$3:$FQ$75,MATCH(B3237,'DISTRIBUIÇÃO NF4267'!$E$3:$FQ$3,0)+1,0)</f>
        <v>2</v>
      </c>
      <c r="F3237" s="28">
        <f t="shared" si="160"/>
        <v>3</v>
      </c>
    </row>
    <row r="3238" spans="1:6" x14ac:dyDescent="0.35">
      <c r="A3238">
        <f t="shared" si="161"/>
        <v>0</v>
      </c>
      <c r="B3238" t="str">
        <f t="shared" si="159"/>
        <v>I0</v>
      </c>
      <c r="C3238" s="15" t="s">
        <v>147</v>
      </c>
      <c r="D3238" s="18">
        <f>VLOOKUP(C3238,'DISTRIBUIÇÃO NF4267'!$E$3:$FQ$75,MATCH(B3238,'DISTRIBUIÇÃO NF4267'!$E$3:$FQ$3,0)+1,0)</f>
        <v>4</v>
      </c>
      <c r="F3238" s="28">
        <f t="shared" si="160"/>
        <v>3</v>
      </c>
    </row>
    <row r="3239" spans="1:6" x14ac:dyDescent="0.35">
      <c r="A3239">
        <f t="shared" si="161"/>
        <v>0</v>
      </c>
      <c r="B3239" t="str">
        <f t="shared" si="159"/>
        <v>I0</v>
      </c>
      <c r="C3239" s="15" t="s">
        <v>148</v>
      </c>
      <c r="D3239" s="18">
        <f>VLOOKUP(C3239,'DISTRIBUIÇÃO NF4267'!$E$3:$FQ$75,MATCH(B3239,'DISTRIBUIÇÃO NF4267'!$E$3:$FQ$3,0)+1,0)</f>
        <v>2</v>
      </c>
      <c r="F3239" s="28">
        <f t="shared" si="160"/>
        <v>3</v>
      </c>
    </row>
    <row r="3240" spans="1:6" x14ac:dyDescent="0.35">
      <c r="A3240">
        <f t="shared" si="161"/>
        <v>0</v>
      </c>
      <c r="B3240" t="str">
        <f t="shared" si="159"/>
        <v>I0</v>
      </c>
      <c r="C3240" s="15" t="s">
        <v>149</v>
      </c>
      <c r="D3240" s="18">
        <f>VLOOKUP(C3240,'DISTRIBUIÇÃO NF4267'!$E$3:$FQ$75,MATCH(B3240,'DISTRIBUIÇÃO NF4267'!$E$3:$FQ$3,0)+1,0)</f>
        <v>2</v>
      </c>
      <c r="F3240" s="28">
        <f t="shared" si="160"/>
        <v>3</v>
      </c>
    </row>
    <row r="3241" spans="1:6" x14ac:dyDescent="0.35">
      <c r="A3241">
        <f t="shared" si="161"/>
        <v>0</v>
      </c>
      <c r="B3241" t="str">
        <f t="shared" si="159"/>
        <v>I0</v>
      </c>
      <c r="C3241" s="15" t="s">
        <v>150</v>
      </c>
      <c r="D3241" s="18">
        <f>VLOOKUP(C3241,'DISTRIBUIÇÃO NF4267'!$E$3:$FQ$75,MATCH(B3241,'DISTRIBUIÇÃO NF4267'!$E$3:$FQ$3,0)+1,0)</f>
        <v>0</v>
      </c>
      <c r="F3241" s="28">
        <f t="shared" si="160"/>
        <v>3</v>
      </c>
    </row>
    <row r="3242" spans="1:6" x14ac:dyDescent="0.35">
      <c r="A3242">
        <f t="shared" si="161"/>
        <v>0</v>
      </c>
      <c r="B3242" t="s">
        <v>70</v>
      </c>
      <c r="C3242" s="7" t="s">
        <v>98</v>
      </c>
      <c r="D3242" s="18">
        <f>VLOOKUP(C3242,'DISTRIBUIÇÃO NF4267'!$E$3:$FQ$75,MATCH(B3242,'DISTRIBUIÇÃO NF4267'!$E$3:$FQ$3,0)+1,0)</f>
        <v>0</v>
      </c>
      <c r="F3242" s="28">
        <f t="shared" si="160"/>
        <v>3</v>
      </c>
    </row>
    <row r="3243" spans="1:6" x14ac:dyDescent="0.35">
      <c r="A3243">
        <f t="shared" si="161"/>
        <v>0</v>
      </c>
      <c r="B3243" t="str">
        <f>B3242</f>
        <v>IJ</v>
      </c>
      <c r="C3243" s="7" t="s">
        <v>99</v>
      </c>
      <c r="D3243" s="18">
        <f>VLOOKUP(C3243,'DISTRIBUIÇÃO NF4267'!$E$3:$FQ$75,MATCH(B3243,'DISTRIBUIÇÃO NF4267'!$E$3:$FQ$3,0)+1,0)</f>
        <v>4</v>
      </c>
      <c r="F3243" s="28">
        <f t="shared" si="160"/>
        <v>3</v>
      </c>
    </row>
    <row r="3244" spans="1:6" x14ac:dyDescent="0.35">
      <c r="A3244">
        <f t="shared" si="161"/>
        <v>0</v>
      </c>
      <c r="B3244" t="str">
        <f t="shared" ref="B3244:B3295" si="162">B3243</f>
        <v>IJ</v>
      </c>
      <c r="C3244" s="7" t="s">
        <v>100</v>
      </c>
      <c r="D3244" s="18">
        <f>VLOOKUP(C3244,'DISTRIBUIÇÃO NF4267'!$E$3:$FQ$75,MATCH(B3244,'DISTRIBUIÇÃO NF4267'!$E$3:$FQ$3,0)+1,0)</f>
        <v>8</v>
      </c>
      <c r="F3244" s="28">
        <f t="shared" si="160"/>
        <v>3</v>
      </c>
    </row>
    <row r="3245" spans="1:6" x14ac:dyDescent="0.35">
      <c r="A3245">
        <f t="shared" si="161"/>
        <v>0</v>
      </c>
      <c r="B3245" t="str">
        <f t="shared" si="162"/>
        <v>IJ</v>
      </c>
      <c r="C3245" s="7" t="s">
        <v>101</v>
      </c>
      <c r="D3245" s="18">
        <f>VLOOKUP(C3245,'DISTRIBUIÇÃO NF4267'!$E$3:$FQ$75,MATCH(B3245,'DISTRIBUIÇÃO NF4267'!$E$3:$FQ$3,0)+1,0)</f>
        <v>4</v>
      </c>
      <c r="F3245" s="28">
        <f t="shared" si="160"/>
        <v>3</v>
      </c>
    </row>
    <row r="3246" spans="1:6" x14ac:dyDescent="0.35">
      <c r="A3246">
        <f t="shared" si="161"/>
        <v>0</v>
      </c>
      <c r="B3246" t="str">
        <f t="shared" si="162"/>
        <v>IJ</v>
      </c>
      <c r="C3246" s="7" t="s">
        <v>102</v>
      </c>
      <c r="D3246" s="18">
        <f>VLOOKUP(C3246,'DISTRIBUIÇÃO NF4267'!$E$3:$FQ$75,MATCH(B3246,'DISTRIBUIÇÃO NF4267'!$E$3:$FQ$3,0)+1,0)</f>
        <v>4</v>
      </c>
      <c r="F3246" s="28">
        <f t="shared" si="160"/>
        <v>3</v>
      </c>
    </row>
    <row r="3247" spans="1:6" x14ac:dyDescent="0.35">
      <c r="A3247">
        <f t="shared" si="161"/>
        <v>0</v>
      </c>
      <c r="B3247" t="str">
        <f t="shared" si="162"/>
        <v>IJ</v>
      </c>
      <c r="C3247" s="7" t="s">
        <v>103</v>
      </c>
      <c r="D3247" s="18">
        <f>VLOOKUP(C3247,'DISTRIBUIÇÃO NF4267'!$E$3:$FQ$75,MATCH(B3247,'DISTRIBUIÇÃO NF4267'!$E$3:$FQ$3,0)+1,0)</f>
        <v>0</v>
      </c>
      <c r="F3247" s="28">
        <f t="shared" si="160"/>
        <v>3</v>
      </c>
    </row>
    <row r="3248" spans="1:6" x14ac:dyDescent="0.35">
      <c r="A3248">
        <f t="shared" si="161"/>
        <v>0</v>
      </c>
      <c r="B3248" t="str">
        <f t="shared" si="162"/>
        <v>IJ</v>
      </c>
      <c r="C3248" s="8" t="s">
        <v>107</v>
      </c>
      <c r="D3248" s="18">
        <f>VLOOKUP(C3248,'DISTRIBUIÇÃO NF4267'!$E$3:$FQ$75,MATCH(B3248,'DISTRIBUIÇÃO NF4267'!$E$3:$FQ$3,0)+1,0)</f>
        <v>0</v>
      </c>
      <c r="F3248" s="28">
        <f t="shared" si="160"/>
        <v>3</v>
      </c>
    </row>
    <row r="3249" spans="1:6" x14ac:dyDescent="0.35">
      <c r="A3249">
        <f t="shared" si="161"/>
        <v>0</v>
      </c>
      <c r="B3249" t="str">
        <f t="shared" si="162"/>
        <v>IJ</v>
      </c>
      <c r="C3249" s="8" t="s">
        <v>108</v>
      </c>
      <c r="D3249" s="18">
        <f>VLOOKUP(C3249,'DISTRIBUIÇÃO NF4267'!$E$3:$FQ$75,MATCH(B3249,'DISTRIBUIÇÃO NF4267'!$E$3:$FQ$3,0)+1,0)</f>
        <v>2</v>
      </c>
      <c r="F3249" s="28">
        <f t="shared" si="160"/>
        <v>3</v>
      </c>
    </row>
    <row r="3250" spans="1:6" x14ac:dyDescent="0.35">
      <c r="A3250">
        <f t="shared" si="161"/>
        <v>0</v>
      </c>
      <c r="B3250" t="str">
        <f t="shared" si="162"/>
        <v>IJ</v>
      </c>
      <c r="C3250" s="8" t="s">
        <v>109</v>
      </c>
      <c r="D3250" s="18">
        <f>VLOOKUP(C3250,'DISTRIBUIÇÃO NF4267'!$E$3:$FQ$75,MATCH(B3250,'DISTRIBUIÇÃO NF4267'!$E$3:$FQ$3,0)+1,0)</f>
        <v>4</v>
      </c>
      <c r="F3250" s="28">
        <f t="shared" si="160"/>
        <v>3</v>
      </c>
    </row>
    <row r="3251" spans="1:6" x14ac:dyDescent="0.35">
      <c r="A3251">
        <f t="shared" si="161"/>
        <v>0</v>
      </c>
      <c r="B3251" t="str">
        <f t="shared" si="162"/>
        <v>IJ</v>
      </c>
      <c r="C3251" s="8" t="s">
        <v>110</v>
      </c>
      <c r="D3251" s="18">
        <f>VLOOKUP(C3251,'DISTRIBUIÇÃO NF4267'!$E$3:$FQ$75,MATCH(B3251,'DISTRIBUIÇÃO NF4267'!$E$3:$FQ$3,0)+1,0)</f>
        <v>2</v>
      </c>
      <c r="F3251" s="28">
        <f t="shared" si="160"/>
        <v>3</v>
      </c>
    </row>
    <row r="3252" spans="1:6" x14ac:dyDescent="0.35">
      <c r="A3252">
        <f t="shared" si="161"/>
        <v>0</v>
      </c>
      <c r="B3252" t="str">
        <f t="shared" si="162"/>
        <v>IJ</v>
      </c>
      <c r="C3252" s="8" t="s">
        <v>111</v>
      </c>
      <c r="D3252" s="18">
        <f>VLOOKUP(C3252,'DISTRIBUIÇÃO NF4267'!$E$3:$FQ$75,MATCH(B3252,'DISTRIBUIÇÃO NF4267'!$E$3:$FQ$3,0)+1,0)</f>
        <v>2</v>
      </c>
      <c r="F3252" s="28">
        <f t="shared" si="160"/>
        <v>3</v>
      </c>
    </row>
    <row r="3253" spans="1:6" x14ac:dyDescent="0.35">
      <c r="A3253">
        <f t="shared" si="161"/>
        <v>0</v>
      </c>
      <c r="B3253" t="str">
        <f t="shared" si="162"/>
        <v>IJ</v>
      </c>
      <c r="C3253" s="8" t="s">
        <v>112</v>
      </c>
      <c r="D3253" s="18">
        <f>VLOOKUP(C3253,'DISTRIBUIÇÃO NF4267'!$E$3:$FQ$75,MATCH(B3253,'DISTRIBUIÇÃO NF4267'!$E$3:$FQ$3,0)+1,0)</f>
        <v>0</v>
      </c>
      <c r="F3253" s="28">
        <f t="shared" si="160"/>
        <v>3</v>
      </c>
    </row>
    <row r="3254" spans="1:6" x14ac:dyDescent="0.35">
      <c r="A3254">
        <f t="shared" si="161"/>
        <v>0</v>
      </c>
      <c r="B3254" t="str">
        <f t="shared" si="162"/>
        <v>IJ</v>
      </c>
      <c r="C3254" s="9" t="s">
        <v>113</v>
      </c>
      <c r="D3254" s="18">
        <f>VLOOKUP(C3254,'DISTRIBUIÇÃO NF4267'!$E$3:$FQ$75,MATCH(B3254,'DISTRIBUIÇÃO NF4267'!$E$3:$FQ$3,0)+1,0)</f>
        <v>0</v>
      </c>
      <c r="F3254" s="28">
        <f t="shared" si="160"/>
        <v>3</v>
      </c>
    </row>
    <row r="3255" spans="1:6" x14ac:dyDescent="0.35">
      <c r="A3255">
        <f t="shared" si="161"/>
        <v>0</v>
      </c>
      <c r="B3255" t="str">
        <f t="shared" si="162"/>
        <v>IJ</v>
      </c>
      <c r="C3255" s="9" t="s">
        <v>114</v>
      </c>
      <c r="D3255" s="18">
        <f>VLOOKUP(C3255,'DISTRIBUIÇÃO NF4267'!$E$3:$FQ$75,MATCH(B3255,'DISTRIBUIÇÃO NF4267'!$E$3:$FQ$3,0)+1,0)</f>
        <v>3</v>
      </c>
      <c r="F3255" s="28">
        <f t="shared" si="160"/>
        <v>3</v>
      </c>
    </row>
    <row r="3256" spans="1:6" x14ac:dyDescent="0.35">
      <c r="A3256">
        <f t="shared" si="161"/>
        <v>0</v>
      </c>
      <c r="B3256" t="str">
        <f t="shared" si="162"/>
        <v>IJ</v>
      </c>
      <c r="C3256" s="9" t="s">
        <v>115</v>
      </c>
      <c r="D3256" s="18">
        <f>VLOOKUP(C3256,'DISTRIBUIÇÃO NF4267'!$E$3:$FQ$75,MATCH(B3256,'DISTRIBUIÇÃO NF4267'!$E$3:$FQ$3,0)+1,0)</f>
        <v>4</v>
      </c>
      <c r="F3256" s="28">
        <f t="shared" ref="F3256:F3319" si="163">ROUNDUP(SUMIFS(D:D,B:B,B3256)/80,0)</f>
        <v>3</v>
      </c>
    </row>
    <row r="3257" spans="1:6" x14ac:dyDescent="0.35">
      <c r="A3257">
        <f t="shared" si="161"/>
        <v>0</v>
      </c>
      <c r="B3257" t="str">
        <f t="shared" si="162"/>
        <v>IJ</v>
      </c>
      <c r="C3257" s="9" t="s">
        <v>116</v>
      </c>
      <c r="D3257" s="18">
        <f>VLOOKUP(C3257,'DISTRIBUIÇÃO NF4267'!$E$3:$FQ$75,MATCH(B3257,'DISTRIBUIÇÃO NF4267'!$E$3:$FQ$3,0)+1,0)</f>
        <v>2</v>
      </c>
      <c r="F3257" s="28">
        <f t="shared" si="163"/>
        <v>3</v>
      </c>
    </row>
    <row r="3258" spans="1:6" x14ac:dyDescent="0.35">
      <c r="A3258">
        <f t="shared" si="161"/>
        <v>0</v>
      </c>
      <c r="B3258" t="str">
        <f t="shared" si="162"/>
        <v>IJ</v>
      </c>
      <c r="C3258" s="9" t="s">
        <v>117</v>
      </c>
      <c r="D3258" s="18">
        <f>VLOOKUP(C3258,'DISTRIBUIÇÃO NF4267'!$E$3:$FQ$75,MATCH(B3258,'DISTRIBUIÇÃO NF4267'!$E$3:$FQ$3,0)+1,0)</f>
        <v>1</v>
      </c>
      <c r="F3258" s="28">
        <f t="shared" si="163"/>
        <v>3</v>
      </c>
    </row>
    <row r="3259" spans="1:6" x14ac:dyDescent="0.35">
      <c r="A3259">
        <f t="shared" si="161"/>
        <v>0</v>
      </c>
      <c r="B3259" t="str">
        <f t="shared" si="162"/>
        <v>IJ</v>
      </c>
      <c r="C3259" s="9" t="s">
        <v>118</v>
      </c>
      <c r="D3259" s="18">
        <f>VLOOKUP(C3259,'DISTRIBUIÇÃO NF4267'!$E$3:$FQ$75,MATCH(B3259,'DISTRIBUIÇÃO NF4267'!$E$3:$FQ$3,0)+1,0)</f>
        <v>0</v>
      </c>
      <c r="F3259" s="28">
        <f t="shared" si="163"/>
        <v>3</v>
      </c>
    </row>
    <row r="3260" spans="1:6" x14ac:dyDescent="0.35">
      <c r="A3260">
        <f t="shared" si="161"/>
        <v>0</v>
      </c>
      <c r="B3260" t="str">
        <f t="shared" si="162"/>
        <v>IJ</v>
      </c>
      <c r="C3260" s="10" t="s">
        <v>119</v>
      </c>
      <c r="D3260" s="18">
        <f>VLOOKUP(C3260,'DISTRIBUIÇÃO NF4267'!$E$3:$FQ$75,MATCH(B3260,'DISTRIBUIÇÃO NF4267'!$E$3:$FQ$3,0)+1,0)</f>
        <v>0</v>
      </c>
      <c r="F3260" s="28">
        <f t="shared" si="163"/>
        <v>3</v>
      </c>
    </row>
    <row r="3261" spans="1:6" x14ac:dyDescent="0.35">
      <c r="A3261">
        <f t="shared" si="161"/>
        <v>0</v>
      </c>
      <c r="B3261" t="str">
        <f t="shared" si="162"/>
        <v>IJ</v>
      </c>
      <c r="C3261" s="10" t="s">
        <v>120</v>
      </c>
      <c r="D3261" s="18">
        <f>VLOOKUP(C3261,'DISTRIBUIÇÃO NF4267'!$E$3:$FQ$75,MATCH(B3261,'DISTRIBUIÇÃO NF4267'!$E$3:$FQ$3,0)+1,0)</f>
        <v>48</v>
      </c>
      <c r="F3261" s="28">
        <f t="shared" si="163"/>
        <v>3</v>
      </c>
    </row>
    <row r="3262" spans="1:6" x14ac:dyDescent="0.35">
      <c r="A3262">
        <f t="shared" si="161"/>
        <v>0</v>
      </c>
      <c r="B3262" t="str">
        <f t="shared" si="162"/>
        <v>IJ</v>
      </c>
      <c r="C3262" s="10" t="s">
        <v>121</v>
      </c>
      <c r="D3262" s="18">
        <f>VLOOKUP(C3262,'DISTRIBUIÇÃO NF4267'!$E$3:$FQ$75,MATCH(B3262,'DISTRIBUIÇÃO NF4267'!$E$3:$FQ$3,0)+1,0)</f>
        <v>16</v>
      </c>
      <c r="F3262" s="28">
        <f t="shared" si="163"/>
        <v>3</v>
      </c>
    </row>
    <row r="3263" spans="1:6" x14ac:dyDescent="0.35">
      <c r="A3263">
        <f t="shared" si="161"/>
        <v>0</v>
      </c>
      <c r="B3263" t="str">
        <f t="shared" si="162"/>
        <v>IJ</v>
      </c>
      <c r="C3263" s="10" t="s">
        <v>122</v>
      </c>
      <c r="D3263" s="18">
        <f>VLOOKUP(C3263,'DISTRIBUIÇÃO NF4267'!$E$3:$FQ$75,MATCH(B3263,'DISTRIBUIÇÃO NF4267'!$E$3:$FQ$3,0)+1,0)</f>
        <v>16</v>
      </c>
      <c r="F3263" s="28">
        <f t="shared" si="163"/>
        <v>3</v>
      </c>
    </row>
    <row r="3264" spans="1:6" x14ac:dyDescent="0.35">
      <c r="A3264">
        <f t="shared" si="161"/>
        <v>0</v>
      </c>
      <c r="B3264" t="str">
        <f t="shared" si="162"/>
        <v>IJ</v>
      </c>
      <c r="C3264" s="10" t="s">
        <v>123</v>
      </c>
      <c r="D3264" s="18">
        <f>VLOOKUP(C3264,'DISTRIBUIÇÃO NF4267'!$E$3:$FQ$75,MATCH(B3264,'DISTRIBUIÇÃO NF4267'!$E$3:$FQ$3,0)+1,0)</f>
        <v>0</v>
      </c>
      <c r="F3264" s="28">
        <f t="shared" si="163"/>
        <v>3</v>
      </c>
    </row>
    <row r="3265" spans="1:6" x14ac:dyDescent="0.35">
      <c r="A3265">
        <f t="shared" si="161"/>
        <v>0</v>
      </c>
      <c r="B3265" t="str">
        <f t="shared" si="162"/>
        <v>IJ</v>
      </c>
      <c r="C3265" s="10" t="s">
        <v>124</v>
      </c>
      <c r="D3265" s="18">
        <f>VLOOKUP(C3265,'DISTRIBUIÇÃO NF4267'!$E$3:$FQ$75,MATCH(B3265,'DISTRIBUIÇÃO NF4267'!$E$3:$FQ$3,0)+1,0)</f>
        <v>0</v>
      </c>
      <c r="F3265" s="28">
        <f t="shared" si="163"/>
        <v>3</v>
      </c>
    </row>
    <row r="3266" spans="1:6" x14ac:dyDescent="0.35">
      <c r="A3266">
        <f t="shared" ref="A3266:A3329" si="164">IF(ISERROR(VLOOKUP(C3266,I:I,1,0)),0,1)</f>
        <v>0</v>
      </c>
      <c r="B3266" t="str">
        <f t="shared" si="162"/>
        <v>IJ</v>
      </c>
      <c r="C3266" s="11" t="s">
        <v>16</v>
      </c>
      <c r="D3266" s="18">
        <f>VLOOKUP(C3266,'DISTRIBUIÇÃO NF4267'!$E$3:$FQ$75,MATCH(B3266,'DISTRIBUIÇÃO NF4267'!$E$3:$FQ$3,0)+1,0)</f>
        <v>0</v>
      </c>
      <c r="F3266" s="28">
        <f t="shared" si="163"/>
        <v>3</v>
      </c>
    </row>
    <row r="3267" spans="1:6" x14ac:dyDescent="0.35">
      <c r="A3267">
        <f t="shared" si="164"/>
        <v>0</v>
      </c>
      <c r="B3267" t="str">
        <f t="shared" si="162"/>
        <v>IJ</v>
      </c>
      <c r="C3267" s="11" t="s">
        <v>17</v>
      </c>
      <c r="D3267" s="18">
        <f>VLOOKUP(C3267,'DISTRIBUIÇÃO NF4267'!$E$3:$FQ$75,MATCH(B3267,'DISTRIBUIÇÃO NF4267'!$E$3:$FQ$3,0)+1,0)</f>
        <v>9</v>
      </c>
      <c r="F3267" s="28">
        <f t="shared" si="163"/>
        <v>3</v>
      </c>
    </row>
    <row r="3268" spans="1:6" x14ac:dyDescent="0.35">
      <c r="A3268">
        <f t="shared" si="164"/>
        <v>0</v>
      </c>
      <c r="B3268" t="str">
        <f t="shared" si="162"/>
        <v>IJ</v>
      </c>
      <c r="C3268" s="11" t="s">
        <v>18</v>
      </c>
      <c r="D3268" s="18">
        <f>VLOOKUP(C3268,'DISTRIBUIÇÃO NF4267'!$E$3:$FQ$75,MATCH(B3268,'DISTRIBUIÇÃO NF4267'!$E$3:$FQ$3,0)+1,0)</f>
        <v>3</v>
      </c>
      <c r="F3268" s="28">
        <f t="shared" si="163"/>
        <v>3</v>
      </c>
    </row>
    <row r="3269" spans="1:6" x14ac:dyDescent="0.35">
      <c r="A3269">
        <f t="shared" si="164"/>
        <v>0</v>
      </c>
      <c r="B3269" t="str">
        <f t="shared" si="162"/>
        <v>IJ</v>
      </c>
      <c r="C3269" s="11" t="s">
        <v>19</v>
      </c>
      <c r="D3269" s="18">
        <f>VLOOKUP(C3269,'DISTRIBUIÇÃO NF4267'!$E$3:$FQ$75,MATCH(B3269,'DISTRIBUIÇÃO NF4267'!$E$3:$FQ$3,0)+1,0)</f>
        <v>3</v>
      </c>
      <c r="F3269" s="28">
        <f t="shared" si="163"/>
        <v>3</v>
      </c>
    </row>
    <row r="3270" spans="1:6" x14ac:dyDescent="0.35">
      <c r="A3270">
        <f t="shared" si="164"/>
        <v>0</v>
      </c>
      <c r="B3270" t="str">
        <f t="shared" si="162"/>
        <v>IJ</v>
      </c>
      <c r="C3270" s="11" t="s">
        <v>20</v>
      </c>
      <c r="D3270" s="18">
        <f>VLOOKUP(C3270,'DISTRIBUIÇÃO NF4267'!$E$3:$FQ$75,MATCH(B3270,'DISTRIBUIÇÃO NF4267'!$E$3:$FQ$3,0)+1,0)</f>
        <v>15</v>
      </c>
      <c r="F3270" s="28">
        <f t="shared" si="163"/>
        <v>3</v>
      </c>
    </row>
    <row r="3271" spans="1:6" x14ac:dyDescent="0.35">
      <c r="A3271">
        <f t="shared" si="164"/>
        <v>0</v>
      </c>
      <c r="B3271" t="str">
        <f t="shared" si="162"/>
        <v>IJ</v>
      </c>
      <c r="C3271" s="11" t="s">
        <v>21</v>
      </c>
      <c r="D3271" s="18">
        <f>VLOOKUP(C3271,'DISTRIBUIÇÃO NF4267'!$E$3:$FQ$75,MATCH(B3271,'DISTRIBUIÇÃO NF4267'!$E$3:$FQ$3,0)+1,0)</f>
        <v>0</v>
      </c>
      <c r="F3271" s="28">
        <f t="shared" si="163"/>
        <v>3</v>
      </c>
    </row>
    <row r="3272" spans="1:6" x14ac:dyDescent="0.35">
      <c r="A3272">
        <f t="shared" si="164"/>
        <v>0</v>
      </c>
      <c r="B3272" t="str">
        <f t="shared" si="162"/>
        <v>IJ</v>
      </c>
      <c r="C3272" s="12" t="s">
        <v>130</v>
      </c>
      <c r="D3272" s="18">
        <f>VLOOKUP(C3272,'DISTRIBUIÇÃO NF4267'!$E$3:$FQ$75,MATCH(B3272,'DISTRIBUIÇÃO NF4267'!$E$3:$FQ$3,0)+1,0)</f>
        <v>0</v>
      </c>
      <c r="F3272" s="28">
        <f t="shared" si="163"/>
        <v>3</v>
      </c>
    </row>
    <row r="3273" spans="1:6" x14ac:dyDescent="0.35">
      <c r="A3273">
        <f t="shared" si="164"/>
        <v>0</v>
      </c>
      <c r="B3273" t="str">
        <f t="shared" si="162"/>
        <v>IJ</v>
      </c>
      <c r="C3273" s="12" t="s">
        <v>131</v>
      </c>
      <c r="D3273" s="18">
        <f>VLOOKUP(C3273,'DISTRIBUIÇÃO NF4267'!$E$3:$FQ$75,MATCH(B3273,'DISTRIBUIÇÃO NF4267'!$E$3:$FQ$3,0)+1,0)</f>
        <v>0</v>
      </c>
      <c r="F3273" s="28">
        <f t="shared" si="163"/>
        <v>3</v>
      </c>
    </row>
    <row r="3274" spans="1:6" x14ac:dyDescent="0.35">
      <c r="A3274">
        <f t="shared" si="164"/>
        <v>0</v>
      </c>
      <c r="B3274" t="str">
        <f t="shared" si="162"/>
        <v>IJ</v>
      </c>
      <c r="C3274" s="12" t="s">
        <v>132</v>
      </c>
      <c r="D3274" s="18">
        <f>VLOOKUP(C3274,'DISTRIBUIÇÃO NF4267'!$E$3:$FQ$75,MATCH(B3274,'DISTRIBUIÇÃO NF4267'!$E$3:$FQ$3,0)+1,0)</f>
        <v>0</v>
      </c>
      <c r="F3274" s="28">
        <f t="shared" si="163"/>
        <v>3</v>
      </c>
    </row>
    <row r="3275" spans="1:6" x14ac:dyDescent="0.35">
      <c r="A3275">
        <f t="shared" si="164"/>
        <v>0</v>
      </c>
      <c r="B3275" t="str">
        <f t="shared" si="162"/>
        <v>IJ</v>
      </c>
      <c r="C3275" s="12" t="s">
        <v>133</v>
      </c>
      <c r="D3275" s="18">
        <f>VLOOKUP(C3275,'DISTRIBUIÇÃO NF4267'!$E$3:$FQ$75,MATCH(B3275,'DISTRIBUIÇÃO NF4267'!$E$3:$FQ$3,0)+1,0)</f>
        <v>0</v>
      </c>
      <c r="F3275" s="28">
        <f t="shared" si="163"/>
        <v>3</v>
      </c>
    </row>
    <row r="3276" spans="1:6" x14ac:dyDescent="0.35">
      <c r="A3276">
        <f t="shared" si="164"/>
        <v>0</v>
      </c>
      <c r="B3276" t="str">
        <f t="shared" si="162"/>
        <v>IJ</v>
      </c>
      <c r="C3276" s="12" t="s">
        <v>134</v>
      </c>
      <c r="D3276" s="18">
        <f>VLOOKUP(C3276,'DISTRIBUIÇÃO NF4267'!$E$3:$FQ$75,MATCH(B3276,'DISTRIBUIÇÃO NF4267'!$E$3:$FQ$3,0)+1,0)</f>
        <v>0</v>
      </c>
      <c r="F3276" s="28">
        <f t="shared" si="163"/>
        <v>3</v>
      </c>
    </row>
    <row r="3277" spans="1:6" x14ac:dyDescent="0.35">
      <c r="A3277">
        <f t="shared" si="164"/>
        <v>0</v>
      </c>
      <c r="B3277" t="str">
        <f t="shared" si="162"/>
        <v>IJ</v>
      </c>
      <c r="C3277" s="12" t="s">
        <v>135</v>
      </c>
      <c r="D3277" s="18">
        <f>VLOOKUP(C3277,'DISTRIBUIÇÃO NF4267'!$E$3:$FQ$75,MATCH(B3277,'DISTRIBUIÇÃO NF4267'!$E$3:$FQ$3,0)+1,0)</f>
        <v>0</v>
      </c>
      <c r="F3277" s="28">
        <f t="shared" si="163"/>
        <v>3</v>
      </c>
    </row>
    <row r="3278" spans="1:6" x14ac:dyDescent="0.35">
      <c r="A3278">
        <f t="shared" si="164"/>
        <v>0</v>
      </c>
      <c r="B3278" t="str">
        <f t="shared" si="162"/>
        <v>IJ</v>
      </c>
      <c r="C3278" s="13" t="s">
        <v>22</v>
      </c>
      <c r="D3278" s="18">
        <f>VLOOKUP(C3278,'DISTRIBUIÇÃO NF4267'!$E$3:$FQ$75,MATCH(B3278,'DISTRIBUIÇÃO NF4267'!$E$3:$FQ$3,0)+1,0)</f>
        <v>0</v>
      </c>
      <c r="F3278" s="28">
        <f t="shared" si="163"/>
        <v>3</v>
      </c>
    </row>
    <row r="3279" spans="1:6" x14ac:dyDescent="0.35">
      <c r="A3279">
        <f t="shared" si="164"/>
        <v>0</v>
      </c>
      <c r="B3279" t="str">
        <f t="shared" si="162"/>
        <v>IJ</v>
      </c>
      <c r="C3279" s="13" t="s">
        <v>23</v>
      </c>
      <c r="D3279" s="18">
        <f>VLOOKUP(C3279,'DISTRIBUIÇÃO NF4267'!$E$3:$FQ$75,MATCH(B3279,'DISTRIBUIÇÃO NF4267'!$E$3:$FQ$3,0)+1,0)</f>
        <v>0</v>
      </c>
      <c r="F3279" s="28">
        <f t="shared" si="163"/>
        <v>3</v>
      </c>
    </row>
    <row r="3280" spans="1:6" x14ac:dyDescent="0.35">
      <c r="A3280">
        <f t="shared" si="164"/>
        <v>0</v>
      </c>
      <c r="B3280" t="str">
        <f t="shared" si="162"/>
        <v>IJ</v>
      </c>
      <c r="C3280" s="13" t="s">
        <v>24</v>
      </c>
      <c r="D3280" s="18">
        <f>VLOOKUP(C3280,'DISTRIBUIÇÃO NF4267'!$E$3:$FQ$75,MATCH(B3280,'DISTRIBUIÇÃO NF4267'!$E$3:$FQ$3,0)+1,0)</f>
        <v>0</v>
      </c>
      <c r="F3280" s="28">
        <f t="shared" si="163"/>
        <v>3</v>
      </c>
    </row>
    <row r="3281" spans="1:6" x14ac:dyDescent="0.35">
      <c r="A3281">
        <f t="shared" si="164"/>
        <v>0</v>
      </c>
      <c r="B3281" t="str">
        <f t="shared" si="162"/>
        <v>IJ</v>
      </c>
      <c r="C3281" s="13" t="s">
        <v>25</v>
      </c>
      <c r="D3281" s="18">
        <f>VLOOKUP(C3281,'DISTRIBUIÇÃO NF4267'!$E$3:$FQ$75,MATCH(B3281,'DISTRIBUIÇÃO NF4267'!$E$3:$FQ$3,0)+1,0)</f>
        <v>0</v>
      </c>
      <c r="F3281" s="28">
        <f t="shared" si="163"/>
        <v>3</v>
      </c>
    </row>
    <row r="3282" spans="1:6" x14ac:dyDescent="0.35">
      <c r="A3282">
        <f t="shared" si="164"/>
        <v>0</v>
      </c>
      <c r="B3282" t="str">
        <f t="shared" si="162"/>
        <v>IJ</v>
      </c>
      <c r="C3282" s="13" t="s">
        <v>26</v>
      </c>
      <c r="D3282" s="18">
        <f>VLOOKUP(C3282,'DISTRIBUIÇÃO NF4267'!$E$3:$FQ$75,MATCH(B3282,'DISTRIBUIÇÃO NF4267'!$E$3:$FQ$3,0)+1,0)</f>
        <v>0</v>
      </c>
      <c r="F3282" s="28">
        <f t="shared" si="163"/>
        <v>3</v>
      </c>
    </row>
    <row r="3283" spans="1:6" x14ac:dyDescent="0.35">
      <c r="A3283">
        <f t="shared" si="164"/>
        <v>0</v>
      </c>
      <c r="B3283" t="str">
        <f t="shared" si="162"/>
        <v>IJ</v>
      </c>
      <c r="C3283" s="13" t="s">
        <v>27</v>
      </c>
      <c r="D3283" s="18">
        <f>VLOOKUP(C3283,'DISTRIBUIÇÃO NF4267'!$E$3:$FQ$75,MATCH(B3283,'DISTRIBUIÇÃO NF4267'!$E$3:$FQ$3,0)+1,0)</f>
        <v>0</v>
      </c>
      <c r="F3283" s="28">
        <f t="shared" si="163"/>
        <v>3</v>
      </c>
    </row>
    <row r="3284" spans="1:6" x14ac:dyDescent="0.35">
      <c r="A3284">
        <f t="shared" si="164"/>
        <v>0</v>
      </c>
      <c r="B3284" t="str">
        <f t="shared" si="162"/>
        <v>IJ</v>
      </c>
      <c r="C3284" s="14" t="s">
        <v>138</v>
      </c>
      <c r="D3284" s="18">
        <f>VLOOKUP(C3284,'DISTRIBUIÇÃO NF4267'!$E$3:$FQ$75,MATCH(B3284,'DISTRIBUIÇÃO NF4267'!$E$3:$FQ$3,0)+1,0)</f>
        <v>0</v>
      </c>
      <c r="F3284" s="28">
        <f t="shared" si="163"/>
        <v>3</v>
      </c>
    </row>
    <row r="3285" spans="1:6" x14ac:dyDescent="0.35">
      <c r="A3285">
        <f t="shared" si="164"/>
        <v>0</v>
      </c>
      <c r="B3285" t="str">
        <f t="shared" si="162"/>
        <v>IJ</v>
      </c>
      <c r="C3285" s="14" t="s">
        <v>139</v>
      </c>
      <c r="D3285" s="18">
        <f>VLOOKUP(C3285,'DISTRIBUIÇÃO NF4267'!$E$3:$FQ$75,MATCH(B3285,'DISTRIBUIÇÃO NF4267'!$E$3:$FQ$3,0)+1,0)</f>
        <v>2</v>
      </c>
      <c r="F3285" s="28">
        <f t="shared" si="163"/>
        <v>3</v>
      </c>
    </row>
    <row r="3286" spans="1:6" x14ac:dyDescent="0.35">
      <c r="A3286">
        <f t="shared" si="164"/>
        <v>0</v>
      </c>
      <c r="B3286" t="str">
        <f t="shared" si="162"/>
        <v>IJ</v>
      </c>
      <c r="C3286" s="14" t="s">
        <v>140</v>
      </c>
      <c r="D3286" s="18">
        <f>VLOOKUP(C3286,'DISTRIBUIÇÃO NF4267'!$E$3:$FQ$75,MATCH(B3286,'DISTRIBUIÇÃO NF4267'!$E$3:$FQ$3,0)+1,0)</f>
        <v>4</v>
      </c>
      <c r="F3286" s="28">
        <f t="shared" si="163"/>
        <v>3</v>
      </c>
    </row>
    <row r="3287" spans="1:6" x14ac:dyDescent="0.35">
      <c r="A3287">
        <f t="shared" si="164"/>
        <v>0</v>
      </c>
      <c r="B3287" t="str">
        <f t="shared" si="162"/>
        <v>IJ</v>
      </c>
      <c r="C3287" s="14" t="s">
        <v>141</v>
      </c>
      <c r="D3287" s="18">
        <f>VLOOKUP(C3287,'DISTRIBUIÇÃO NF4267'!$E$3:$FQ$75,MATCH(B3287,'DISTRIBUIÇÃO NF4267'!$E$3:$FQ$3,0)+1,0)</f>
        <v>2</v>
      </c>
      <c r="F3287" s="28">
        <f t="shared" si="163"/>
        <v>3</v>
      </c>
    </row>
    <row r="3288" spans="1:6" x14ac:dyDescent="0.35">
      <c r="A3288">
        <f t="shared" si="164"/>
        <v>0</v>
      </c>
      <c r="B3288" t="str">
        <f t="shared" si="162"/>
        <v>IJ</v>
      </c>
      <c r="C3288" s="14" t="s">
        <v>142</v>
      </c>
      <c r="D3288" s="18">
        <f>VLOOKUP(C3288,'DISTRIBUIÇÃO NF4267'!$E$3:$FQ$75,MATCH(B3288,'DISTRIBUIÇÃO NF4267'!$E$3:$FQ$3,0)+1,0)</f>
        <v>2</v>
      </c>
      <c r="F3288" s="28">
        <f t="shared" si="163"/>
        <v>3</v>
      </c>
    </row>
    <row r="3289" spans="1:6" x14ac:dyDescent="0.35">
      <c r="A3289">
        <f t="shared" si="164"/>
        <v>0</v>
      </c>
      <c r="B3289" t="str">
        <f t="shared" si="162"/>
        <v>IJ</v>
      </c>
      <c r="C3289" s="14" t="s">
        <v>143</v>
      </c>
      <c r="D3289" s="18">
        <f>VLOOKUP(C3289,'DISTRIBUIÇÃO NF4267'!$E$3:$FQ$75,MATCH(B3289,'DISTRIBUIÇÃO NF4267'!$E$3:$FQ$3,0)+1,0)</f>
        <v>0</v>
      </c>
      <c r="F3289" s="28">
        <f t="shared" si="163"/>
        <v>3</v>
      </c>
    </row>
    <row r="3290" spans="1:6" x14ac:dyDescent="0.35">
      <c r="A3290">
        <f t="shared" si="164"/>
        <v>0</v>
      </c>
      <c r="B3290" t="str">
        <f t="shared" si="162"/>
        <v>IJ</v>
      </c>
      <c r="C3290" s="15" t="s">
        <v>145</v>
      </c>
      <c r="D3290" s="18">
        <f>VLOOKUP(C3290,'DISTRIBUIÇÃO NF4267'!$E$3:$FQ$75,MATCH(B3290,'DISTRIBUIÇÃO NF4267'!$E$3:$FQ$3,0)+1,0)</f>
        <v>0</v>
      </c>
      <c r="F3290" s="28">
        <f t="shared" si="163"/>
        <v>3</v>
      </c>
    </row>
    <row r="3291" spans="1:6" x14ac:dyDescent="0.35">
      <c r="A3291">
        <f t="shared" si="164"/>
        <v>0</v>
      </c>
      <c r="B3291" t="str">
        <f t="shared" si="162"/>
        <v>IJ</v>
      </c>
      <c r="C3291" s="15" t="s">
        <v>146</v>
      </c>
      <c r="D3291" s="18">
        <f>VLOOKUP(C3291,'DISTRIBUIÇÃO NF4267'!$E$3:$FQ$75,MATCH(B3291,'DISTRIBUIÇÃO NF4267'!$E$3:$FQ$3,0)+1,0)</f>
        <v>2</v>
      </c>
      <c r="F3291" s="28">
        <f t="shared" si="163"/>
        <v>3</v>
      </c>
    </row>
    <row r="3292" spans="1:6" x14ac:dyDescent="0.35">
      <c r="A3292">
        <f t="shared" si="164"/>
        <v>0</v>
      </c>
      <c r="B3292" t="str">
        <f t="shared" si="162"/>
        <v>IJ</v>
      </c>
      <c r="C3292" s="15" t="s">
        <v>147</v>
      </c>
      <c r="D3292" s="18">
        <f>VLOOKUP(C3292,'DISTRIBUIÇÃO NF4267'!$E$3:$FQ$75,MATCH(B3292,'DISTRIBUIÇÃO NF4267'!$E$3:$FQ$3,0)+1,0)</f>
        <v>4</v>
      </c>
      <c r="F3292" s="28">
        <f t="shared" si="163"/>
        <v>3</v>
      </c>
    </row>
    <row r="3293" spans="1:6" x14ac:dyDescent="0.35">
      <c r="A3293">
        <f t="shared" si="164"/>
        <v>0</v>
      </c>
      <c r="B3293" t="str">
        <f t="shared" si="162"/>
        <v>IJ</v>
      </c>
      <c r="C3293" s="15" t="s">
        <v>148</v>
      </c>
      <c r="D3293" s="18">
        <f>VLOOKUP(C3293,'DISTRIBUIÇÃO NF4267'!$E$3:$FQ$75,MATCH(B3293,'DISTRIBUIÇÃO NF4267'!$E$3:$FQ$3,0)+1,0)</f>
        <v>2</v>
      </c>
      <c r="F3293" s="28">
        <f t="shared" si="163"/>
        <v>3</v>
      </c>
    </row>
    <row r="3294" spans="1:6" x14ac:dyDescent="0.35">
      <c r="A3294">
        <f t="shared" si="164"/>
        <v>0</v>
      </c>
      <c r="B3294" t="str">
        <f t="shared" si="162"/>
        <v>IJ</v>
      </c>
      <c r="C3294" s="15" t="s">
        <v>149</v>
      </c>
      <c r="D3294" s="18">
        <f>VLOOKUP(C3294,'DISTRIBUIÇÃO NF4267'!$E$3:$FQ$75,MATCH(B3294,'DISTRIBUIÇÃO NF4267'!$E$3:$FQ$3,0)+1,0)</f>
        <v>2</v>
      </c>
      <c r="F3294" s="28">
        <f t="shared" si="163"/>
        <v>3</v>
      </c>
    </row>
    <row r="3295" spans="1:6" x14ac:dyDescent="0.35">
      <c r="A3295">
        <f t="shared" si="164"/>
        <v>0</v>
      </c>
      <c r="B3295" t="str">
        <f t="shared" si="162"/>
        <v>IJ</v>
      </c>
      <c r="C3295" s="15" t="s">
        <v>150</v>
      </c>
      <c r="D3295" s="18">
        <f>VLOOKUP(C3295,'DISTRIBUIÇÃO NF4267'!$E$3:$FQ$75,MATCH(B3295,'DISTRIBUIÇÃO NF4267'!$E$3:$FQ$3,0)+1,0)</f>
        <v>0</v>
      </c>
      <c r="F3295" s="28">
        <f t="shared" si="163"/>
        <v>3</v>
      </c>
    </row>
    <row r="3296" spans="1:6" x14ac:dyDescent="0.35">
      <c r="A3296">
        <f t="shared" si="164"/>
        <v>0</v>
      </c>
      <c r="B3296">
        <v>62</v>
      </c>
      <c r="C3296" s="7" t="s">
        <v>98</v>
      </c>
      <c r="D3296" s="18">
        <f>VLOOKUP(C3296,'DISTRIBUIÇÃO NF4267'!$E$3:$FQ$75,MATCH(B3296,'DISTRIBUIÇÃO NF4267'!$E$3:$FQ$3,0)+1,0)</f>
        <v>0</v>
      </c>
      <c r="F3296" s="28">
        <f t="shared" si="163"/>
        <v>3</v>
      </c>
    </row>
    <row r="3297" spans="1:6" x14ac:dyDescent="0.35">
      <c r="A3297">
        <f t="shared" si="164"/>
        <v>0</v>
      </c>
      <c r="B3297">
        <f>B3296</f>
        <v>62</v>
      </c>
      <c r="C3297" s="7" t="s">
        <v>99</v>
      </c>
      <c r="D3297" s="18">
        <f>VLOOKUP(C3297,'DISTRIBUIÇÃO NF4267'!$E$3:$FQ$75,MATCH(B3297,'DISTRIBUIÇÃO NF4267'!$E$3:$FQ$3,0)+1,0)</f>
        <v>4</v>
      </c>
      <c r="F3297" s="28">
        <f t="shared" si="163"/>
        <v>3</v>
      </c>
    </row>
    <row r="3298" spans="1:6" x14ac:dyDescent="0.35">
      <c r="A3298">
        <f t="shared" si="164"/>
        <v>0</v>
      </c>
      <c r="B3298">
        <f t="shared" ref="B3298:B3349" si="165">B3297</f>
        <v>62</v>
      </c>
      <c r="C3298" s="7" t="s">
        <v>100</v>
      </c>
      <c r="D3298" s="18">
        <f>VLOOKUP(C3298,'DISTRIBUIÇÃO NF4267'!$E$3:$FQ$75,MATCH(B3298,'DISTRIBUIÇÃO NF4267'!$E$3:$FQ$3,0)+1,0)</f>
        <v>8</v>
      </c>
      <c r="F3298" s="28">
        <f t="shared" si="163"/>
        <v>3</v>
      </c>
    </row>
    <row r="3299" spans="1:6" x14ac:dyDescent="0.35">
      <c r="A3299">
        <f t="shared" si="164"/>
        <v>0</v>
      </c>
      <c r="B3299">
        <f t="shared" si="165"/>
        <v>62</v>
      </c>
      <c r="C3299" s="7" t="s">
        <v>101</v>
      </c>
      <c r="D3299" s="18">
        <f>VLOOKUP(C3299,'DISTRIBUIÇÃO NF4267'!$E$3:$FQ$75,MATCH(B3299,'DISTRIBUIÇÃO NF4267'!$E$3:$FQ$3,0)+1,0)</f>
        <v>4</v>
      </c>
      <c r="F3299" s="28">
        <f t="shared" si="163"/>
        <v>3</v>
      </c>
    </row>
    <row r="3300" spans="1:6" x14ac:dyDescent="0.35">
      <c r="A3300">
        <f t="shared" si="164"/>
        <v>0</v>
      </c>
      <c r="B3300">
        <f t="shared" si="165"/>
        <v>62</v>
      </c>
      <c r="C3300" s="7" t="s">
        <v>102</v>
      </c>
      <c r="D3300" s="18">
        <f>VLOOKUP(C3300,'DISTRIBUIÇÃO NF4267'!$E$3:$FQ$75,MATCH(B3300,'DISTRIBUIÇÃO NF4267'!$E$3:$FQ$3,0)+1,0)</f>
        <v>4</v>
      </c>
      <c r="F3300" s="28">
        <f t="shared" si="163"/>
        <v>3</v>
      </c>
    </row>
    <row r="3301" spans="1:6" x14ac:dyDescent="0.35">
      <c r="A3301">
        <f t="shared" si="164"/>
        <v>0</v>
      </c>
      <c r="B3301">
        <f t="shared" si="165"/>
        <v>62</v>
      </c>
      <c r="C3301" s="7" t="s">
        <v>103</v>
      </c>
      <c r="D3301" s="18">
        <f>VLOOKUP(C3301,'DISTRIBUIÇÃO NF4267'!$E$3:$FQ$75,MATCH(B3301,'DISTRIBUIÇÃO NF4267'!$E$3:$FQ$3,0)+1,0)</f>
        <v>0</v>
      </c>
      <c r="F3301" s="28">
        <f t="shared" si="163"/>
        <v>3</v>
      </c>
    </row>
    <row r="3302" spans="1:6" x14ac:dyDescent="0.35">
      <c r="A3302">
        <f t="shared" si="164"/>
        <v>0</v>
      </c>
      <c r="B3302">
        <f t="shared" si="165"/>
        <v>62</v>
      </c>
      <c r="C3302" s="8" t="s">
        <v>107</v>
      </c>
      <c r="D3302" s="18">
        <f>VLOOKUP(C3302,'DISTRIBUIÇÃO NF4267'!$E$3:$FQ$75,MATCH(B3302,'DISTRIBUIÇÃO NF4267'!$E$3:$FQ$3,0)+1,0)</f>
        <v>0</v>
      </c>
      <c r="F3302" s="28">
        <f t="shared" si="163"/>
        <v>3</v>
      </c>
    </row>
    <row r="3303" spans="1:6" x14ac:dyDescent="0.35">
      <c r="A3303">
        <f t="shared" si="164"/>
        <v>0</v>
      </c>
      <c r="B3303">
        <f t="shared" si="165"/>
        <v>62</v>
      </c>
      <c r="C3303" s="8" t="s">
        <v>108</v>
      </c>
      <c r="D3303" s="18">
        <f>VLOOKUP(C3303,'DISTRIBUIÇÃO NF4267'!$E$3:$FQ$75,MATCH(B3303,'DISTRIBUIÇÃO NF4267'!$E$3:$FQ$3,0)+1,0)</f>
        <v>2</v>
      </c>
      <c r="F3303" s="28">
        <f t="shared" si="163"/>
        <v>3</v>
      </c>
    </row>
    <row r="3304" spans="1:6" x14ac:dyDescent="0.35">
      <c r="A3304">
        <f t="shared" si="164"/>
        <v>0</v>
      </c>
      <c r="B3304">
        <f t="shared" si="165"/>
        <v>62</v>
      </c>
      <c r="C3304" s="8" t="s">
        <v>109</v>
      </c>
      <c r="D3304" s="18">
        <f>VLOOKUP(C3304,'DISTRIBUIÇÃO NF4267'!$E$3:$FQ$75,MATCH(B3304,'DISTRIBUIÇÃO NF4267'!$E$3:$FQ$3,0)+1,0)</f>
        <v>4</v>
      </c>
      <c r="F3304" s="28">
        <f t="shared" si="163"/>
        <v>3</v>
      </c>
    </row>
    <row r="3305" spans="1:6" x14ac:dyDescent="0.35">
      <c r="A3305">
        <f t="shared" si="164"/>
        <v>0</v>
      </c>
      <c r="B3305">
        <f t="shared" si="165"/>
        <v>62</v>
      </c>
      <c r="C3305" s="8" t="s">
        <v>110</v>
      </c>
      <c r="D3305" s="18">
        <f>VLOOKUP(C3305,'DISTRIBUIÇÃO NF4267'!$E$3:$FQ$75,MATCH(B3305,'DISTRIBUIÇÃO NF4267'!$E$3:$FQ$3,0)+1,0)</f>
        <v>2</v>
      </c>
      <c r="F3305" s="28">
        <f t="shared" si="163"/>
        <v>3</v>
      </c>
    </row>
    <row r="3306" spans="1:6" x14ac:dyDescent="0.35">
      <c r="A3306">
        <f t="shared" si="164"/>
        <v>0</v>
      </c>
      <c r="B3306">
        <f t="shared" si="165"/>
        <v>62</v>
      </c>
      <c r="C3306" s="8" t="s">
        <v>111</v>
      </c>
      <c r="D3306" s="18">
        <f>VLOOKUP(C3306,'DISTRIBUIÇÃO NF4267'!$E$3:$FQ$75,MATCH(B3306,'DISTRIBUIÇÃO NF4267'!$E$3:$FQ$3,0)+1,0)</f>
        <v>2</v>
      </c>
      <c r="F3306" s="28">
        <f t="shared" si="163"/>
        <v>3</v>
      </c>
    </row>
    <row r="3307" spans="1:6" x14ac:dyDescent="0.35">
      <c r="A3307">
        <f t="shared" si="164"/>
        <v>0</v>
      </c>
      <c r="B3307">
        <f t="shared" si="165"/>
        <v>62</v>
      </c>
      <c r="C3307" s="8" t="s">
        <v>112</v>
      </c>
      <c r="D3307" s="18">
        <f>VLOOKUP(C3307,'DISTRIBUIÇÃO NF4267'!$E$3:$FQ$75,MATCH(B3307,'DISTRIBUIÇÃO NF4267'!$E$3:$FQ$3,0)+1,0)</f>
        <v>0</v>
      </c>
      <c r="F3307" s="28">
        <f t="shared" si="163"/>
        <v>3</v>
      </c>
    </row>
    <row r="3308" spans="1:6" x14ac:dyDescent="0.35">
      <c r="A3308">
        <f t="shared" si="164"/>
        <v>0</v>
      </c>
      <c r="B3308">
        <f t="shared" si="165"/>
        <v>62</v>
      </c>
      <c r="C3308" s="9" t="s">
        <v>113</v>
      </c>
      <c r="D3308" s="18">
        <f>VLOOKUP(C3308,'DISTRIBUIÇÃO NF4267'!$E$3:$FQ$75,MATCH(B3308,'DISTRIBUIÇÃO NF4267'!$E$3:$FQ$3,0)+1,0)</f>
        <v>0</v>
      </c>
      <c r="F3308" s="28">
        <f t="shared" si="163"/>
        <v>3</v>
      </c>
    </row>
    <row r="3309" spans="1:6" x14ac:dyDescent="0.35">
      <c r="A3309">
        <f t="shared" si="164"/>
        <v>0</v>
      </c>
      <c r="B3309">
        <f t="shared" si="165"/>
        <v>62</v>
      </c>
      <c r="C3309" s="9" t="s">
        <v>114</v>
      </c>
      <c r="D3309" s="18">
        <f>VLOOKUP(C3309,'DISTRIBUIÇÃO NF4267'!$E$3:$FQ$75,MATCH(B3309,'DISTRIBUIÇÃO NF4267'!$E$3:$FQ$3,0)+1,0)</f>
        <v>3</v>
      </c>
      <c r="F3309" s="28">
        <f t="shared" si="163"/>
        <v>3</v>
      </c>
    </row>
    <row r="3310" spans="1:6" x14ac:dyDescent="0.35">
      <c r="A3310">
        <f t="shared" si="164"/>
        <v>0</v>
      </c>
      <c r="B3310">
        <f t="shared" si="165"/>
        <v>62</v>
      </c>
      <c r="C3310" s="9" t="s">
        <v>115</v>
      </c>
      <c r="D3310" s="18">
        <f>VLOOKUP(C3310,'DISTRIBUIÇÃO NF4267'!$E$3:$FQ$75,MATCH(B3310,'DISTRIBUIÇÃO NF4267'!$E$3:$FQ$3,0)+1,0)</f>
        <v>4</v>
      </c>
      <c r="F3310" s="28">
        <f t="shared" si="163"/>
        <v>3</v>
      </c>
    </row>
    <row r="3311" spans="1:6" x14ac:dyDescent="0.35">
      <c r="A3311">
        <f t="shared" si="164"/>
        <v>0</v>
      </c>
      <c r="B3311">
        <f t="shared" si="165"/>
        <v>62</v>
      </c>
      <c r="C3311" s="9" t="s">
        <v>116</v>
      </c>
      <c r="D3311" s="18">
        <f>VLOOKUP(C3311,'DISTRIBUIÇÃO NF4267'!$E$3:$FQ$75,MATCH(B3311,'DISTRIBUIÇÃO NF4267'!$E$3:$FQ$3,0)+1,0)</f>
        <v>2</v>
      </c>
      <c r="F3311" s="28">
        <f t="shared" si="163"/>
        <v>3</v>
      </c>
    </row>
    <row r="3312" spans="1:6" x14ac:dyDescent="0.35">
      <c r="A3312">
        <f t="shared" si="164"/>
        <v>0</v>
      </c>
      <c r="B3312">
        <f t="shared" si="165"/>
        <v>62</v>
      </c>
      <c r="C3312" s="9" t="s">
        <v>117</v>
      </c>
      <c r="D3312" s="18">
        <f>VLOOKUP(C3312,'DISTRIBUIÇÃO NF4267'!$E$3:$FQ$75,MATCH(B3312,'DISTRIBUIÇÃO NF4267'!$E$3:$FQ$3,0)+1,0)</f>
        <v>1</v>
      </c>
      <c r="F3312" s="28">
        <f t="shared" si="163"/>
        <v>3</v>
      </c>
    </row>
    <row r="3313" spans="1:6" x14ac:dyDescent="0.35">
      <c r="A3313">
        <f t="shared" si="164"/>
        <v>0</v>
      </c>
      <c r="B3313">
        <f t="shared" si="165"/>
        <v>62</v>
      </c>
      <c r="C3313" s="9" t="s">
        <v>118</v>
      </c>
      <c r="D3313" s="18">
        <f>VLOOKUP(C3313,'DISTRIBUIÇÃO NF4267'!$E$3:$FQ$75,MATCH(B3313,'DISTRIBUIÇÃO NF4267'!$E$3:$FQ$3,0)+1,0)</f>
        <v>0</v>
      </c>
      <c r="F3313" s="28">
        <f t="shared" si="163"/>
        <v>3</v>
      </c>
    </row>
    <row r="3314" spans="1:6" x14ac:dyDescent="0.35">
      <c r="A3314">
        <f t="shared" si="164"/>
        <v>0</v>
      </c>
      <c r="B3314">
        <f t="shared" si="165"/>
        <v>62</v>
      </c>
      <c r="C3314" s="10" t="s">
        <v>119</v>
      </c>
      <c r="D3314" s="18">
        <f>VLOOKUP(C3314,'DISTRIBUIÇÃO NF4267'!$E$3:$FQ$75,MATCH(B3314,'DISTRIBUIÇÃO NF4267'!$E$3:$FQ$3,0)+1,0)</f>
        <v>0</v>
      </c>
      <c r="F3314" s="28">
        <f t="shared" si="163"/>
        <v>3</v>
      </c>
    </row>
    <row r="3315" spans="1:6" x14ac:dyDescent="0.35">
      <c r="A3315">
        <f t="shared" si="164"/>
        <v>0</v>
      </c>
      <c r="B3315">
        <f t="shared" si="165"/>
        <v>62</v>
      </c>
      <c r="C3315" s="10" t="s">
        <v>120</v>
      </c>
      <c r="D3315" s="18">
        <f>VLOOKUP(C3315,'DISTRIBUIÇÃO NF4267'!$E$3:$FQ$75,MATCH(B3315,'DISTRIBUIÇÃO NF4267'!$E$3:$FQ$3,0)+1,0)</f>
        <v>48</v>
      </c>
      <c r="F3315" s="28">
        <f t="shared" si="163"/>
        <v>3</v>
      </c>
    </row>
    <row r="3316" spans="1:6" x14ac:dyDescent="0.35">
      <c r="A3316">
        <f t="shared" si="164"/>
        <v>0</v>
      </c>
      <c r="B3316">
        <f t="shared" si="165"/>
        <v>62</v>
      </c>
      <c r="C3316" s="10" t="s">
        <v>121</v>
      </c>
      <c r="D3316" s="18">
        <f>VLOOKUP(C3316,'DISTRIBUIÇÃO NF4267'!$E$3:$FQ$75,MATCH(B3316,'DISTRIBUIÇÃO NF4267'!$E$3:$FQ$3,0)+1,0)</f>
        <v>16</v>
      </c>
      <c r="F3316" s="28">
        <f t="shared" si="163"/>
        <v>3</v>
      </c>
    </row>
    <row r="3317" spans="1:6" x14ac:dyDescent="0.35">
      <c r="A3317">
        <f t="shared" si="164"/>
        <v>0</v>
      </c>
      <c r="B3317">
        <f t="shared" si="165"/>
        <v>62</v>
      </c>
      <c r="C3317" s="10" t="s">
        <v>122</v>
      </c>
      <c r="D3317" s="18">
        <f>VLOOKUP(C3317,'DISTRIBUIÇÃO NF4267'!$E$3:$FQ$75,MATCH(B3317,'DISTRIBUIÇÃO NF4267'!$E$3:$FQ$3,0)+1,0)</f>
        <v>16</v>
      </c>
      <c r="F3317" s="28">
        <f t="shared" si="163"/>
        <v>3</v>
      </c>
    </row>
    <row r="3318" spans="1:6" x14ac:dyDescent="0.35">
      <c r="A3318">
        <f t="shared" si="164"/>
        <v>0</v>
      </c>
      <c r="B3318">
        <f t="shared" si="165"/>
        <v>62</v>
      </c>
      <c r="C3318" s="10" t="s">
        <v>123</v>
      </c>
      <c r="D3318" s="18">
        <f>VLOOKUP(C3318,'DISTRIBUIÇÃO NF4267'!$E$3:$FQ$75,MATCH(B3318,'DISTRIBUIÇÃO NF4267'!$E$3:$FQ$3,0)+1,0)</f>
        <v>0</v>
      </c>
      <c r="F3318" s="28">
        <f t="shared" si="163"/>
        <v>3</v>
      </c>
    </row>
    <row r="3319" spans="1:6" x14ac:dyDescent="0.35">
      <c r="A3319">
        <f t="shared" si="164"/>
        <v>0</v>
      </c>
      <c r="B3319">
        <f t="shared" si="165"/>
        <v>62</v>
      </c>
      <c r="C3319" s="10" t="s">
        <v>124</v>
      </c>
      <c r="D3319" s="18">
        <f>VLOOKUP(C3319,'DISTRIBUIÇÃO NF4267'!$E$3:$FQ$75,MATCH(B3319,'DISTRIBUIÇÃO NF4267'!$E$3:$FQ$3,0)+1,0)</f>
        <v>0</v>
      </c>
      <c r="F3319" s="28">
        <f t="shared" si="163"/>
        <v>3</v>
      </c>
    </row>
    <row r="3320" spans="1:6" x14ac:dyDescent="0.35">
      <c r="A3320">
        <f t="shared" si="164"/>
        <v>0</v>
      </c>
      <c r="B3320">
        <f t="shared" si="165"/>
        <v>62</v>
      </c>
      <c r="C3320" s="11" t="s">
        <v>16</v>
      </c>
      <c r="D3320" s="18">
        <f>VLOOKUP(C3320,'DISTRIBUIÇÃO NF4267'!$E$3:$FQ$75,MATCH(B3320,'DISTRIBUIÇÃO NF4267'!$E$3:$FQ$3,0)+1,0)</f>
        <v>0</v>
      </c>
      <c r="F3320" s="28">
        <f t="shared" ref="F3320:F3383" si="166">ROUNDUP(SUMIFS(D:D,B:B,B3320)/80,0)</f>
        <v>3</v>
      </c>
    </row>
    <row r="3321" spans="1:6" x14ac:dyDescent="0.35">
      <c r="A3321">
        <f t="shared" si="164"/>
        <v>0</v>
      </c>
      <c r="B3321">
        <f t="shared" si="165"/>
        <v>62</v>
      </c>
      <c r="C3321" s="11" t="s">
        <v>17</v>
      </c>
      <c r="D3321" s="18">
        <f>VLOOKUP(C3321,'DISTRIBUIÇÃO NF4267'!$E$3:$FQ$75,MATCH(B3321,'DISTRIBUIÇÃO NF4267'!$E$3:$FQ$3,0)+1,0)</f>
        <v>9</v>
      </c>
      <c r="F3321" s="28">
        <f t="shared" si="166"/>
        <v>3</v>
      </c>
    </row>
    <row r="3322" spans="1:6" x14ac:dyDescent="0.35">
      <c r="A3322">
        <f t="shared" si="164"/>
        <v>0</v>
      </c>
      <c r="B3322">
        <f t="shared" si="165"/>
        <v>62</v>
      </c>
      <c r="C3322" s="11" t="s">
        <v>18</v>
      </c>
      <c r="D3322" s="18">
        <f>VLOOKUP(C3322,'DISTRIBUIÇÃO NF4267'!$E$3:$FQ$75,MATCH(B3322,'DISTRIBUIÇÃO NF4267'!$E$3:$FQ$3,0)+1,0)</f>
        <v>3</v>
      </c>
      <c r="F3322" s="28">
        <f t="shared" si="166"/>
        <v>3</v>
      </c>
    </row>
    <row r="3323" spans="1:6" x14ac:dyDescent="0.35">
      <c r="A3323">
        <f t="shared" si="164"/>
        <v>0</v>
      </c>
      <c r="B3323">
        <f t="shared" si="165"/>
        <v>62</v>
      </c>
      <c r="C3323" s="11" t="s">
        <v>19</v>
      </c>
      <c r="D3323" s="18">
        <f>VLOOKUP(C3323,'DISTRIBUIÇÃO NF4267'!$E$3:$FQ$75,MATCH(B3323,'DISTRIBUIÇÃO NF4267'!$E$3:$FQ$3,0)+1,0)</f>
        <v>3</v>
      </c>
      <c r="F3323" s="28">
        <f t="shared" si="166"/>
        <v>3</v>
      </c>
    </row>
    <row r="3324" spans="1:6" x14ac:dyDescent="0.35">
      <c r="A3324">
        <f t="shared" si="164"/>
        <v>0</v>
      </c>
      <c r="B3324">
        <f t="shared" si="165"/>
        <v>62</v>
      </c>
      <c r="C3324" s="11" t="s">
        <v>20</v>
      </c>
      <c r="D3324" s="18">
        <f>VLOOKUP(C3324,'DISTRIBUIÇÃO NF4267'!$E$3:$FQ$75,MATCH(B3324,'DISTRIBUIÇÃO NF4267'!$E$3:$FQ$3,0)+1,0)</f>
        <v>15</v>
      </c>
      <c r="F3324" s="28">
        <f t="shared" si="166"/>
        <v>3</v>
      </c>
    </row>
    <row r="3325" spans="1:6" x14ac:dyDescent="0.35">
      <c r="A3325">
        <f t="shared" si="164"/>
        <v>0</v>
      </c>
      <c r="B3325">
        <f t="shared" si="165"/>
        <v>62</v>
      </c>
      <c r="C3325" s="11" t="s">
        <v>21</v>
      </c>
      <c r="D3325" s="18">
        <f>VLOOKUP(C3325,'DISTRIBUIÇÃO NF4267'!$E$3:$FQ$75,MATCH(B3325,'DISTRIBUIÇÃO NF4267'!$E$3:$FQ$3,0)+1,0)</f>
        <v>0</v>
      </c>
      <c r="F3325" s="28">
        <f t="shared" si="166"/>
        <v>3</v>
      </c>
    </row>
    <row r="3326" spans="1:6" x14ac:dyDescent="0.35">
      <c r="A3326">
        <f t="shared" si="164"/>
        <v>0</v>
      </c>
      <c r="B3326">
        <f t="shared" si="165"/>
        <v>62</v>
      </c>
      <c r="C3326" s="12" t="s">
        <v>130</v>
      </c>
      <c r="D3326" s="18">
        <f>VLOOKUP(C3326,'DISTRIBUIÇÃO NF4267'!$E$3:$FQ$75,MATCH(B3326,'DISTRIBUIÇÃO NF4267'!$E$3:$FQ$3,0)+1,0)</f>
        <v>0</v>
      </c>
      <c r="F3326" s="28">
        <f t="shared" si="166"/>
        <v>3</v>
      </c>
    </row>
    <row r="3327" spans="1:6" x14ac:dyDescent="0.35">
      <c r="A3327">
        <f t="shared" si="164"/>
        <v>0</v>
      </c>
      <c r="B3327">
        <f t="shared" si="165"/>
        <v>62</v>
      </c>
      <c r="C3327" s="12" t="s">
        <v>131</v>
      </c>
      <c r="D3327" s="18">
        <f>VLOOKUP(C3327,'DISTRIBUIÇÃO NF4267'!$E$3:$FQ$75,MATCH(B3327,'DISTRIBUIÇÃO NF4267'!$E$3:$FQ$3,0)+1,0)</f>
        <v>0</v>
      </c>
      <c r="F3327" s="28">
        <f t="shared" si="166"/>
        <v>3</v>
      </c>
    </row>
    <row r="3328" spans="1:6" x14ac:dyDescent="0.35">
      <c r="A3328">
        <f t="shared" si="164"/>
        <v>0</v>
      </c>
      <c r="B3328">
        <f t="shared" si="165"/>
        <v>62</v>
      </c>
      <c r="C3328" s="12" t="s">
        <v>132</v>
      </c>
      <c r="D3328" s="18">
        <f>VLOOKUP(C3328,'DISTRIBUIÇÃO NF4267'!$E$3:$FQ$75,MATCH(B3328,'DISTRIBUIÇÃO NF4267'!$E$3:$FQ$3,0)+1,0)</f>
        <v>0</v>
      </c>
      <c r="F3328" s="28">
        <f t="shared" si="166"/>
        <v>3</v>
      </c>
    </row>
    <row r="3329" spans="1:6" x14ac:dyDescent="0.35">
      <c r="A3329">
        <f t="shared" si="164"/>
        <v>0</v>
      </c>
      <c r="B3329">
        <f t="shared" si="165"/>
        <v>62</v>
      </c>
      <c r="C3329" s="12" t="s">
        <v>133</v>
      </c>
      <c r="D3329" s="18">
        <f>VLOOKUP(C3329,'DISTRIBUIÇÃO NF4267'!$E$3:$FQ$75,MATCH(B3329,'DISTRIBUIÇÃO NF4267'!$E$3:$FQ$3,0)+1,0)</f>
        <v>0</v>
      </c>
      <c r="F3329" s="28">
        <f t="shared" si="166"/>
        <v>3</v>
      </c>
    </row>
    <row r="3330" spans="1:6" x14ac:dyDescent="0.35">
      <c r="A3330">
        <f t="shared" ref="A3330:A3393" si="167">IF(ISERROR(VLOOKUP(C3330,I:I,1,0)),0,1)</f>
        <v>0</v>
      </c>
      <c r="B3330">
        <f t="shared" si="165"/>
        <v>62</v>
      </c>
      <c r="C3330" s="12" t="s">
        <v>134</v>
      </c>
      <c r="D3330" s="18">
        <f>VLOOKUP(C3330,'DISTRIBUIÇÃO NF4267'!$E$3:$FQ$75,MATCH(B3330,'DISTRIBUIÇÃO NF4267'!$E$3:$FQ$3,0)+1,0)</f>
        <v>0</v>
      </c>
      <c r="F3330" s="28">
        <f t="shared" si="166"/>
        <v>3</v>
      </c>
    </row>
    <row r="3331" spans="1:6" x14ac:dyDescent="0.35">
      <c r="A3331">
        <f t="shared" si="167"/>
        <v>0</v>
      </c>
      <c r="B3331">
        <f t="shared" si="165"/>
        <v>62</v>
      </c>
      <c r="C3331" s="12" t="s">
        <v>135</v>
      </c>
      <c r="D3331" s="18">
        <f>VLOOKUP(C3331,'DISTRIBUIÇÃO NF4267'!$E$3:$FQ$75,MATCH(B3331,'DISTRIBUIÇÃO NF4267'!$E$3:$FQ$3,0)+1,0)</f>
        <v>0</v>
      </c>
      <c r="F3331" s="28">
        <f t="shared" si="166"/>
        <v>3</v>
      </c>
    </row>
    <row r="3332" spans="1:6" x14ac:dyDescent="0.35">
      <c r="A3332">
        <f t="shared" si="167"/>
        <v>0</v>
      </c>
      <c r="B3332">
        <f t="shared" si="165"/>
        <v>62</v>
      </c>
      <c r="C3332" s="13" t="s">
        <v>22</v>
      </c>
      <c r="D3332" s="18">
        <f>VLOOKUP(C3332,'DISTRIBUIÇÃO NF4267'!$E$3:$FQ$75,MATCH(B3332,'DISTRIBUIÇÃO NF4267'!$E$3:$FQ$3,0)+1,0)</f>
        <v>0</v>
      </c>
      <c r="F3332" s="28">
        <f t="shared" si="166"/>
        <v>3</v>
      </c>
    </row>
    <row r="3333" spans="1:6" x14ac:dyDescent="0.35">
      <c r="A3333">
        <f t="shared" si="167"/>
        <v>0</v>
      </c>
      <c r="B3333">
        <f t="shared" si="165"/>
        <v>62</v>
      </c>
      <c r="C3333" s="13" t="s">
        <v>23</v>
      </c>
      <c r="D3333" s="18">
        <f>VLOOKUP(C3333,'DISTRIBUIÇÃO NF4267'!$E$3:$FQ$75,MATCH(B3333,'DISTRIBUIÇÃO NF4267'!$E$3:$FQ$3,0)+1,0)</f>
        <v>0</v>
      </c>
      <c r="F3333" s="28">
        <f t="shared" si="166"/>
        <v>3</v>
      </c>
    </row>
    <row r="3334" spans="1:6" x14ac:dyDescent="0.35">
      <c r="A3334">
        <f t="shared" si="167"/>
        <v>0</v>
      </c>
      <c r="B3334">
        <f t="shared" si="165"/>
        <v>62</v>
      </c>
      <c r="C3334" s="13" t="s">
        <v>24</v>
      </c>
      <c r="D3334" s="18">
        <f>VLOOKUP(C3334,'DISTRIBUIÇÃO NF4267'!$E$3:$FQ$75,MATCH(B3334,'DISTRIBUIÇÃO NF4267'!$E$3:$FQ$3,0)+1,0)</f>
        <v>0</v>
      </c>
      <c r="F3334" s="28">
        <f t="shared" si="166"/>
        <v>3</v>
      </c>
    </row>
    <row r="3335" spans="1:6" x14ac:dyDescent="0.35">
      <c r="A3335">
        <f t="shared" si="167"/>
        <v>0</v>
      </c>
      <c r="B3335">
        <f t="shared" si="165"/>
        <v>62</v>
      </c>
      <c r="C3335" s="13" t="s">
        <v>25</v>
      </c>
      <c r="D3335" s="18">
        <f>VLOOKUP(C3335,'DISTRIBUIÇÃO NF4267'!$E$3:$FQ$75,MATCH(B3335,'DISTRIBUIÇÃO NF4267'!$E$3:$FQ$3,0)+1,0)</f>
        <v>0</v>
      </c>
      <c r="F3335" s="28">
        <f t="shared" si="166"/>
        <v>3</v>
      </c>
    </row>
    <row r="3336" spans="1:6" x14ac:dyDescent="0.35">
      <c r="A3336">
        <f t="shared" si="167"/>
        <v>0</v>
      </c>
      <c r="B3336">
        <f t="shared" si="165"/>
        <v>62</v>
      </c>
      <c r="C3336" s="13" t="s">
        <v>26</v>
      </c>
      <c r="D3336" s="18">
        <f>VLOOKUP(C3336,'DISTRIBUIÇÃO NF4267'!$E$3:$FQ$75,MATCH(B3336,'DISTRIBUIÇÃO NF4267'!$E$3:$FQ$3,0)+1,0)</f>
        <v>0</v>
      </c>
      <c r="F3336" s="28">
        <f t="shared" si="166"/>
        <v>3</v>
      </c>
    </row>
    <row r="3337" spans="1:6" x14ac:dyDescent="0.35">
      <c r="A3337">
        <f t="shared" si="167"/>
        <v>0</v>
      </c>
      <c r="B3337">
        <f t="shared" si="165"/>
        <v>62</v>
      </c>
      <c r="C3337" s="13" t="s">
        <v>27</v>
      </c>
      <c r="D3337" s="18">
        <f>VLOOKUP(C3337,'DISTRIBUIÇÃO NF4267'!$E$3:$FQ$75,MATCH(B3337,'DISTRIBUIÇÃO NF4267'!$E$3:$FQ$3,0)+1,0)</f>
        <v>0</v>
      </c>
      <c r="F3337" s="28">
        <f t="shared" si="166"/>
        <v>3</v>
      </c>
    </row>
    <row r="3338" spans="1:6" x14ac:dyDescent="0.35">
      <c r="A3338">
        <f t="shared" si="167"/>
        <v>0</v>
      </c>
      <c r="B3338">
        <f t="shared" si="165"/>
        <v>62</v>
      </c>
      <c r="C3338" s="14" t="s">
        <v>138</v>
      </c>
      <c r="D3338" s="18">
        <f>VLOOKUP(C3338,'DISTRIBUIÇÃO NF4267'!$E$3:$FQ$75,MATCH(B3338,'DISTRIBUIÇÃO NF4267'!$E$3:$FQ$3,0)+1,0)</f>
        <v>0</v>
      </c>
      <c r="F3338" s="28">
        <f t="shared" si="166"/>
        <v>3</v>
      </c>
    </row>
    <row r="3339" spans="1:6" x14ac:dyDescent="0.35">
      <c r="A3339">
        <f t="shared" si="167"/>
        <v>0</v>
      </c>
      <c r="B3339">
        <f t="shared" si="165"/>
        <v>62</v>
      </c>
      <c r="C3339" s="14" t="s">
        <v>139</v>
      </c>
      <c r="D3339" s="18">
        <f>VLOOKUP(C3339,'DISTRIBUIÇÃO NF4267'!$E$3:$FQ$75,MATCH(B3339,'DISTRIBUIÇÃO NF4267'!$E$3:$FQ$3,0)+1,0)</f>
        <v>2</v>
      </c>
      <c r="F3339" s="28">
        <f t="shared" si="166"/>
        <v>3</v>
      </c>
    </row>
    <row r="3340" spans="1:6" x14ac:dyDescent="0.35">
      <c r="A3340">
        <f t="shared" si="167"/>
        <v>0</v>
      </c>
      <c r="B3340">
        <f t="shared" si="165"/>
        <v>62</v>
      </c>
      <c r="C3340" s="14" t="s">
        <v>140</v>
      </c>
      <c r="D3340" s="18">
        <f>VLOOKUP(C3340,'DISTRIBUIÇÃO NF4267'!$E$3:$FQ$75,MATCH(B3340,'DISTRIBUIÇÃO NF4267'!$E$3:$FQ$3,0)+1,0)</f>
        <v>4</v>
      </c>
      <c r="F3340" s="28">
        <f t="shared" si="166"/>
        <v>3</v>
      </c>
    </row>
    <row r="3341" spans="1:6" x14ac:dyDescent="0.35">
      <c r="A3341">
        <f t="shared" si="167"/>
        <v>0</v>
      </c>
      <c r="B3341">
        <f t="shared" si="165"/>
        <v>62</v>
      </c>
      <c r="C3341" s="14" t="s">
        <v>141</v>
      </c>
      <c r="D3341" s="18">
        <f>VLOOKUP(C3341,'DISTRIBUIÇÃO NF4267'!$E$3:$FQ$75,MATCH(B3341,'DISTRIBUIÇÃO NF4267'!$E$3:$FQ$3,0)+1,0)</f>
        <v>2</v>
      </c>
      <c r="F3341" s="28">
        <f t="shared" si="166"/>
        <v>3</v>
      </c>
    </row>
    <row r="3342" spans="1:6" x14ac:dyDescent="0.35">
      <c r="A3342">
        <f t="shared" si="167"/>
        <v>0</v>
      </c>
      <c r="B3342">
        <f t="shared" si="165"/>
        <v>62</v>
      </c>
      <c r="C3342" s="14" t="s">
        <v>142</v>
      </c>
      <c r="D3342" s="18">
        <f>VLOOKUP(C3342,'DISTRIBUIÇÃO NF4267'!$E$3:$FQ$75,MATCH(B3342,'DISTRIBUIÇÃO NF4267'!$E$3:$FQ$3,0)+1,0)</f>
        <v>2</v>
      </c>
      <c r="F3342" s="28">
        <f t="shared" si="166"/>
        <v>3</v>
      </c>
    </row>
    <row r="3343" spans="1:6" x14ac:dyDescent="0.35">
      <c r="A3343">
        <f t="shared" si="167"/>
        <v>0</v>
      </c>
      <c r="B3343">
        <f t="shared" si="165"/>
        <v>62</v>
      </c>
      <c r="C3343" s="14" t="s">
        <v>143</v>
      </c>
      <c r="D3343" s="18">
        <f>VLOOKUP(C3343,'DISTRIBUIÇÃO NF4267'!$E$3:$FQ$75,MATCH(B3343,'DISTRIBUIÇÃO NF4267'!$E$3:$FQ$3,0)+1,0)</f>
        <v>0</v>
      </c>
      <c r="F3343" s="28">
        <f t="shared" si="166"/>
        <v>3</v>
      </c>
    </row>
    <row r="3344" spans="1:6" x14ac:dyDescent="0.35">
      <c r="A3344">
        <f t="shared" si="167"/>
        <v>0</v>
      </c>
      <c r="B3344">
        <f t="shared" si="165"/>
        <v>62</v>
      </c>
      <c r="C3344" s="15" t="s">
        <v>145</v>
      </c>
      <c r="D3344" s="18">
        <f>VLOOKUP(C3344,'DISTRIBUIÇÃO NF4267'!$E$3:$FQ$75,MATCH(B3344,'DISTRIBUIÇÃO NF4267'!$E$3:$FQ$3,0)+1,0)</f>
        <v>0</v>
      </c>
      <c r="F3344" s="28">
        <f t="shared" si="166"/>
        <v>3</v>
      </c>
    </row>
    <row r="3345" spans="1:6" x14ac:dyDescent="0.35">
      <c r="A3345">
        <f t="shared" si="167"/>
        <v>0</v>
      </c>
      <c r="B3345">
        <f t="shared" si="165"/>
        <v>62</v>
      </c>
      <c r="C3345" s="15" t="s">
        <v>146</v>
      </c>
      <c r="D3345" s="18">
        <f>VLOOKUP(C3345,'DISTRIBUIÇÃO NF4267'!$E$3:$FQ$75,MATCH(B3345,'DISTRIBUIÇÃO NF4267'!$E$3:$FQ$3,0)+1,0)</f>
        <v>2</v>
      </c>
      <c r="F3345" s="28">
        <f t="shared" si="166"/>
        <v>3</v>
      </c>
    </row>
    <row r="3346" spans="1:6" x14ac:dyDescent="0.35">
      <c r="A3346">
        <f t="shared" si="167"/>
        <v>0</v>
      </c>
      <c r="B3346">
        <f t="shared" si="165"/>
        <v>62</v>
      </c>
      <c r="C3346" s="15" t="s">
        <v>147</v>
      </c>
      <c r="D3346" s="18">
        <f>VLOOKUP(C3346,'DISTRIBUIÇÃO NF4267'!$E$3:$FQ$75,MATCH(B3346,'DISTRIBUIÇÃO NF4267'!$E$3:$FQ$3,0)+1,0)</f>
        <v>4</v>
      </c>
      <c r="F3346" s="28">
        <f t="shared" si="166"/>
        <v>3</v>
      </c>
    </row>
    <row r="3347" spans="1:6" x14ac:dyDescent="0.35">
      <c r="A3347">
        <f t="shared" si="167"/>
        <v>0</v>
      </c>
      <c r="B3347">
        <f t="shared" si="165"/>
        <v>62</v>
      </c>
      <c r="C3347" s="15" t="s">
        <v>148</v>
      </c>
      <c r="D3347" s="18">
        <f>VLOOKUP(C3347,'DISTRIBUIÇÃO NF4267'!$E$3:$FQ$75,MATCH(B3347,'DISTRIBUIÇÃO NF4267'!$E$3:$FQ$3,0)+1,0)</f>
        <v>2</v>
      </c>
      <c r="F3347" s="28">
        <f t="shared" si="166"/>
        <v>3</v>
      </c>
    </row>
    <row r="3348" spans="1:6" x14ac:dyDescent="0.35">
      <c r="A3348">
        <f t="shared" si="167"/>
        <v>0</v>
      </c>
      <c r="B3348">
        <f t="shared" si="165"/>
        <v>62</v>
      </c>
      <c r="C3348" s="15" t="s">
        <v>149</v>
      </c>
      <c r="D3348" s="18">
        <f>VLOOKUP(C3348,'DISTRIBUIÇÃO NF4267'!$E$3:$FQ$75,MATCH(B3348,'DISTRIBUIÇÃO NF4267'!$E$3:$FQ$3,0)+1,0)</f>
        <v>2</v>
      </c>
      <c r="F3348" s="28">
        <f t="shared" si="166"/>
        <v>3</v>
      </c>
    </row>
    <row r="3349" spans="1:6" x14ac:dyDescent="0.35">
      <c r="A3349">
        <f t="shared" si="167"/>
        <v>0</v>
      </c>
      <c r="B3349">
        <f t="shared" si="165"/>
        <v>62</v>
      </c>
      <c r="C3349" s="15" t="s">
        <v>150</v>
      </c>
      <c r="D3349" s="18">
        <f>VLOOKUP(C3349,'DISTRIBUIÇÃO NF4267'!$E$3:$FQ$75,MATCH(B3349,'DISTRIBUIÇÃO NF4267'!$E$3:$FQ$3,0)+1,0)</f>
        <v>0</v>
      </c>
      <c r="F3349" s="28">
        <f t="shared" si="166"/>
        <v>3</v>
      </c>
    </row>
    <row r="3350" spans="1:6" x14ac:dyDescent="0.35">
      <c r="A3350">
        <f t="shared" si="167"/>
        <v>0</v>
      </c>
      <c r="B3350" t="s">
        <v>71</v>
      </c>
      <c r="C3350" s="7" t="s">
        <v>98</v>
      </c>
      <c r="D3350" s="18">
        <f>VLOOKUP(C3350,'DISTRIBUIÇÃO NF4267'!$E$3:$FQ$75,MATCH(B3350,'DISTRIBUIÇÃO NF4267'!$E$3:$FQ$3,0)+1,0)</f>
        <v>0</v>
      </c>
      <c r="F3350" s="28">
        <f t="shared" si="166"/>
        <v>3</v>
      </c>
    </row>
    <row r="3351" spans="1:6" x14ac:dyDescent="0.35">
      <c r="A3351">
        <f t="shared" si="167"/>
        <v>0</v>
      </c>
      <c r="B3351" t="str">
        <f>B3350</f>
        <v>Q1</v>
      </c>
      <c r="C3351" s="7" t="s">
        <v>99</v>
      </c>
      <c r="D3351" s="18">
        <f>VLOOKUP(C3351,'DISTRIBUIÇÃO NF4267'!$E$3:$FQ$75,MATCH(B3351,'DISTRIBUIÇÃO NF4267'!$E$3:$FQ$3,0)+1,0)</f>
        <v>4</v>
      </c>
      <c r="F3351" s="28">
        <f t="shared" si="166"/>
        <v>3</v>
      </c>
    </row>
    <row r="3352" spans="1:6" x14ac:dyDescent="0.35">
      <c r="A3352">
        <f t="shared" si="167"/>
        <v>0</v>
      </c>
      <c r="B3352" t="str">
        <f t="shared" ref="B3352:B3403" si="168">B3351</f>
        <v>Q1</v>
      </c>
      <c r="C3352" s="7" t="s">
        <v>100</v>
      </c>
      <c r="D3352" s="18">
        <f>VLOOKUP(C3352,'DISTRIBUIÇÃO NF4267'!$E$3:$FQ$75,MATCH(B3352,'DISTRIBUIÇÃO NF4267'!$E$3:$FQ$3,0)+1,0)</f>
        <v>8</v>
      </c>
      <c r="F3352" s="28">
        <f t="shared" si="166"/>
        <v>3</v>
      </c>
    </row>
    <row r="3353" spans="1:6" x14ac:dyDescent="0.35">
      <c r="A3353">
        <f t="shared" si="167"/>
        <v>0</v>
      </c>
      <c r="B3353" t="str">
        <f t="shared" si="168"/>
        <v>Q1</v>
      </c>
      <c r="C3353" s="7" t="s">
        <v>101</v>
      </c>
      <c r="D3353" s="18">
        <f>VLOOKUP(C3353,'DISTRIBUIÇÃO NF4267'!$E$3:$FQ$75,MATCH(B3353,'DISTRIBUIÇÃO NF4267'!$E$3:$FQ$3,0)+1,0)</f>
        <v>4</v>
      </c>
      <c r="F3353" s="28">
        <f t="shared" si="166"/>
        <v>3</v>
      </c>
    </row>
    <row r="3354" spans="1:6" x14ac:dyDescent="0.35">
      <c r="A3354">
        <f t="shared" si="167"/>
        <v>0</v>
      </c>
      <c r="B3354" t="str">
        <f t="shared" si="168"/>
        <v>Q1</v>
      </c>
      <c r="C3354" s="7" t="s">
        <v>102</v>
      </c>
      <c r="D3354" s="18">
        <f>VLOOKUP(C3354,'DISTRIBUIÇÃO NF4267'!$E$3:$FQ$75,MATCH(B3354,'DISTRIBUIÇÃO NF4267'!$E$3:$FQ$3,0)+1,0)</f>
        <v>4</v>
      </c>
      <c r="F3354" s="28">
        <f t="shared" si="166"/>
        <v>3</v>
      </c>
    </row>
    <row r="3355" spans="1:6" x14ac:dyDescent="0.35">
      <c r="A3355">
        <f t="shared" si="167"/>
        <v>0</v>
      </c>
      <c r="B3355" t="str">
        <f t="shared" si="168"/>
        <v>Q1</v>
      </c>
      <c r="C3355" s="7" t="s">
        <v>103</v>
      </c>
      <c r="D3355" s="18">
        <f>VLOOKUP(C3355,'DISTRIBUIÇÃO NF4267'!$E$3:$FQ$75,MATCH(B3355,'DISTRIBUIÇÃO NF4267'!$E$3:$FQ$3,0)+1,0)</f>
        <v>0</v>
      </c>
      <c r="F3355" s="28">
        <f t="shared" si="166"/>
        <v>3</v>
      </c>
    </row>
    <row r="3356" spans="1:6" x14ac:dyDescent="0.35">
      <c r="A3356">
        <f t="shared" si="167"/>
        <v>0</v>
      </c>
      <c r="B3356" t="str">
        <f t="shared" si="168"/>
        <v>Q1</v>
      </c>
      <c r="C3356" s="8" t="s">
        <v>107</v>
      </c>
      <c r="D3356" s="18">
        <f>VLOOKUP(C3356,'DISTRIBUIÇÃO NF4267'!$E$3:$FQ$75,MATCH(B3356,'DISTRIBUIÇÃO NF4267'!$E$3:$FQ$3,0)+1,0)</f>
        <v>0</v>
      </c>
      <c r="F3356" s="28">
        <f t="shared" si="166"/>
        <v>3</v>
      </c>
    </row>
    <row r="3357" spans="1:6" x14ac:dyDescent="0.35">
      <c r="A3357">
        <f t="shared" si="167"/>
        <v>0</v>
      </c>
      <c r="B3357" t="str">
        <f t="shared" si="168"/>
        <v>Q1</v>
      </c>
      <c r="C3357" s="8" t="s">
        <v>108</v>
      </c>
      <c r="D3357" s="18">
        <f>VLOOKUP(C3357,'DISTRIBUIÇÃO NF4267'!$E$3:$FQ$75,MATCH(B3357,'DISTRIBUIÇÃO NF4267'!$E$3:$FQ$3,0)+1,0)</f>
        <v>2</v>
      </c>
      <c r="F3357" s="28">
        <f t="shared" si="166"/>
        <v>3</v>
      </c>
    </row>
    <row r="3358" spans="1:6" x14ac:dyDescent="0.35">
      <c r="A3358">
        <f t="shared" si="167"/>
        <v>0</v>
      </c>
      <c r="B3358" t="str">
        <f t="shared" si="168"/>
        <v>Q1</v>
      </c>
      <c r="C3358" s="8" t="s">
        <v>109</v>
      </c>
      <c r="D3358" s="18">
        <f>VLOOKUP(C3358,'DISTRIBUIÇÃO NF4267'!$E$3:$FQ$75,MATCH(B3358,'DISTRIBUIÇÃO NF4267'!$E$3:$FQ$3,0)+1,0)</f>
        <v>4</v>
      </c>
      <c r="F3358" s="28">
        <f t="shared" si="166"/>
        <v>3</v>
      </c>
    </row>
    <row r="3359" spans="1:6" x14ac:dyDescent="0.35">
      <c r="A3359">
        <f t="shared" si="167"/>
        <v>0</v>
      </c>
      <c r="B3359" t="str">
        <f t="shared" si="168"/>
        <v>Q1</v>
      </c>
      <c r="C3359" s="8" t="s">
        <v>110</v>
      </c>
      <c r="D3359" s="18">
        <f>VLOOKUP(C3359,'DISTRIBUIÇÃO NF4267'!$E$3:$FQ$75,MATCH(B3359,'DISTRIBUIÇÃO NF4267'!$E$3:$FQ$3,0)+1,0)</f>
        <v>2</v>
      </c>
      <c r="F3359" s="28">
        <f t="shared" si="166"/>
        <v>3</v>
      </c>
    </row>
    <row r="3360" spans="1:6" x14ac:dyDescent="0.35">
      <c r="A3360">
        <f t="shared" si="167"/>
        <v>0</v>
      </c>
      <c r="B3360" t="str">
        <f t="shared" si="168"/>
        <v>Q1</v>
      </c>
      <c r="C3360" s="8" t="s">
        <v>111</v>
      </c>
      <c r="D3360" s="18">
        <f>VLOOKUP(C3360,'DISTRIBUIÇÃO NF4267'!$E$3:$FQ$75,MATCH(B3360,'DISTRIBUIÇÃO NF4267'!$E$3:$FQ$3,0)+1,0)</f>
        <v>2</v>
      </c>
      <c r="F3360" s="28">
        <f t="shared" si="166"/>
        <v>3</v>
      </c>
    </row>
    <row r="3361" spans="1:6" x14ac:dyDescent="0.35">
      <c r="A3361">
        <f t="shared" si="167"/>
        <v>0</v>
      </c>
      <c r="B3361" t="str">
        <f t="shared" si="168"/>
        <v>Q1</v>
      </c>
      <c r="C3361" s="8" t="s">
        <v>112</v>
      </c>
      <c r="D3361" s="18">
        <f>VLOOKUP(C3361,'DISTRIBUIÇÃO NF4267'!$E$3:$FQ$75,MATCH(B3361,'DISTRIBUIÇÃO NF4267'!$E$3:$FQ$3,0)+1,0)</f>
        <v>0</v>
      </c>
      <c r="F3361" s="28">
        <f t="shared" si="166"/>
        <v>3</v>
      </c>
    </row>
    <row r="3362" spans="1:6" x14ac:dyDescent="0.35">
      <c r="A3362">
        <f t="shared" si="167"/>
        <v>0</v>
      </c>
      <c r="B3362" t="str">
        <f t="shared" si="168"/>
        <v>Q1</v>
      </c>
      <c r="C3362" s="9" t="s">
        <v>113</v>
      </c>
      <c r="D3362" s="18">
        <f>VLOOKUP(C3362,'DISTRIBUIÇÃO NF4267'!$E$3:$FQ$75,MATCH(B3362,'DISTRIBUIÇÃO NF4267'!$E$3:$FQ$3,0)+1,0)</f>
        <v>0</v>
      </c>
      <c r="F3362" s="28">
        <f t="shared" si="166"/>
        <v>3</v>
      </c>
    </row>
    <row r="3363" spans="1:6" x14ac:dyDescent="0.35">
      <c r="A3363">
        <f t="shared" si="167"/>
        <v>0</v>
      </c>
      <c r="B3363" t="str">
        <f t="shared" si="168"/>
        <v>Q1</v>
      </c>
      <c r="C3363" s="9" t="s">
        <v>114</v>
      </c>
      <c r="D3363" s="18">
        <f>VLOOKUP(C3363,'DISTRIBUIÇÃO NF4267'!$E$3:$FQ$75,MATCH(B3363,'DISTRIBUIÇÃO NF4267'!$E$3:$FQ$3,0)+1,0)</f>
        <v>3</v>
      </c>
      <c r="F3363" s="28">
        <f t="shared" si="166"/>
        <v>3</v>
      </c>
    </row>
    <row r="3364" spans="1:6" x14ac:dyDescent="0.35">
      <c r="A3364">
        <f t="shared" si="167"/>
        <v>0</v>
      </c>
      <c r="B3364" t="str">
        <f t="shared" si="168"/>
        <v>Q1</v>
      </c>
      <c r="C3364" s="9" t="s">
        <v>115</v>
      </c>
      <c r="D3364" s="18">
        <f>VLOOKUP(C3364,'DISTRIBUIÇÃO NF4267'!$E$3:$FQ$75,MATCH(B3364,'DISTRIBUIÇÃO NF4267'!$E$3:$FQ$3,0)+1,0)</f>
        <v>4</v>
      </c>
      <c r="F3364" s="28">
        <f t="shared" si="166"/>
        <v>3</v>
      </c>
    </row>
    <row r="3365" spans="1:6" x14ac:dyDescent="0.35">
      <c r="A3365">
        <f t="shared" si="167"/>
        <v>0</v>
      </c>
      <c r="B3365" t="str">
        <f t="shared" si="168"/>
        <v>Q1</v>
      </c>
      <c r="C3365" s="9" t="s">
        <v>116</v>
      </c>
      <c r="D3365" s="18">
        <f>VLOOKUP(C3365,'DISTRIBUIÇÃO NF4267'!$E$3:$FQ$75,MATCH(B3365,'DISTRIBUIÇÃO NF4267'!$E$3:$FQ$3,0)+1,0)</f>
        <v>2</v>
      </c>
      <c r="F3365" s="28">
        <f t="shared" si="166"/>
        <v>3</v>
      </c>
    </row>
    <row r="3366" spans="1:6" x14ac:dyDescent="0.35">
      <c r="A3366">
        <f t="shared" si="167"/>
        <v>0</v>
      </c>
      <c r="B3366" t="str">
        <f t="shared" si="168"/>
        <v>Q1</v>
      </c>
      <c r="C3366" s="9" t="s">
        <v>117</v>
      </c>
      <c r="D3366" s="18">
        <f>VLOOKUP(C3366,'DISTRIBUIÇÃO NF4267'!$E$3:$FQ$75,MATCH(B3366,'DISTRIBUIÇÃO NF4267'!$E$3:$FQ$3,0)+1,0)</f>
        <v>1</v>
      </c>
      <c r="F3366" s="28">
        <f t="shared" si="166"/>
        <v>3</v>
      </c>
    </row>
    <row r="3367" spans="1:6" x14ac:dyDescent="0.35">
      <c r="A3367">
        <f t="shared" si="167"/>
        <v>0</v>
      </c>
      <c r="B3367" t="str">
        <f t="shared" si="168"/>
        <v>Q1</v>
      </c>
      <c r="C3367" s="9" t="s">
        <v>118</v>
      </c>
      <c r="D3367" s="18">
        <f>VLOOKUP(C3367,'DISTRIBUIÇÃO NF4267'!$E$3:$FQ$75,MATCH(B3367,'DISTRIBUIÇÃO NF4267'!$E$3:$FQ$3,0)+1,0)</f>
        <v>0</v>
      </c>
      <c r="F3367" s="28">
        <f t="shared" si="166"/>
        <v>3</v>
      </c>
    </row>
    <row r="3368" spans="1:6" x14ac:dyDescent="0.35">
      <c r="A3368">
        <f t="shared" si="167"/>
        <v>0</v>
      </c>
      <c r="B3368" t="str">
        <f t="shared" si="168"/>
        <v>Q1</v>
      </c>
      <c r="C3368" s="10" t="s">
        <v>119</v>
      </c>
      <c r="D3368" s="18">
        <f>VLOOKUP(C3368,'DISTRIBUIÇÃO NF4267'!$E$3:$FQ$75,MATCH(B3368,'DISTRIBUIÇÃO NF4267'!$E$3:$FQ$3,0)+1,0)</f>
        <v>0</v>
      </c>
      <c r="F3368" s="28">
        <f t="shared" si="166"/>
        <v>3</v>
      </c>
    </row>
    <row r="3369" spans="1:6" x14ac:dyDescent="0.35">
      <c r="A3369">
        <f t="shared" si="167"/>
        <v>0</v>
      </c>
      <c r="B3369" t="str">
        <f t="shared" si="168"/>
        <v>Q1</v>
      </c>
      <c r="C3369" s="10" t="s">
        <v>120</v>
      </c>
      <c r="D3369" s="18">
        <f>VLOOKUP(C3369,'DISTRIBUIÇÃO NF4267'!$E$3:$FQ$75,MATCH(B3369,'DISTRIBUIÇÃO NF4267'!$E$3:$FQ$3,0)+1,0)</f>
        <v>48</v>
      </c>
      <c r="F3369" s="28">
        <f t="shared" si="166"/>
        <v>3</v>
      </c>
    </row>
    <row r="3370" spans="1:6" x14ac:dyDescent="0.35">
      <c r="A3370">
        <f t="shared" si="167"/>
        <v>0</v>
      </c>
      <c r="B3370" t="str">
        <f t="shared" si="168"/>
        <v>Q1</v>
      </c>
      <c r="C3370" s="10" t="s">
        <v>121</v>
      </c>
      <c r="D3370" s="18">
        <f>VLOOKUP(C3370,'DISTRIBUIÇÃO NF4267'!$E$3:$FQ$75,MATCH(B3370,'DISTRIBUIÇÃO NF4267'!$E$3:$FQ$3,0)+1,0)</f>
        <v>16</v>
      </c>
      <c r="F3370" s="28">
        <f t="shared" si="166"/>
        <v>3</v>
      </c>
    </row>
    <row r="3371" spans="1:6" x14ac:dyDescent="0.35">
      <c r="A3371">
        <f t="shared" si="167"/>
        <v>0</v>
      </c>
      <c r="B3371" t="str">
        <f t="shared" si="168"/>
        <v>Q1</v>
      </c>
      <c r="C3371" s="10" t="s">
        <v>122</v>
      </c>
      <c r="D3371" s="18">
        <f>VLOOKUP(C3371,'DISTRIBUIÇÃO NF4267'!$E$3:$FQ$75,MATCH(B3371,'DISTRIBUIÇÃO NF4267'!$E$3:$FQ$3,0)+1,0)</f>
        <v>16</v>
      </c>
      <c r="F3371" s="28">
        <f t="shared" si="166"/>
        <v>3</v>
      </c>
    </row>
    <row r="3372" spans="1:6" x14ac:dyDescent="0.35">
      <c r="A3372">
        <f t="shared" si="167"/>
        <v>0</v>
      </c>
      <c r="B3372" t="str">
        <f t="shared" si="168"/>
        <v>Q1</v>
      </c>
      <c r="C3372" s="10" t="s">
        <v>123</v>
      </c>
      <c r="D3372" s="18">
        <f>VLOOKUP(C3372,'DISTRIBUIÇÃO NF4267'!$E$3:$FQ$75,MATCH(B3372,'DISTRIBUIÇÃO NF4267'!$E$3:$FQ$3,0)+1,0)</f>
        <v>0</v>
      </c>
      <c r="F3372" s="28">
        <f t="shared" si="166"/>
        <v>3</v>
      </c>
    </row>
    <row r="3373" spans="1:6" x14ac:dyDescent="0.35">
      <c r="A3373">
        <f t="shared" si="167"/>
        <v>0</v>
      </c>
      <c r="B3373" t="str">
        <f t="shared" si="168"/>
        <v>Q1</v>
      </c>
      <c r="C3373" s="10" t="s">
        <v>124</v>
      </c>
      <c r="D3373" s="18">
        <f>VLOOKUP(C3373,'DISTRIBUIÇÃO NF4267'!$E$3:$FQ$75,MATCH(B3373,'DISTRIBUIÇÃO NF4267'!$E$3:$FQ$3,0)+1,0)</f>
        <v>0</v>
      </c>
      <c r="F3373" s="28">
        <f t="shared" si="166"/>
        <v>3</v>
      </c>
    </row>
    <row r="3374" spans="1:6" x14ac:dyDescent="0.35">
      <c r="A3374">
        <f t="shared" si="167"/>
        <v>0</v>
      </c>
      <c r="B3374" t="str">
        <f t="shared" si="168"/>
        <v>Q1</v>
      </c>
      <c r="C3374" s="11" t="s">
        <v>16</v>
      </c>
      <c r="D3374" s="18">
        <f>VLOOKUP(C3374,'DISTRIBUIÇÃO NF4267'!$E$3:$FQ$75,MATCH(B3374,'DISTRIBUIÇÃO NF4267'!$E$3:$FQ$3,0)+1,0)</f>
        <v>0</v>
      </c>
      <c r="F3374" s="28">
        <f t="shared" si="166"/>
        <v>3</v>
      </c>
    </row>
    <row r="3375" spans="1:6" x14ac:dyDescent="0.35">
      <c r="A3375">
        <f t="shared" si="167"/>
        <v>0</v>
      </c>
      <c r="B3375" t="str">
        <f t="shared" si="168"/>
        <v>Q1</v>
      </c>
      <c r="C3375" s="11" t="s">
        <v>17</v>
      </c>
      <c r="D3375" s="18">
        <f>VLOOKUP(C3375,'DISTRIBUIÇÃO NF4267'!$E$3:$FQ$75,MATCH(B3375,'DISTRIBUIÇÃO NF4267'!$E$3:$FQ$3,0)+1,0)</f>
        <v>9</v>
      </c>
      <c r="F3375" s="28">
        <f t="shared" si="166"/>
        <v>3</v>
      </c>
    </row>
    <row r="3376" spans="1:6" x14ac:dyDescent="0.35">
      <c r="A3376">
        <f t="shared" si="167"/>
        <v>0</v>
      </c>
      <c r="B3376" t="str">
        <f t="shared" si="168"/>
        <v>Q1</v>
      </c>
      <c r="C3376" s="11" t="s">
        <v>18</v>
      </c>
      <c r="D3376" s="18">
        <f>VLOOKUP(C3376,'DISTRIBUIÇÃO NF4267'!$E$3:$FQ$75,MATCH(B3376,'DISTRIBUIÇÃO NF4267'!$E$3:$FQ$3,0)+1,0)</f>
        <v>3</v>
      </c>
      <c r="F3376" s="28">
        <f t="shared" si="166"/>
        <v>3</v>
      </c>
    </row>
    <row r="3377" spans="1:6" x14ac:dyDescent="0.35">
      <c r="A3377">
        <f t="shared" si="167"/>
        <v>0</v>
      </c>
      <c r="B3377" t="str">
        <f t="shared" si="168"/>
        <v>Q1</v>
      </c>
      <c r="C3377" s="11" t="s">
        <v>19</v>
      </c>
      <c r="D3377" s="18">
        <f>VLOOKUP(C3377,'DISTRIBUIÇÃO NF4267'!$E$3:$FQ$75,MATCH(B3377,'DISTRIBUIÇÃO NF4267'!$E$3:$FQ$3,0)+1,0)</f>
        <v>3</v>
      </c>
      <c r="F3377" s="28">
        <f t="shared" si="166"/>
        <v>3</v>
      </c>
    </row>
    <row r="3378" spans="1:6" x14ac:dyDescent="0.35">
      <c r="A3378">
        <f t="shared" si="167"/>
        <v>0</v>
      </c>
      <c r="B3378" t="str">
        <f t="shared" si="168"/>
        <v>Q1</v>
      </c>
      <c r="C3378" s="11" t="s">
        <v>20</v>
      </c>
      <c r="D3378" s="18">
        <f>VLOOKUP(C3378,'DISTRIBUIÇÃO NF4267'!$E$3:$FQ$75,MATCH(B3378,'DISTRIBUIÇÃO NF4267'!$E$3:$FQ$3,0)+1,0)</f>
        <v>15</v>
      </c>
      <c r="F3378" s="28">
        <f t="shared" si="166"/>
        <v>3</v>
      </c>
    </row>
    <row r="3379" spans="1:6" x14ac:dyDescent="0.35">
      <c r="A3379">
        <f t="shared" si="167"/>
        <v>0</v>
      </c>
      <c r="B3379" t="str">
        <f t="shared" si="168"/>
        <v>Q1</v>
      </c>
      <c r="C3379" s="11" t="s">
        <v>21</v>
      </c>
      <c r="D3379" s="18">
        <f>VLOOKUP(C3379,'DISTRIBUIÇÃO NF4267'!$E$3:$FQ$75,MATCH(B3379,'DISTRIBUIÇÃO NF4267'!$E$3:$FQ$3,0)+1,0)</f>
        <v>0</v>
      </c>
      <c r="F3379" s="28">
        <f t="shared" si="166"/>
        <v>3</v>
      </c>
    </row>
    <row r="3380" spans="1:6" x14ac:dyDescent="0.35">
      <c r="A3380">
        <f t="shared" si="167"/>
        <v>0</v>
      </c>
      <c r="B3380" t="str">
        <f t="shared" si="168"/>
        <v>Q1</v>
      </c>
      <c r="C3380" s="12" t="s">
        <v>130</v>
      </c>
      <c r="D3380" s="18">
        <f>VLOOKUP(C3380,'DISTRIBUIÇÃO NF4267'!$E$3:$FQ$75,MATCH(B3380,'DISTRIBUIÇÃO NF4267'!$E$3:$FQ$3,0)+1,0)</f>
        <v>0</v>
      </c>
      <c r="F3380" s="28">
        <f t="shared" si="166"/>
        <v>3</v>
      </c>
    </row>
    <row r="3381" spans="1:6" x14ac:dyDescent="0.35">
      <c r="A3381">
        <f t="shared" si="167"/>
        <v>0</v>
      </c>
      <c r="B3381" t="str">
        <f t="shared" si="168"/>
        <v>Q1</v>
      </c>
      <c r="C3381" s="12" t="s">
        <v>131</v>
      </c>
      <c r="D3381" s="18">
        <f>VLOOKUP(C3381,'DISTRIBUIÇÃO NF4267'!$E$3:$FQ$75,MATCH(B3381,'DISTRIBUIÇÃO NF4267'!$E$3:$FQ$3,0)+1,0)</f>
        <v>0</v>
      </c>
      <c r="F3381" s="28">
        <f t="shared" si="166"/>
        <v>3</v>
      </c>
    </row>
    <row r="3382" spans="1:6" x14ac:dyDescent="0.35">
      <c r="A3382">
        <f t="shared" si="167"/>
        <v>0</v>
      </c>
      <c r="B3382" t="str">
        <f t="shared" si="168"/>
        <v>Q1</v>
      </c>
      <c r="C3382" s="12" t="s">
        <v>132</v>
      </c>
      <c r="D3382" s="18">
        <f>VLOOKUP(C3382,'DISTRIBUIÇÃO NF4267'!$E$3:$FQ$75,MATCH(B3382,'DISTRIBUIÇÃO NF4267'!$E$3:$FQ$3,0)+1,0)</f>
        <v>0</v>
      </c>
      <c r="F3382" s="28">
        <f t="shared" si="166"/>
        <v>3</v>
      </c>
    </row>
    <row r="3383" spans="1:6" x14ac:dyDescent="0.35">
      <c r="A3383">
        <f t="shared" si="167"/>
        <v>0</v>
      </c>
      <c r="B3383" t="str">
        <f t="shared" si="168"/>
        <v>Q1</v>
      </c>
      <c r="C3383" s="12" t="s">
        <v>133</v>
      </c>
      <c r="D3383" s="18">
        <f>VLOOKUP(C3383,'DISTRIBUIÇÃO NF4267'!$E$3:$FQ$75,MATCH(B3383,'DISTRIBUIÇÃO NF4267'!$E$3:$FQ$3,0)+1,0)</f>
        <v>0</v>
      </c>
      <c r="F3383" s="28">
        <f t="shared" si="166"/>
        <v>3</v>
      </c>
    </row>
    <row r="3384" spans="1:6" x14ac:dyDescent="0.35">
      <c r="A3384">
        <f t="shared" si="167"/>
        <v>0</v>
      </c>
      <c r="B3384" t="str">
        <f t="shared" si="168"/>
        <v>Q1</v>
      </c>
      <c r="C3384" s="12" t="s">
        <v>134</v>
      </c>
      <c r="D3384" s="18">
        <f>VLOOKUP(C3384,'DISTRIBUIÇÃO NF4267'!$E$3:$FQ$75,MATCH(B3384,'DISTRIBUIÇÃO NF4267'!$E$3:$FQ$3,0)+1,0)</f>
        <v>0</v>
      </c>
      <c r="F3384" s="28">
        <f t="shared" ref="F3384:F3447" si="169">ROUNDUP(SUMIFS(D:D,B:B,B3384)/80,0)</f>
        <v>3</v>
      </c>
    </row>
    <row r="3385" spans="1:6" x14ac:dyDescent="0.35">
      <c r="A3385">
        <f t="shared" si="167"/>
        <v>0</v>
      </c>
      <c r="B3385" t="str">
        <f t="shared" si="168"/>
        <v>Q1</v>
      </c>
      <c r="C3385" s="12" t="s">
        <v>135</v>
      </c>
      <c r="D3385" s="18">
        <f>VLOOKUP(C3385,'DISTRIBUIÇÃO NF4267'!$E$3:$FQ$75,MATCH(B3385,'DISTRIBUIÇÃO NF4267'!$E$3:$FQ$3,0)+1,0)</f>
        <v>0</v>
      </c>
      <c r="F3385" s="28">
        <f t="shared" si="169"/>
        <v>3</v>
      </c>
    </row>
    <row r="3386" spans="1:6" x14ac:dyDescent="0.35">
      <c r="A3386">
        <f t="shared" si="167"/>
        <v>0</v>
      </c>
      <c r="B3386" t="str">
        <f t="shared" si="168"/>
        <v>Q1</v>
      </c>
      <c r="C3386" s="13" t="s">
        <v>22</v>
      </c>
      <c r="D3386" s="18">
        <f>VLOOKUP(C3386,'DISTRIBUIÇÃO NF4267'!$E$3:$FQ$75,MATCH(B3386,'DISTRIBUIÇÃO NF4267'!$E$3:$FQ$3,0)+1,0)</f>
        <v>0</v>
      </c>
      <c r="F3386" s="28">
        <f t="shared" si="169"/>
        <v>3</v>
      </c>
    </row>
    <row r="3387" spans="1:6" x14ac:dyDescent="0.35">
      <c r="A3387">
        <f t="shared" si="167"/>
        <v>0</v>
      </c>
      <c r="B3387" t="str">
        <f t="shared" si="168"/>
        <v>Q1</v>
      </c>
      <c r="C3387" s="13" t="s">
        <v>23</v>
      </c>
      <c r="D3387" s="18">
        <f>VLOOKUP(C3387,'DISTRIBUIÇÃO NF4267'!$E$3:$FQ$75,MATCH(B3387,'DISTRIBUIÇÃO NF4267'!$E$3:$FQ$3,0)+1,0)</f>
        <v>0</v>
      </c>
      <c r="F3387" s="28">
        <f t="shared" si="169"/>
        <v>3</v>
      </c>
    </row>
    <row r="3388" spans="1:6" x14ac:dyDescent="0.35">
      <c r="A3388">
        <f t="shared" si="167"/>
        <v>0</v>
      </c>
      <c r="B3388" t="str">
        <f t="shared" si="168"/>
        <v>Q1</v>
      </c>
      <c r="C3388" s="13" t="s">
        <v>24</v>
      </c>
      <c r="D3388" s="18">
        <f>VLOOKUP(C3388,'DISTRIBUIÇÃO NF4267'!$E$3:$FQ$75,MATCH(B3388,'DISTRIBUIÇÃO NF4267'!$E$3:$FQ$3,0)+1,0)</f>
        <v>0</v>
      </c>
      <c r="F3388" s="28">
        <f t="shared" si="169"/>
        <v>3</v>
      </c>
    </row>
    <row r="3389" spans="1:6" x14ac:dyDescent="0.35">
      <c r="A3389">
        <f t="shared" si="167"/>
        <v>0</v>
      </c>
      <c r="B3389" t="str">
        <f t="shared" si="168"/>
        <v>Q1</v>
      </c>
      <c r="C3389" s="13" t="s">
        <v>25</v>
      </c>
      <c r="D3389" s="18">
        <f>VLOOKUP(C3389,'DISTRIBUIÇÃO NF4267'!$E$3:$FQ$75,MATCH(B3389,'DISTRIBUIÇÃO NF4267'!$E$3:$FQ$3,0)+1,0)</f>
        <v>0</v>
      </c>
      <c r="F3389" s="28">
        <f t="shared" si="169"/>
        <v>3</v>
      </c>
    </row>
    <row r="3390" spans="1:6" x14ac:dyDescent="0.35">
      <c r="A3390">
        <f t="shared" si="167"/>
        <v>0</v>
      </c>
      <c r="B3390" t="str">
        <f t="shared" si="168"/>
        <v>Q1</v>
      </c>
      <c r="C3390" s="13" t="s">
        <v>26</v>
      </c>
      <c r="D3390" s="18">
        <f>VLOOKUP(C3390,'DISTRIBUIÇÃO NF4267'!$E$3:$FQ$75,MATCH(B3390,'DISTRIBUIÇÃO NF4267'!$E$3:$FQ$3,0)+1,0)</f>
        <v>0</v>
      </c>
      <c r="F3390" s="28">
        <f t="shared" si="169"/>
        <v>3</v>
      </c>
    </row>
    <row r="3391" spans="1:6" x14ac:dyDescent="0.35">
      <c r="A3391">
        <f t="shared" si="167"/>
        <v>0</v>
      </c>
      <c r="B3391" t="str">
        <f t="shared" si="168"/>
        <v>Q1</v>
      </c>
      <c r="C3391" s="13" t="s">
        <v>27</v>
      </c>
      <c r="D3391" s="18">
        <f>VLOOKUP(C3391,'DISTRIBUIÇÃO NF4267'!$E$3:$FQ$75,MATCH(B3391,'DISTRIBUIÇÃO NF4267'!$E$3:$FQ$3,0)+1,0)</f>
        <v>0</v>
      </c>
      <c r="F3391" s="28">
        <f t="shared" si="169"/>
        <v>3</v>
      </c>
    </row>
    <row r="3392" spans="1:6" x14ac:dyDescent="0.35">
      <c r="A3392">
        <f t="shared" si="167"/>
        <v>0</v>
      </c>
      <c r="B3392" t="str">
        <f t="shared" si="168"/>
        <v>Q1</v>
      </c>
      <c r="C3392" s="14" t="s">
        <v>138</v>
      </c>
      <c r="D3392" s="18">
        <f>VLOOKUP(C3392,'DISTRIBUIÇÃO NF4267'!$E$3:$FQ$75,MATCH(B3392,'DISTRIBUIÇÃO NF4267'!$E$3:$FQ$3,0)+1,0)</f>
        <v>0</v>
      </c>
      <c r="F3392" s="28">
        <f t="shared" si="169"/>
        <v>3</v>
      </c>
    </row>
    <row r="3393" spans="1:6" x14ac:dyDescent="0.35">
      <c r="A3393">
        <f t="shared" si="167"/>
        <v>0</v>
      </c>
      <c r="B3393" t="str">
        <f t="shared" si="168"/>
        <v>Q1</v>
      </c>
      <c r="C3393" s="14" t="s">
        <v>139</v>
      </c>
      <c r="D3393" s="18">
        <f>VLOOKUP(C3393,'DISTRIBUIÇÃO NF4267'!$E$3:$FQ$75,MATCH(B3393,'DISTRIBUIÇÃO NF4267'!$E$3:$FQ$3,0)+1,0)</f>
        <v>2</v>
      </c>
      <c r="F3393" s="28">
        <f t="shared" si="169"/>
        <v>3</v>
      </c>
    </row>
    <row r="3394" spans="1:6" x14ac:dyDescent="0.35">
      <c r="A3394">
        <f t="shared" ref="A3394:A3457" si="170">IF(ISERROR(VLOOKUP(C3394,I:I,1,0)),0,1)</f>
        <v>0</v>
      </c>
      <c r="B3394" t="str">
        <f t="shared" si="168"/>
        <v>Q1</v>
      </c>
      <c r="C3394" s="14" t="s">
        <v>140</v>
      </c>
      <c r="D3394" s="18">
        <f>VLOOKUP(C3394,'DISTRIBUIÇÃO NF4267'!$E$3:$FQ$75,MATCH(B3394,'DISTRIBUIÇÃO NF4267'!$E$3:$FQ$3,0)+1,0)</f>
        <v>4</v>
      </c>
      <c r="F3394" s="28">
        <f t="shared" si="169"/>
        <v>3</v>
      </c>
    </row>
    <row r="3395" spans="1:6" x14ac:dyDescent="0.35">
      <c r="A3395">
        <f t="shared" si="170"/>
        <v>0</v>
      </c>
      <c r="B3395" t="str">
        <f t="shared" si="168"/>
        <v>Q1</v>
      </c>
      <c r="C3395" s="14" t="s">
        <v>141</v>
      </c>
      <c r="D3395" s="18">
        <f>VLOOKUP(C3395,'DISTRIBUIÇÃO NF4267'!$E$3:$FQ$75,MATCH(B3395,'DISTRIBUIÇÃO NF4267'!$E$3:$FQ$3,0)+1,0)</f>
        <v>2</v>
      </c>
      <c r="F3395" s="28">
        <f t="shared" si="169"/>
        <v>3</v>
      </c>
    </row>
    <row r="3396" spans="1:6" x14ac:dyDescent="0.35">
      <c r="A3396">
        <f t="shared" si="170"/>
        <v>0</v>
      </c>
      <c r="B3396" t="str">
        <f t="shared" si="168"/>
        <v>Q1</v>
      </c>
      <c r="C3396" s="14" t="s">
        <v>142</v>
      </c>
      <c r="D3396" s="18">
        <f>VLOOKUP(C3396,'DISTRIBUIÇÃO NF4267'!$E$3:$FQ$75,MATCH(B3396,'DISTRIBUIÇÃO NF4267'!$E$3:$FQ$3,0)+1,0)</f>
        <v>2</v>
      </c>
      <c r="F3396" s="28">
        <f t="shared" si="169"/>
        <v>3</v>
      </c>
    </row>
    <row r="3397" spans="1:6" x14ac:dyDescent="0.35">
      <c r="A3397">
        <f t="shared" si="170"/>
        <v>0</v>
      </c>
      <c r="B3397" t="str">
        <f t="shared" si="168"/>
        <v>Q1</v>
      </c>
      <c r="C3397" s="14" t="s">
        <v>143</v>
      </c>
      <c r="D3397" s="18">
        <f>VLOOKUP(C3397,'DISTRIBUIÇÃO NF4267'!$E$3:$FQ$75,MATCH(B3397,'DISTRIBUIÇÃO NF4267'!$E$3:$FQ$3,0)+1,0)</f>
        <v>0</v>
      </c>
      <c r="F3397" s="28">
        <f t="shared" si="169"/>
        <v>3</v>
      </c>
    </row>
    <row r="3398" spans="1:6" x14ac:dyDescent="0.35">
      <c r="A3398">
        <f t="shared" si="170"/>
        <v>0</v>
      </c>
      <c r="B3398" t="str">
        <f t="shared" si="168"/>
        <v>Q1</v>
      </c>
      <c r="C3398" s="15" t="s">
        <v>145</v>
      </c>
      <c r="D3398" s="18">
        <f>VLOOKUP(C3398,'DISTRIBUIÇÃO NF4267'!$E$3:$FQ$75,MATCH(B3398,'DISTRIBUIÇÃO NF4267'!$E$3:$FQ$3,0)+1,0)</f>
        <v>0</v>
      </c>
      <c r="F3398" s="28">
        <f t="shared" si="169"/>
        <v>3</v>
      </c>
    </row>
    <row r="3399" spans="1:6" x14ac:dyDescent="0.35">
      <c r="A3399">
        <f t="shared" si="170"/>
        <v>0</v>
      </c>
      <c r="B3399" t="str">
        <f t="shared" si="168"/>
        <v>Q1</v>
      </c>
      <c r="C3399" s="15" t="s">
        <v>146</v>
      </c>
      <c r="D3399" s="18">
        <f>VLOOKUP(C3399,'DISTRIBUIÇÃO NF4267'!$E$3:$FQ$75,MATCH(B3399,'DISTRIBUIÇÃO NF4267'!$E$3:$FQ$3,0)+1,0)</f>
        <v>2</v>
      </c>
      <c r="F3399" s="28">
        <f t="shared" si="169"/>
        <v>3</v>
      </c>
    </row>
    <row r="3400" spans="1:6" x14ac:dyDescent="0.35">
      <c r="A3400">
        <f t="shared" si="170"/>
        <v>0</v>
      </c>
      <c r="B3400" t="str">
        <f t="shared" si="168"/>
        <v>Q1</v>
      </c>
      <c r="C3400" s="15" t="s">
        <v>147</v>
      </c>
      <c r="D3400" s="18">
        <f>VLOOKUP(C3400,'DISTRIBUIÇÃO NF4267'!$E$3:$FQ$75,MATCH(B3400,'DISTRIBUIÇÃO NF4267'!$E$3:$FQ$3,0)+1,0)</f>
        <v>4</v>
      </c>
      <c r="F3400" s="28">
        <f t="shared" si="169"/>
        <v>3</v>
      </c>
    </row>
    <row r="3401" spans="1:6" x14ac:dyDescent="0.35">
      <c r="A3401">
        <f t="shared" si="170"/>
        <v>0</v>
      </c>
      <c r="B3401" t="str">
        <f t="shared" si="168"/>
        <v>Q1</v>
      </c>
      <c r="C3401" s="15" t="s">
        <v>148</v>
      </c>
      <c r="D3401" s="18">
        <f>VLOOKUP(C3401,'DISTRIBUIÇÃO NF4267'!$E$3:$FQ$75,MATCH(B3401,'DISTRIBUIÇÃO NF4267'!$E$3:$FQ$3,0)+1,0)</f>
        <v>2</v>
      </c>
      <c r="F3401" s="28">
        <f t="shared" si="169"/>
        <v>3</v>
      </c>
    </row>
    <row r="3402" spans="1:6" x14ac:dyDescent="0.35">
      <c r="A3402">
        <f t="shared" si="170"/>
        <v>0</v>
      </c>
      <c r="B3402" t="str">
        <f t="shared" si="168"/>
        <v>Q1</v>
      </c>
      <c r="C3402" s="15" t="s">
        <v>149</v>
      </c>
      <c r="D3402" s="18">
        <f>VLOOKUP(C3402,'DISTRIBUIÇÃO NF4267'!$E$3:$FQ$75,MATCH(B3402,'DISTRIBUIÇÃO NF4267'!$E$3:$FQ$3,0)+1,0)</f>
        <v>2</v>
      </c>
      <c r="F3402" s="28">
        <f t="shared" si="169"/>
        <v>3</v>
      </c>
    </row>
    <row r="3403" spans="1:6" x14ac:dyDescent="0.35">
      <c r="A3403">
        <f t="shared" si="170"/>
        <v>0</v>
      </c>
      <c r="B3403" t="str">
        <f t="shared" si="168"/>
        <v>Q1</v>
      </c>
      <c r="C3403" s="15" t="s">
        <v>150</v>
      </c>
      <c r="D3403" s="18">
        <f>VLOOKUP(C3403,'DISTRIBUIÇÃO NF4267'!$E$3:$FQ$75,MATCH(B3403,'DISTRIBUIÇÃO NF4267'!$E$3:$FQ$3,0)+1,0)</f>
        <v>0</v>
      </c>
      <c r="F3403" s="28">
        <f t="shared" si="169"/>
        <v>3</v>
      </c>
    </row>
    <row r="3404" spans="1:6" x14ac:dyDescent="0.35">
      <c r="A3404">
        <f t="shared" si="170"/>
        <v>0</v>
      </c>
      <c r="B3404" t="s">
        <v>72</v>
      </c>
      <c r="C3404" s="7" t="s">
        <v>98</v>
      </c>
      <c r="D3404" s="18">
        <f>VLOOKUP(C3404,'DISTRIBUIÇÃO NF4267'!$E$3:$FQ$75,MATCH(B3404,'DISTRIBUIÇÃO NF4267'!$E$3:$FQ$3,0)+1,0)</f>
        <v>0</v>
      </c>
      <c r="F3404" s="28">
        <f t="shared" si="169"/>
        <v>3</v>
      </c>
    </row>
    <row r="3405" spans="1:6" x14ac:dyDescent="0.35">
      <c r="A3405">
        <f t="shared" si="170"/>
        <v>0</v>
      </c>
      <c r="B3405" t="str">
        <f>B3404</f>
        <v>N1</v>
      </c>
      <c r="C3405" s="7" t="s">
        <v>99</v>
      </c>
      <c r="D3405" s="18">
        <f>VLOOKUP(C3405,'DISTRIBUIÇÃO NF4267'!$E$3:$FQ$75,MATCH(B3405,'DISTRIBUIÇÃO NF4267'!$E$3:$FQ$3,0)+1,0)</f>
        <v>4</v>
      </c>
      <c r="F3405" s="28">
        <f t="shared" si="169"/>
        <v>3</v>
      </c>
    </row>
    <row r="3406" spans="1:6" x14ac:dyDescent="0.35">
      <c r="A3406">
        <f t="shared" si="170"/>
        <v>0</v>
      </c>
      <c r="B3406" t="str">
        <f t="shared" ref="B3406:B3457" si="171">B3405</f>
        <v>N1</v>
      </c>
      <c r="C3406" s="7" t="s">
        <v>100</v>
      </c>
      <c r="D3406" s="18">
        <f>VLOOKUP(C3406,'DISTRIBUIÇÃO NF4267'!$E$3:$FQ$75,MATCH(B3406,'DISTRIBUIÇÃO NF4267'!$E$3:$FQ$3,0)+1,0)</f>
        <v>8</v>
      </c>
      <c r="F3406" s="28">
        <f t="shared" si="169"/>
        <v>3</v>
      </c>
    </row>
    <row r="3407" spans="1:6" x14ac:dyDescent="0.35">
      <c r="A3407">
        <f t="shared" si="170"/>
        <v>0</v>
      </c>
      <c r="B3407" t="str">
        <f t="shared" si="171"/>
        <v>N1</v>
      </c>
      <c r="C3407" s="7" t="s">
        <v>101</v>
      </c>
      <c r="D3407" s="18">
        <f>VLOOKUP(C3407,'DISTRIBUIÇÃO NF4267'!$E$3:$FQ$75,MATCH(B3407,'DISTRIBUIÇÃO NF4267'!$E$3:$FQ$3,0)+1,0)</f>
        <v>4</v>
      </c>
      <c r="F3407" s="28">
        <f t="shared" si="169"/>
        <v>3</v>
      </c>
    </row>
    <row r="3408" spans="1:6" x14ac:dyDescent="0.35">
      <c r="A3408">
        <f t="shared" si="170"/>
        <v>0</v>
      </c>
      <c r="B3408" t="str">
        <f t="shared" si="171"/>
        <v>N1</v>
      </c>
      <c r="C3408" s="7" t="s">
        <v>102</v>
      </c>
      <c r="D3408" s="18">
        <f>VLOOKUP(C3408,'DISTRIBUIÇÃO NF4267'!$E$3:$FQ$75,MATCH(B3408,'DISTRIBUIÇÃO NF4267'!$E$3:$FQ$3,0)+1,0)</f>
        <v>4</v>
      </c>
      <c r="F3408" s="28">
        <f t="shared" si="169"/>
        <v>3</v>
      </c>
    </row>
    <row r="3409" spans="1:6" x14ac:dyDescent="0.35">
      <c r="A3409">
        <f t="shared" si="170"/>
        <v>0</v>
      </c>
      <c r="B3409" t="str">
        <f t="shared" si="171"/>
        <v>N1</v>
      </c>
      <c r="C3409" s="7" t="s">
        <v>103</v>
      </c>
      <c r="D3409" s="18">
        <f>VLOOKUP(C3409,'DISTRIBUIÇÃO NF4267'!$E$3:$FQ$75,MATCH(B3409,'DISTRIBUIÇÃO NF4267'!$E$3:$FQ$3,0)+1,0)</f>
        <v>0</v>
      </c>
      <c r="F3409" s="28">
        <f t="shared" si="169"/>
        <v>3</v>
      </c>
    </row>
    <row r="3410" spans="1:6" x14ac:dyDescent="0.35">
      <c r="A3410">
        <f t="shared" si="170"/>
        <v>0</v>
      </c>
      <c r="B3410" t="str">
        <f t="shared" si="171"/>
        <v>N1</v>
      </c>
      <c r="C3410" s="8" t="s">
        <v>107</v>
      </c>
      <c r="D3410" s="18">
        <f>VLOOKUP(C3410,'DISTRIBUIÇÃO NF4267'!$E$3:$FQ$75,MATCH(B3410,'DISTRIBUIÇÃO NF4267'!$E$3:$FQ$3,0)+1,0)</f>
        <v>0</v>
      </c>
      <c r="F3410" s="28">
        <f t="shared" si="169"/>
        <v>3</v>
      </c>
    </row>
    <row r="3411" spans="1:6" x14ac:dyDescent="0.35">
      <c r="A3411">
        <f t="shared" si="170"/>
        <v>0</v>
      </c>
      <c r="B3411" t="str">
        <f t="shared" si="171"/>
        <v>N1</v>
      </c>
      <c r="C3411" s="8" t="s">
        <v>108</v>
      </c>
      <c r="D3411" s="18">
        <f>VLOOKUP(C3411,'DISTRIBUIÇÃO NF4267'!$E$3:$FQ$75,MATCH(B3411,'DISTRIBUIÇÃO NF4267'!$E$3:$FQ$3,0)+1,0)</f>
        <v>2</v>
      </c>
      <c r="F3411" s="28">
        <f t="shared" si="169"/>
        <v>3</v>
      </c>
    </row>
    <row r="3412" spans="1:6" x14ac:dyDescent="0.35">
      <c r="A3412">
        <f t="shared" si="170"/>
        <v>0</v>
      </c>
      <c r="B3412" t="str">
        <f t="shared" si="171"/>
        <v>N1</v>
      </c>
      <c r="C3412" s="8" t="s">
        <v>109</v>
      </c>
      <c r="D3412" s="18">
        <f>VLOOKUP(C3412,'DISTRIBUIÇÃO NF4267'!$E$3:$FQ$75,MATCH(B3412,'DISTRIBUIÇÃO NF4267'!$E$3:$FQ$3,0)+1,0)</f>
        <v>4</v>
      </c>
      <c r="F3412" s="28">
        <f t="shared" si="169"/>
        <v>3</v>
      </c>
    </row>
    <row r="3413" spans="1:6" x14ac:dyDescent="0.35">
      <c r="A3413">
        <f t="shared" si="170"/>
        <v>0</v>
      </c>
      <c r="B3413" t="str">
        <f t="shared" si="171"/>
        <v>N1</v>
      </c>
      <c r="C3413" s="8" t="s">
        <v>110</v>
      </c>
      <c r="D3413" s="18">
        <f>VLOOKUP(C3413,'DISTRIBUIÇÃO NF4267'!$E$3:$FQ$75,MATCH(B3413,'DISTRIBUIÇÃO NF4267'!$E$3:$FQ$3,0)+1,0)</f>
        <v>2</v>
      </c>
      <c r="F3413" s="28">
        <f t="shared" si="169"/>
        <v>3</v>
      </c>
    </row>
    <row r="3414" spans="1:6" x14ac:dyDescent="0.35">
      <c r="A3414">
        <f t="shared" si="170"/>
        <v>0</v>
      </c>
      <c r="B3414" t="str">
        <f t="shared" si="171"/>
        <v>N1</v>
      </c>
      <c r="C3414" s="8" t="s">
        <v>111</v>
      </c>
      <c r="D3414" s="18">
        <f>VLOOKUP(C3414,'DISTRIBUIÇÃO NF4267'!$E$3:$FQ$75,MATCH(B3414,'DISTRIBUIÇÃO NF4267'!$E$3:$FQ$3,0)+1,0)</f>
        <v>2</v>
      </c>
      <c r="F3414" s="28">
        <f t="shared" si="169"/>
        <v>3</v>
      </c>
    </row>
    <row r="3415" spans="1:6" x14ac:dyDescent="0.35">
      <c r="A3415">
        <f t="shared" si="170"/>
        <v>0</v>
      </c>
      <c r="B3415" t="str">
        <f t="shared" si="171"/>
        <v>N1</v>
      </c>
      <c r="C3415" s="8" t="s">
        <v>112</v>
      </c>
      <c r="D3415" s="18">
        <f>VLOOKUP(C3415,'DISTRIBUIÇÃO NF4267'!$E$3:$FQ$75,MATCH(B3415,'DISTRIBUIÇÃO NF4267'!$E$3:$FQ$3,0)+1,0)</f>
        <v>0</v>
      </c>
      <c r="F3415" s="28">
        <f t="shared" si="169"/>
        <v>3</v>
      </c>
    </row>
    <row r="3416" spans="1:6" x14ac:dyDescent="0.35">
      <c r="A3416">
        <f t="shared" si="170"/>
        <v>0</v>
      </c>
      <c r="B3416" t="str">
        <f t="shared" si="171"/>
        <v>N1</v>
      </c>
      <c r="C3416" s="9" t="s">
        <v>113</v>
      </c>
      <c r="D3416" s="18">
        <f>VLOOKUP(C3416,'DISTRIBUIÇÃO NF4267'!$E$3:$FQ$75,MATCH(B3416,'DISTRIBUIÇÃO NF4267'!$E$3:$FQ$3,0)+1,0)</f>
        <v>0</v>
      </c>
      <c r="F3416" s="28">
        <f t="shared" si="169"/>
        <v>3</v>
      </c>
    </row>
    <row r="3417" spans="1:6" x14ac:dyDescent="0.35">
      <c r="A3417">
        <f t="shared" si="170"/>
        <v>0</v>
      </c>
      <c r="B3417" t="str">
        <f t="shared" si="171"/>
        <v>N1</v>
      </c>
      <c r="C3417" s="9" t="s">
        <v>114</v>
      </c>
      <c r="D3417" s="18">
        <f>VLOOKUP(C3417,'DISTRIBUIÇÃO NF4267'!$E$3:$FQ$75,MATCH(B3417,'DISTRIBUIÇÃO NF4267'!$E$3:$FQ$3,0)+1,0)</f>
        <v>3</v>
      </c>
      <c r="F3417" s="28">
        <f t="shared" si="169"/>
        <v>3</v>
      </c>
    </row>
    <row r="3418" spans="1:6" x14ac:dyDescent="0.35">
      <c r="A3418">
        <f t="shared" si="170"/>
        <v>0</v>
      </c>
      <c r="B3418" t="str">
        <f t="shared" si="171"/>
        <v>N1</v>
      </c>
      <c r="C3418" s="9" t="s">
        <v>115</v>
      </c>
      <c r="D3418" s="18">
        <f>VLOOKUP(C3418,'DISTRIBUIÇÃO NF4267'!$E$3:$FQ$75,MATCH(B3418,'DISTRIBUIÇÃO NF4267'!$E$3:$FQ$3,0)+1,0)</f>
        <v>4</v>
      </c>
      <c r="F3418" s="28">
        <f t="shared" si="169"/>
        <v>3</v>
      </c>
    </row>
    <row r="3419" spans="1:6" x14ac:dyDescent="0.35">
      <c r="A3419">
        <f t="shared" si="170"/>
        <v>0</v>
      </c>
      <c r="B3419" t="str">
        <f t="shared" si="171"/>
        <v>N1</v>
      </c>
      <c r="C3419" s="9" t="s">
        <v>116</v>
      </c>
      <c r="D3419" s="18">
        <f>VLOOKUP(C3419,'DISTRIBUIÇÃO NF4267'!$E$3:$FQ$75,MATCH(B3419,'DISTRIBUIÇÃO NF4267'!$E$3:$FQ$3,0)+1,0)</f>
        <v>2</v>
      </c>
      <c r="F3419" s="28">
        <f t="shared" si="169"/>
        <v>3</v>
      </c>
    </row>
    <row r="3420" spans="1:6" x14ac:dyDescent="0.35">
      <c r="A3420">
        <f t="shared" si="170"/>
        <v>0</v>
      </c>
      <c r="B3420" t="str">
        <f t="shared" si="171"/>
        <v>N1</v>
      </c>
      <c r="C3420" s="9" t="s">
        <v>117</v>
      </c>
      <c r="D3420" s="18">
        <f>VLOOKUP(C3420,'DISTRIBUIÇÃO NF4267'!$E$3:$FQ$75,MATCH(B3420,'DISTRIBUIÇÃO NF4267'!$E$3:$FQ$3,0)+1,0)</f>
        <v>1</v>
      </c>
      <c r="F3420" s="28">
        <f t="shared" si="169"/>
        <v>3</v>
      </c>
    </row>
    <row r="3421" spans="1:6" x14ac:dyDescent="0.35">
      <c r="A3421">
        <f t="shared" si="170"/>
        <v>0</v>
      </c>
      <c r="B3421" t="str">
        <f t="shared" si="171"/>
        <v>N1</v>
      </c>
      <c r="C3421" s="9" t="s">
        <v>118</v>
      </c>
      <c r="D3421" s="18">
        <f>VLOOKUP(C3421,'DISTRIBUIÇÃO NF4267'!$E$3:$FQ$75,MATCH(B3421,'DISTRIBUIÇÃO NF4267'!$E$3:$FQ$3,0)+1,0)</f>
        <v>0</v>
      </c>
      <c r="F3421" s="28">
        <f t="shared" si="169"/>
        <v>3</v>
      </c>
    </row>
    <row r="3422" spans="1:6" x14ac:dyDescent="0.35">
      <c r="A3422">
        <f t="shared" si="170"/>
        <v>0</v>
      </c>
      <c r="B3422" t="str">
        <f t="shared" si="171"/>
        <v>N1</v>
      </c>
      <c r="C3422" s="10" t="s">
        <v>119</v>
      </c>
      <c r="D3422" s="18">
        <f>VLOOKUP(C3422,'DISTRIBUIÇÃO NF4267'!$E$3:$FQ$75,MATCH(B3422,'DISTRIBUIÇÃO NF4267'!$E$3:$FQ$3,0)+1,0)</f>
        <v>0</v>
      </c>
      <c r="F3422" s="28">
        <f t="shared" si="169"/>
        <v>3</v>
      </c>
    </row>
    <row r="3423" spans="1:6" x14ac:dyDescent="0.35">
      <c r="A3423">
        <f t="shared" si="170"/>
        <v>0</v>
      </c>
      <c r="B3423" t="str">
        <f t="shared" si="171"/>
        <v>N1</v>
      </c>
      <c r="C3423" s="10" t="s">
        <v>120</v>
      </c>
      <c r="D3423" s="18">
        <f>VLOOKUP(C3423,'DISTRIBUIÇÃO NF4267'!$E$3:$FQ$75,MATCH(B3423,'DISTRIBUIÇÃO NF4267'!$E$3:$FQ$3,0)+1,0)</f>
        <v>48</v>
      </c>
      <c r="F3423" s="28">
        <f t="shared" si="169"/>
        <v>3</v>
      </c>
    </row>
    <row r="3424" spans="1:6" x14ac:dyDescent="0.35">
      <c r="A3424">
        <f t="shared" si="170"/>
        <v>0</v>
      </c>
      <c r="B3424" t="str">
        <f t="shared" si="171"/>
        <v>N1</v>
      </c>
      <c r="C3424" s="10" t="s">
        <v>121</v>
      </c>
      <c r="D3424" s="18">
        <f>VLOOKUP(C3424,'DISTRIBUIÇÃO NF4267'!$E$3:$FQ$75,MATCH(B3424,'DISTRIBUIÇÃO NF4267'!$E$3:$FQ$3,0)+1,0)</f>
        <v>16</v>
      </c>
      <c r="F3424" s="28">
        <f t="shared" si="169"/>
        <v>3</v>
      </c>
    </row>
    <row r="3425" spans="1:6" x14ac:dyDescent="0.35">
      <c r="A3425">
        <f t="shared" si="170"/>
        <v>0</v>
      </c>
      <c r="B3425" t="str">
        <f t="shared" si="171"/>
        <v>N1</v>
      </c>
      <c r="C3425" s="10" t="s">
        <v>122</v>
      </c>
      <c r="D3425" s="18">
        <f>VLOOKUP(C3425,'DISTRIBUIÇÃO NF4267'!$E$3:$FQ$75,MATCH(B3425,'DISTRIBUIÇÃO NF4267'!$E$3:$FQ$3,0)+1,0)</f>
        <v>16</v>
      </c>
      <c r="F3425" s="28">
        <f t="shared" si="169"/>
        <v>3</v>
      </c>
    </row>
    <row r="3426" spans="1:6" x14ac:dyDescent="0.35">
      <c r="A3426">
        <f t="shared" si="170"/>
        <v>0</v>
      </c>
      <c r="B3426" t="str">
        <f t="shared" si="171"/>
        <v>N1</v>
      </c>
      <c r="C3426" s="10" t="s">
        <v>123</v>
      </c>
      <c r="D3426" s="18">
        <f>VLOOKUP(C3426,'DISTRIBUIÇÃO NF4267'!$E$3:$FQ$75,MATCH(B3426,'DISTRIBUIÇÃO NF4267'!$E$3:$FQ$3,0)+1,0)</f>
        <v>0</v>
      </c>
      <c r="F3426" s="28">
        <f t="shared" si="169"/>
        <v>3</v>
      </c>
    </row>
    <row r="3427" spans="1:6" x14ac:dyDescent="0.35">
      <c r="A3427">
        <f t="shared" si="170"/>
        <v>0</v>
      </c>
      <c r="B3427" t="str">
        <f t="shared" si="171"/>
        <v>N1</v>
      </c>
      <c r="C3427" s="10" t="s">
        <v>124</v>
      </c>
      <c r="D3427" s="18">
        <f>VLOOKUP(C3427,'DISTRIBUIÇÃO NF4267'!$E$3:$FQ$75,MATCH(B3427,'DISTRIBUIÇÃO NF4267'!$E$3:$FQ$3,0)+1,0)</f>
        <v>0</v>
      </c>
      <c r="F3427" s="28">
        <f t="shared" si="169"/>
        <v>3</v>
      </c>
    </row>
    <row r="3428" spans="1:6" x14ac:dyDescent="0.35">
      <c r="A3428">
        <f t="shared" si="170"/>
        <v>0</v>
      </c>
      <c r="B3428" t="str">
        <f t="shared" si="171"/>
        <v>N1</v>
      </c>
      <c r="C3428" s="11" t="s">
        <v>16</v>
      </c>
      <c r="D3428" s="18">
        <f>VLOOKUP(C3428,'DISTRIBUIÇÃO NF4267'!$E$3:$FQ$75,MATCH(B3428,'DISTRIBUIÇÃO NF4267'!$E$3:$FQ$3,0)+1,0)</f>
        <v>0</v>
      </c>
      <c r="F3428" s="28">
        <f t="shared" si="169"/>
        <v>3</v>
      </c>
    </row>
    <row r="3429" spans="1:6" x14ac:dyDescent="0.35">
      <c r="A3429">
        <f t="shared" si="170"/>
        <v>0</v>
      </c>
      <c r="B3429" t="str">
        <f t="shared" si="171"/>
        <v>N1</v>
      </c>
      <c r="C3429" s="11" t="s">
        <v>17</v>
      </c>
      <c r="D3429" s="18">
        <f>VLOOKUP(C3429,'DISTRIBUIÇÃO NF4267'!$E$3:$FQ$75,MATCH(B3429,'DISTRIBUIÇÃO NF4267'!$E$3:$FQ$3,0)+1,0)</f>
        <v>9</v>
      </c>
      <c r="F3429" s="28">
        <f t="shared" si="169"/>
        <v>3</v>
      </c>
    </row>
    <row r="3430" spans="1:6" x14ac:dyDescent="0.35">
      <c r="A3430">
        <f t="shared" si="170"/>
        <v>0</v>
      </c>
      <c r="B3430" t="str">
        <f t="shared" si="171"/>
        <v>N1</v>
      </c>
      <c r="C3430" s="11" t="s">
        <v>18</v>
      </c>
      <c r="D3430" s="18">
        <f>VLOOKUP(C3430,'DISTRIBUIÇÃO NF4267'!$E$3:$FQ$75,MATCH(B3430,'DISTRIBUIÇÃO NF4267'!$E$3:$FQ$3,0)+1,0)</f>
        <v>3</v>
      </c>
      <c r="F3430" s="28">
        <f t="shared" si="169"/>
        <v>3</v>
      </c>
    </row>
    <row r="3431" spans="1:6" x14ac:dyDescent="0.35">
      <c r="A3431">
        <f t="shared" si="170"/>
        <v>0</v>
      </c>
      <c r="B3431" t="str">
        <f t="shared" si="171"/>
        <v>N1</v>
      </c>
      <c r="C3431" s="11" t="s">
        <v>19</v>
      </c>
      <c r="D3431" s="18">
        <f>VLOOKUP(C3431,'DISTRIBUIÇÃO NF4267'!$E$3:$FQ$75,MATCH(B3431,'DISTRIBUIÇÃO NF4267'!$E$3:$FQ$3,0)+1,0)</f>
        <v>3</v>
      </c>
      <c r="F3431" s="28">
        <f t="shared" si="169"/>
        <v>3</v>
      </c>
    </row>
    <row r="3432" spans="1:6" x14ac:dyDescent="0.35">
      <c r="A3432">
        <f t="shared" si="170"/>
        <v>0</v>
      </c>
      <c r="B3432" t="str">
        <f t="shared" si="171"/>
        <v>N1</v>
      </c>
      <c r="C3432" s="11" t="s">
        <v>20</v>
      </c>
      <c r="D3432" s="18">
        <f>VLOOKUP(C3432,'DISTRIBUIÇÃO NF4267'!$E$3:$FQ$75,MATCH(B3432,'DISTRIBUIÇÃO NF4267'!$E$3:$FQ$3,0)+1,0)</f>
        <v>15</v>
      </c>
      <c r="F3432" s="28">
        <f t="shared" si="169"/>
        <v>3</v>
      </c>
    </row>
    <row r="3433" spans="1:6" x14ac:dyDescent="0.35">
      <c r="A3433">
        <f t="shared" si="170"/>
        <v>0</v>
      </c>
      <c r="B3433" t="str">
        <f t="shared" si="171"/>
        <v>N1</v>
      </c>
      <c r="C3433" s="11" t="s">
        <v>21</v>
      </c>
      <c r="D3433" s="18">
        <f>VLOOKUP(C3433,'DISTRIBUIÇÃO NF4267'!$E$3:$FQ$75,MATCH(B3433,'DISTRIBUIÇÃO NF4267'!$E$3:$FQ$3,0)+1,0)</f>
        <v>0</v>
      </c>
      <c r="F3433" s="28">
        <f t="shared" si="169"/>
        <v>3</v>
      </c>
    </row>
    <row r="3434" spans="1:6" x14ac:dyDescent="0.35">
      <c r="A3434">
        <f t="shared" si="170"/>
        <v>0</v>
      </c>
      <c r="B3434" t="str">
        <f t="shared" si="171"/>
        <v>N1</v>
      </c>
      <c r="C3434" s="12" t="s">
        <v>130</v>
      </c>
      <c r="D3434" s="18">
        <f>VLOOKUP(C3434,'DISTRIBUIÇÃO NF4267'!$E$3:$FQ$75,MATCH(B3434,'DISTRIBUIÇÃO NF4267'!$E$3:$FQ$3,0)+1,0)</f>
        <v>0</v>
      </c>
      <c r="F3434" s="28">
        <f t="shared" si="169"/>
        <v>3</v>
      </c>
    </row>
    <row r="3435" spans="1:6" x14ac:dyDescent="0.35">
      <c r="A3435">
        <f t="shared" si="170"/>
        <v>0</v>
      </c>
      <c r="B3435" t="str">
        <f t="shared" si="171"/>
        <v>N1</v>
      </c>
      <c r="C3435" s="12" t="s">
        <v>131</v>
      </c>
      <c r="D3435" s="18">
        <f>VLOOKUP(C3435,'DISTRIBUIÇÃO NF4267'!$E$3:$FQ$75,MATCH(B3435,'DISTRIBUIÇÃO NF4267'!$E$3:$FQ$3,0)+1,0)</f>
        <v>0</v>
      </c>
      <c r="F3435" s="28">
        <f t="shared" si="169"/>
        <v>3</v>
      </c>
    </row>
    <row r="3436" spans="1:6" x14ac:dyDescent="0.35">
      <c r="A3436">
        <f t="shared" si="170"/>
        <v>0</v>
      </c>
      <c r="B3436" t="str">
        <f t="shared" si="171"/>
        <v>N1</v>
      </c>
      <c r="C3436" s="12" t="s">
        <v>132</v>
      </c>
      <c r="D3436" s="18">
        <f>VLOOKUP(C3436,'DISTRIBUIÇÃO NF4267'!$E$3:$FQ$75,MATCH(B3436,'DISTRIBUIÇÃO NF4267'!$E$3:$FQ$3,0)+1,0)</f>
        <v>0</v>
      </c>
      <c r="F3436" s="28">
        <f t="shared" si="169"/>
        <v>3</v>
      </c>
    </row>
    <row r="3437" spans="1:6" x14ac:dyDescent="0.35">
      <c r="A3437">
        <f t="shared" si="170"/>
        <v>0</v>
      </c>
      <c r="B3437" t="str">
        <f t="shared" si="171"/>
        <v>N1</v>
      </c>
      <c r="C3437" s="12" t="s">
        <v>133</v>
      </c>
      <c r="D3437" s="18">
        <f>VLOOKUP(C3437,'DISTRIBUIÇÃO NF4267'!$E$3:$FQ$75,MATCH(B3437,'DISTRIBUIÇÃO NF4267'!$E$3:$FQ$3,0)+1,0)</f>
        <v>0</v>
      </c>
      <c r="F3437" s="28">
        <f t="shared" si="169"/>
        <v>3</v>
      </c>
    </row>
    <row r="3438" spans="1:6" x14ac:dyDescent="0.35">
      <c r="A3438">
        <f t="shared" si="170"/>
        <v>0</v>
      </c>
      <c r="B3438" t="str">
        <f t="shared" si="171"/>
        <v>N1</v>
      </c>
      <c r="C3438" s="12" t="s">
        <v>134</v>
      </c>
      <c r="D3438" s="18">
        <f>VLOOKUP(C3438,'DISTRIBUIÇÃO NF4267'!$E$3:$FQ$75,MATCH(B3438,'DISTRIBUIÇÃO NF4267'!$E$3:$FQ$3,0)+1,0)</f>
        <v>0</v>
      </c>
      <c r="F3438" s="28">
        <f t="shared" si="169"/>
        <v>3</v>
      </c>
    </row>
    <row r="3439" spans="1:6" x14ac:dyDescent="0.35">
      <c r="A3439">
        <f t="shared" si="170"/>
        <v>0</v>
      </c>
      <c r="B3439" t="str">
        <f t="shared" si="171"/>
        <v>N1</v>
      </c>
      <c r="C3439" s="12" t="s">
        <v>135</v>
      </c>
      <c r="D3439" s="18">
        <f>VLOOKUP(C3439,'DISTRIBUIÇÃO NF4267'!$E$3:$FQ$75,MATCH(B3439,'DISTRIBUIÇÃO NF4267'!$E$3:$FQ$3,0)+1,0)</f>
        <v>0</v>
      </c>
      <c r="F3439" s="28">
        <f t="shared" si="169"/>
        <v>3</v>
      </c>
    </row>
    <row r="3440" spans="1:6" x14ac:dyDescent="0.35">
      <c r="A3440">
        <f t="shared" si="170"/>
        <v>0</v>
      </c>
      <c r="B3440" t="str">
        <f t="shared" si="171"/>
        <v>N1</v>
      </c>
      <c r="C3440" s="13" t="s">
        <v>22</v>
      </c>
      <c r="D3440" s="18">
        <f>VLOOKUP(C3440,'DISTRIBUIÇÃO NF4267'!$E$3:$FQ$75,MATCH(B3440,'DISTRIBUIÇÃO NF4267'!$E$3:$FQ$3,0)+1,0)</f>
        <v>0</v>
      </c>
      <c r="F3440" s="28">
        <f t="shared" si="169"/>
        <v>3</v>
      </c>
    </row>
    <row r="3441" spans="1:6" x14ac:dyDescent="0.35">
      <c r="A3441">
        <f t="shared" si="170"/>
        <v>0</v>
      </c>
      <c r="B3441" t="str">
        <f t="shared" si="171"/>
        <v>N1</v>
      </c>
      <c r="C3441" s="13" t="s">
        <v>23</v>
      </c>
      <c r="D3441" s="18">
        <f>VLOOKUP(C3441,'DISTRIBUIÇÃO NF4267'!$E$3:$FQ$75,MATCH(B3441,'DISTRIBUIÇÃO NF4267'!$E$3:$FQ$3,0)+1,0)</f>
        <v>0</v>
      </c>
      <c r="F3441" s="28">
        <f t="shared" si="169"/>
        <v>3</v>
      </c>
    </row>
    <row r="3442" spans="1:6" x14ac:dyDescent="0.35">
      <c r="A3442">
        <f t="shared" si="170"/>
        <v>0</v>
      </c>
      <c r="B3442" t="str">
        <f t="shared" si="171"/>
        <v>N1</v>
      </c>
      <c r="C3442" s="13" t="s">
        <v>24</v>
      </c>
      <c r="D3442" s="18">
        <f>VLOOKUP(C3442,'DISTRIBUIÇÃO NF4267'!$E$3:$FQ$75,MATCH(B3442,'DISTRIBUIÇÃO NF4267'!$E$3:$FQ$3,0)+1,0)</f>
        <v>0</v>
      </c>
      <c r="F3442" s="28">
        <f t="shared" si="169"/>
        <v>3</v>
      </c>
    </row>
    <row r="3443" spans="1:6" x14ac:dyDescent="0.35">
      <c r="A3443">
        <f t="shared" si="170"/>
        <v>0</v>
      </c>
      <c r="B3443" t="str">
        <f t="shared" si="171"/>
        <v>N1</v>
      </c>
      <c r="C3443" s="13" t="s">
        <v>25</v>
      </c>
      <c r="D3443" s="18">
        <f>VLOOKUP(C3443,'DISTRIBUIÇÃO NF4267'!$E$3:$FQ$75,MATCH(B3443,'DISTRIBUIÇÃO NF4267'!$E$3:$FQ$3,0)+1,0)</f>
        <v>0</v>
      </c>
      <c r="F3443" s="28">
        <f t="shared" si="169"/>
        <v>3</v>
      </c>
    </row>
    <row r="3444" spans="1:6" x14ac:dyDescent="0.35">
      <c r="A3444">
        <f t="shared" si="170"/>
        <v>0</v>
      </c>
      <c r="B3444" t="str">
        <f t="shared" si="171"/>
        <v>N1</v>
      </c>
      <c r="C3444" s="13" t="s">
        <v>26</v>
      </c>
      <c r="D3444" s="18">
        <f>VLOOKUP(C3444,'DISTRIBUIÇÃO NF4267'!$E$3:$FQ$75,MATCH(B3444,'DISTRIBUIÇÃO NF4267'!$E$3:$FQ$3,0)+1,0)</f>
        <v>0</v>
      </c>
      <c r="F3444" s="28">
        <f t="shared" si="169"/>
        <v>3</v>
      </c>
    </row>
    <row r="3445" spans="1:6" x14ac:dyDescent="0.35">
      <c r="A3445">
        <f t="shared" si="170"/>
        <v>0</v>
      </c>
      <c r="B3445" t="str">
        <f t="shared" si="171"/>
        <v>N1</v>
      </c>
      <c r="C3445" s="13" t="s">
        <v>27</v>
      </c>
      <c r="D3445" s="18">
        <f>VLOOKUP(C3445,'DISTRIBUIÇÃO NF4267'!$E$3:$FQ$75,MATCH(B3445,'DISTRIBUIÇÃO NF4267'!$E$3:$FQ$3,0)+1,0)</f>
        <v>0</v>
      </c>
      <c r="F3445" s="28">
        <f t="shared" si="169"/>
        <v>3</v>
      </c>
    </row>
    <row r="3446" spans="1:6" x14ac:dyDescent="0.35">
      <c r="A3446">
        <f t="shared" si="170"/>
        <v>0</v>
      </c>
      <c r="B3446" t="str">
        <f t="shared" si="171"/>
        <v>N1</v>
      </c>
      <c r="C3446" s="14" t="s">
        <v>138</v>
      </c>
      <c r="D3446" s="18">
        <f>VLOOKUP(C3446,'DISTRIBUIÇÃO NF4267'!$E$3:$FQ$75,MATCH(B3446,'DISTRIBUIÇÃO NF4267'!$E$3:$FQ$3,0)+1,0)</f>
        <v>0</v>
      </c>
      <c r="F3446" s="28">
        <f t="shared" si="169"/>
        <v>3</v>
      </c>
    </row>
    <row r="3447" spans="1:6" x14ac:dyDescent="0.35">
      <c r="A3447">
        <f t="shared" si="170"/>
        <v>0</v>
      </c>
      <c r="B3447" t="str">
        <f t="shared" si="171"/>
        <v>N1</v>
      </c>
      <c r="C3447" s="14" t="s">
        <v>139</v>
      </c>
      <c r="D3447" s="18">
        <f>VLOOKUP(C3447,'DISTRIBUIÇÃO NF4267'!$E$3:$FQ$75,MATCH(B3447,'DISTRIBUIÇÃO NF4267'!$E$3:$FQ$3,0)+1,0)</f>
        <v>2</v>
      </c>
      <c r="F3447" s="28">
        <f t="shared" si="169"/>
        <v>3</v>
      </c>
    </row>
    <row r="3448" spans="1:6" x14ac:dyDescent="0.35">
      <c r="A3448">
        <f t="shared" si="170"/>
        <v>0</v>
      </c>
      <c r="B3448" t="str">
        <f t="shared" si="171"/>
        <v>N1</v>
      </c>
      <c r="C3448" s="14" t="s">
        <v>140</v>
      </c>
      <c r="D3448" s="18">
        <f>VLOOKUP(C3448,'DISTRIBUIÇÃO NF4267'!$E$3:$FQ$75,MATCH(B3448,'DISTRIBUIÇÃO NF4267'!$E$3:$FQ$3,0)+1,0)</f>
        <v>4</v>
      </c>
      <c r="F3448" s="28">
        <f t="shared" ref="F3448:F3511" si="172">ROUNDUP(SUMIFS(D:D,B:B,B3448)/80,0)</f>
        <v>3</v>
      </c>
    </row>
    <row r="3449" spans="1:6" x14ac:dyDescent="0.35">
      <c r="A3449">
        <f t="shared" si="170"/>
        <v>0</v>
      </c>
      <c r="B3449" t="str">
        <f t="shared" si="171"/>
        <v>N1</v>
      </c>
      <c r="C3449" s="14" t="s">
        <v>141</v>
      </c>
      <c r="D3449" s="18">
        <f>VLOOKUP(C3449,'DISTRIBUIÇÃO NF4267'!$E$3:$FQ$75,MATCH(B3449,'DISTRIBUIÇÃO NF4267'!$E$3:$FQ$3,0)+1,0)</f>
        <v>2</v>
      </c>
      <c r="F3449" s="28">
        <f t="shared" si="172"/>
        <v>3</v>
      </c>
    </row>
    <row r="3450" spans="1:6" x14ac:dyDescent="0.35">
      <c r="A3450">
        <f t="shared" si="170"/>
        <v>0</v>
      </c>
      <c r="B3450" t="str">
        <f t="shared" si="171"/>
        <v>N1</v>
      </c>
      <c r="C3450" s="14" t="s">
        <v>142</v>
      </c>
      <c r="D3450" s="18">
        <f>VLOOKUP(C3450,'DISTRIBUIÇÃO NF4267'!$E$3:$FQ$75,MATCH(B3450,'DISTRIBUIÇÃO NF4267'!$E$3:$FQ$3,0)+1,0)</f>
        <v>2</v>
      </c>
      <c r="F3450" s="28">
        <f t="shared" si="172"/>
        <v>3</v>
      </c>
    </row>
    <row r="3451" spans="1:6" x14ac:dyDescent="0.35">
      <c r="A3451">
        <f t="shared" si="170"/>
        <v>0</v>
      </c>
      <c r="B3451" t="str">
        <f t="shared" si="171"/>
        <v>N1</v>
      </c>
      <c r="C3451" s="14" t="s">
        <v>143</v>
      </c>
      <c r="D3451" s="18">
        <f>VLOOKUP(C3451,'DISTRIBUIÇÃO NF4267'!$E$3:$FQ$75,MATCH(B3451,'DISTRIBUIÇÃO NF4267'!$E$3:$FQ$3,0)+1,0)</f>
        <v>0</v>
      </c>
      <c r="F3451" s="28">
        <f t="shared" si="172"/>
        <v>3</v>
      </c>
    </row>
    <row r="3452" spans="1:6" x14ac:dyDescent="0.35">
      <c r="A3452">
        <f t="shared" si="170"/>
        <v>0</v>
      </c>
      <c r="B3452" t="str">
        <f t="shared" si="171"/>
        <v>N1</v>
      </c>
      <c r="C3452" s="15" t="s">
        <v>145</v>
      </c>
      <c r="D3452" s="18">
        <f>VLOOKUP(C3452,'DISTRIBUIÇÃO NF4267'!$E$3:$FQ$75,MATCH(B3452,'DISTRIBUIÇÃO NF4267'!$E$3:$FQ$3,0)+1,0)</f>
        <v>0</v>
      </c>
      <c r="F3452" s="28">
        <f t="shared" si="172"/>
        <v>3</v>
      </c>
    </row>
    <row r="3453" spans="1:6" x14ac:dyDescent="0.35">
      <c r="A3453">
        <f t="shared" si="170"/>
        <v>0</v>
      </c>
      <c r="B3453" t="str">
        <f t="shared" si="171"/>
        <v>N1</v>
      </c>
      <c r="C3453" s="15" t="s">
        <v>146</v>
      </c>
      <c r="D3453" s="18">
        <f>VLOOKUP(C3453,'DISTRIBUIÇÃO NF4267'!$E$3:$FQ$75,MATCH(B3453,'DISTRIBUIÇÃO NF4267'!$E$3:$FQ$3,0)+1,0)</f>
        <v>2</v>
      </c>
      <c r="F3453" s="28">
        <f t="shared" si="172"/>
        <v>3</v>
      </c>
    </row>
    <row r="3454" spans="1:6" x14ac:dyDescent="0.35">
      <c r="A3454">
        <f t="shared" si="170"/>
        <v>0</v>
      </c>
      <c r="B3454" t="str">
        <f t="shared" si="171"/>
        <v>N1</v>
      </c>
      <c r="C3454" s="15" t="s">
        <v>147</v>
      </c>
      <c r="D3454" s="18">
        <f>VLOOKUP(C3454,'DISTRIBUIÇÃO NF4267'!$E$3:$FQ$75,MATCH(B3454,'DISTRIBUIÇÃO NF4267'!$E$3:$FQ$3,0)+1,0)</f>
        <v>4</v>
      </c>
      <c r="F3454" s="28">
        <f t="shared" si="172"/>
        <v>3</v>
      </c>
    </row>
    <row r="3455" spans="1:6" x14ac:dyDescent="0.35">
      <c r="A3455">
        <f t="shared" si="170"/>
        <v>0</v>
      </c>
      <c r="B3455" t="str">
        <f t="shared" si="171"/>
        <v>N1</v>
      </c>
      <c r="C3455" s="15" t="s">
        <v>148</v>
      </c>
      <c r="D3455" s="18">
        <f>VLOOKUP(C3455,'DISTRIBUIÇÃO NF4267'!$E$3:$FQ$75,MATCH(B3455,'DISTRIBUIÇÃO NF4267'!$E$3:$FQ$3,0)+1,0)</f>
        <v>2</v>
      </c>
      <c r="F3455" s="28">
        <f t="shared" si="172"/>
        <v>3</v>
      </c>
    </row>
    <row r="3456" spans="1:6" x14ac:dyDescent="0.35">
      <c r="A3456">
        <f t="shared" si="170"/>
        <v>0</v>
      </c>
      <c r="B3456" t="str">
        <f t="shared" si="171"/>
        <v>N1</v>
      </c>
      <c r="C3456" s="15" t="s">
        <v>149</v>
      </c>
      <c r="D3456" s="18">
        <f>VLOOKUP(C3456,'DISTRIBUIÇÃO NF4267'!$E$3:$FQ$75,MATCH(B3456,'DISTRIBUIÇÃO NF4267'!$E$3:$FQ$3,0)+1,0)</f>
        <v>2</v>
      </c>
      <c r="F3456" s="28">
        <f t="shared" si="172"/>
        <v>3</v>
      </c>
    </row>
    <row r="3457" spans="1:6" x14ac:dyDescent="0.35">
      <c r="A3457">
        <f t="shared" si="170"/>
        <v>0</v>
      </c>
      <c r="B3457" t="str">
        <f t="shared" si="171"/>
        <v>N1</v>
      </c>
      <c r="C3457" s="15" t="s">
        <v>150</v>
      </c>
      <c r="D3457" s="18">
        <f>VLOOKUP(C3457,'DISTRIBUIÇÃO NF4267'!$E$3:$FQ$75,MATCH(B3457,'DISTRIBUIÇÃO NF4267'!$E$3:$FQ$3,0)+1,0)</f>
        <v>0</v>
      </c>
      <c r="F3457" s="28">
        <f t="shared" si="172"/>
        <v>3</v>
      </c>
    </row>
    <row r="3458" spans="1:6" x14ac:dyDescent="0.35">
      <c r="A3458">
        <f t="shared" ref="A3458:A3521" si="173">IF(ISERROR(VLOOKUP(C3458,I:I,1,0)),0,1)</f>
        <v>0</v>
      </c>
      <c r="B3458" t="s">
        <v>73</v>
      </c>
      <c r="C3458" s="7" t="s">
        <v>98</v>
      </c>
      <c r="D3458" s="18">
        <f>VLOOKUP(C3458,'DISTRIBUIÇÃO NF4267'!$E$3:$FQ$75,MATCH(B3458,'DISTRIBUIÇÃO NF4267'!$E$3:$FQ$3,0)+1,0)</f>
        <v>0</v>
      </c>
      <c r="F3458" s="28">
        <f t="shared" si="172"/>
        <v>3</v>
      </c>
    </row>
    <row r="3459" spans="1:6" x14ac:dyDescent="0.35">
      <c r="A3459">
        <f t="shared" si="173"/>
        <v>0</v>
      </c>
      <c r="B3459" t="str">
        <f>B3458</f>
        <v>J3</v>
      </c>
      <c r="C3459" s="7" t="s">
        <v>99</v>
      </c>
      <c r="D3459" s="18">
        <f>VLOOKUP(C3459,'DISTRIBUIÇÃO NF4267'!$E$3:$FQ$75,MATCH(B3459,'DISTRIBUIÇÃO NF4267'!$E$3:$FQ$3,0)+1,0)</f>
        <v>4</v>
      </c>
      <c r="F3459" s="28">
        <f t="shared" si="172"/>
        <v>3</v>
      </c>
    </row>
    <row r="3460" spans="1:6" x14ac:dyDescent="0.35">
      <c r="A3460">
        <f t="shared" si="173"/>
        <v>0</v>
      </c>
      <c r="B3460" t="str">
        <f t="shared" ref="B3460:B3511" si="174">B3459</f>
        <v>J3</v>
      </c>
      <c r="C3460" s="7" t="s">
        <v>100</v>
      </c>
      <c r="D3460" s="18">
        <f>VLOOKUP(C3460,'DISTRIBUIÇÃO NF4267'!$E$3:$FQ$75,MATCH(B3460,'DISTRIBUIÇÃO NF4267'!$E$3:$FQ$3,0)+1,0)</f>
        <v>8</v>
      </c>
      <c r="F3460" s="28">
        <f t="shared" si="172"/>
        <v>3</v>
      </c>
    </row>
    <row r="3461" spans="1:6" x14ac:dyDescent="0.35">
      <c r="A3461">
        <f t="shared" si="173"/>
        <v>0</v>
      </c>
      <c r="B3461" t="str">
        <f t="shared" si="174"/>
        <v>J3</v>
      </c>
      <c r="C3461" s="7" t="s">
        <v>101</v>
      </c>
      <c r="D3461" s="18">
        <f>VLOOKUP(C3461,'DISTRIBUIÇÃO NF4267'!$E$3:$FQ$75,MATCH(B3461,'DISTRIBUIÇÃO NF4267'!$E$3:$FQ$3,0)+1,0)</f>
        <v>4</v>
      </c>
      <c r="F3461" s="28">
        <f t="shared" si="172"/>
        <v>3</v>
      </c>
    </row>
    <row r="3462" spans="1:6" x14ac:dyDescent="0.35">
      <c r="A3462">
        <f t="shared" si="173"/>
        <v>0</v>
      </c>
      <c r="B3462" t="str">
        <f t="shared" si="174"/>
        <v>J3</v>
      </c>
      <c r="C3462" s="7" t="s">
        <v>102</v>
      </c>
      <c r="D3462" s="18">
        <f>VLOOKUP(C3462,'DISTRIBUIÇÃO NF4267'!$E$3:$FQ$75,MATCH(B3462,'DISTRIBUIÇÃO NF4267'!$E$3:$FQ$3,0)+1,0)</f>
        <v>4</v>
      </c>
      <c r="F3462" s="28">
        <f t="shared" si="172"/>
        <v>3</v>
      </c>
    </row>
    <row r="3463" spans="1:6" x14ac:dyDescent="0.35">
      <c r="A3463">
        <f t="shared" si="173"/>
        <v>0</v>
      </c>
      <c r="B3463" t="str">
        <f t="shared" si="174"/>
        <v>J3</v>
      </c>
      <c r="C3463" s="7" t="s">
        <v>103</v>
      </c>
      <c r="D3463" s="18">
        <f>VLOOKUP(C3463,'DISTRIBUIÇÃO NF4267'!$E$3:$FQ$75,MATCH(B3463,'DISTRIBUIÇÃO NF4267'!$E$3:$FQ$3,0)+1,0)</f>
        <v>0</v>
      </c>
      <c r="F3463" s="28">
        <f t="shared" si="172"/>
        <v>3</v>
      </c>
    </row>
    <row r="3464" spans="1:6" x14ac:dyDescent="0.35">
      <c r="A3464">
        <f t="shared" si="173"/>
        <v>0</v>
      </c>
      <c r="B3464" t="str">
        <f t="shared" si="174"/>
        <v>J3</v>
      </c>
      <c r="C3464" s="8" t="s">
        <v>107</v>
      </c>
      <c r="D3464" s="18">
        <f>VLOOKUP(C3464,'DISTRIBUIÇÃO NF4267'!$E$3:$FQ$75,MATCH(B3464,'DISTRIBUIÇÃO NF4267'!$E$3:$FQ$3,0)+1,0)</f>
        <v>0</v>
      </c>
      <c r="F3464" s="28">
        <f t="shared" si="172"/>
        <v>3</v>
      </c>
    </row>
    <row r="3465" spans="1:6" x14ac:dyDescent="0.35">
      <c r="A3465">
        <f t="shared" si="173"/>
        <v>0</v>
      </c>
      <c r="B3465" t="str">
        <f t="shared" si="174"/>
        <v>J3</v>
      </c>
      <c r="C3465" s="8" t="s">
        <v>108</v>
      </c>
      <c r="D3465" s="18">
        <f>VLOOKUP(C3465,'DISTRIBUIÇÃO NF4267'!$E$3:$FQ$75,MATCH(B3465,'DISTRIBUIÇÃO NF4267'!$E$3:$FQ$3,0)+1,0)</f>
        <v>2</v>
      </c>
      <c r="F3465" s="28">
        <f t="shared" si="172"/>
        <v>3</v>
      </c>
    </row>
    <row r="3466" spans="1:6" x14ac:dyDescent="0.35">
      <c r="A3466">
        <f t="shared" si="173"/>
        <v>0</v>
      </c>
      <c r="B3466" t="str">
        <f t="shared" si="174"/>
        <v>J3</v>
      </c>
      <c r="C3466" s="8" t="s">
        <v>109</v>
      </c>
      <c r="D3466" s="18">
        <f>VLOOKUP(C3466,'DISTRIBUIÇÃO NF4267'!$E$3:$FQ$75,MATCH(B3466,'DISTRIBUIÇÃO NF4267'!$E$3:$FQ$3,0)+1,0)</f>
        <v>4</v>
      </c>
      <c r="F3466" s="28">
        <f t="shared" si="172"/>
        <v>3</v>
      </c>
    </row>
    <row r="3467" spans="1:6" x14ac:dyDescent="0.35">
      <c r="A3467">
        <f t="shared" si="173"/>
        <v>0</v>
      </c>
      <c r="B3467" t="str">
        <f t="shared" si="174"/>
        <v>J3</v>
      </c>
      <c r="C3467" s="8" t="s">
        <v>110</v>
      </c>
      <c r="D3467" s="18">
        <f>VLOOKUP(C3467,'DISTRIBUIÇÃO NF4267'!$E$3:$FQ$75,MATCH(B3467,'DISTRIBUIÇÃO NF4267'!$E$3:$FQ$3,0)+1,0)</f>
        <v>2</v>
      </c>
      <c r="F3467" s="28">
        <f t="shared" si="172"/>
        <v>3</v>
      </c>
    </row>
    <row r="3468" spans="1:6" x14ac:dyDescent="0.35">
      <c r="A3468">
        <f t="shared" si="173"/>
        <v>0</v>
      </c>
      <c r="B3468" t="str">
        <f t="shared" si="174"/>
        <v>J3</v>
      </c>
      <c r="C3468" s="8" t="s">
        <v>111</v>
      </c>
      <c r="D3468" s="18">
        <f>VLOOKUP(C3468,'DISTRIBUIÇÃO NF4267'!$E$3:$FQ$75,MATCH(B3468,'DISTRIBUIÇÃO NF4267'!$E$3:$FQ$3,0)+1,0)</f>
        <v>2</v>
      </c>
      <c r="F3468" s="28">
        <f t="shared" si="172"/>
        <v>3</v>
      </c>
    </row>
    <row r="3469" spans="1:6" x14ac:dyDescent="0.35">
      <c r="A3469">
        <f t="shared" si="173"/>
        <v>0</v>
      </c>
      <c r="B3469" t="str">
        <f t="shared" si="174"/>
        <v>J3</v>
      </c>
      <c r="C3469" s="8" t="s">
        <v>112</v>
      </c>
      <c r="D3469" s="18">
        <f>VLOOKUP(C3469,'DISTRIBUIÇÃO NF4267'!$E$3:$FQ$75,MATCH(B3469,'DISTRIBUIÇÃO NF4267'!$E$3:$FQ$3,0)+1,0)</f>
        <v>0</v>
      </c>
      <c r="F3469" s="28">
        <f t="shared" si="172"/>
        <v>3</v>
      </c>
    </row>
    <row r="3470" spans="1:6" x14ac:dyDescent="0.35">
      <c r="A3470">
        <f t="shared" si="173"/>
        <v>0</v>
      </c>
      <c r="B3470" t="str">
        <f t="shared" si="174"/>
        <v>J3</v>
      </c>
      <c r="C3470" s="9" t="s">
        <v>113</v>
      </c>
      <c r="D3470" s="18">
        <f>VLOOKUP(C3470,'DISTRIBUIÇÃO NF4267'!$E$3:$FQ$75,MATCH(B3470,'DISTRIBUIÇÃO NF4267'!$E$3:$FQ$3,0)+1,0)</f>
        <v>0</v>
      </c>
      <c r="F3470" s="28">
        <f t="shared" si="172"/>
        <v>3</v>
      </c>
    </row>
    <row r="3471" spans="1:6" x14ac:dyDescent="0.35">
      <c r="A3471">
        <f t="shared" si="173"/>
        <v>0</v>
      </c>
      <c r="B3471" t="str">
        <f t="shared" si="174"/>
        <v>J3</v>
      </c>
      <c r="C3471" s="9" t="s">
        <v>114</v>
      </c>
      <c r="D3471" s="18">
        <f>VLOOKUP(C3471,'DISTRIBUIÇÃO NF4267'!$E$3:$FQ$75,MATCH(B3471,'DISTRIBUIÇÃO NF4267'!$E$3:$FQ$3,0)+1,0)</f>
        <v>3</v>
      </c>
      <c r="F3471" s="28">
        <f t="shared" si="172"/>
        <v>3</v>
      </c>
    </row>
    <row r="3472" spans="1:6" x14ac:dyDescent="0.35">
      <c r="A3472">
        <f t="shared" si="173"/>
        <v>0</v>
      </c>
      <c r="B3472" t="str">
        <f t="shared" si="174"/>
        <v>J3</v>
      </c>
      <c r="C3472" s="9" t="s">
        <v>115</v>
      </c>
      <c r="D3472" s="18">
        <f>VLOOKUP(C3472,'DISTRIBUIÇÃO NF4267'!$E$3:$FQ$75,MATCH(B3472,'DISTRIBUIÇÃO NF4267'!$E$3:$FQ$3,0)+1,0)</f>
        <v>4</v>
      </c>
      <c r="F3472" s="28">
        <f t="shared" si="172"/>
        <v>3</v>
      </c>
    </row>
    <row r="3473" spans="1:6" x14ac:dyDescent="0.35">
      <c r="A3473">
        <f t="shared" si="173"/>
        <v>0</v>
      </c>
      <c r="B3473" t="str">
        <f t="shared" si="174"/>
        <v>J3</v>
      </c>
      <c r="C3473" s="9" t="s">
        <v>116</v>
      </c>
      <c r="D3473" s="18">
        <f>VLOOKUP(C3473,'DISTRIBUIÇÃO NF4267'!$E$3:$FQ$75,MATCH(B3473,'DISTRIBUIÇÃO NF4267'!$E$3:$FQ$3,0)+1,0)</f>
        <v>2</v>
      </c>
      <c r="F3473" s="28">
        <f t="shared" si="172"/>
        <v>3</v>
      </c>
    </row>
    <row r="3474" spans="1:6" x14ac:dyDescent="0.35">
      <c r="A3474">
        <f t="shared" si="173"/>
        <v>0</v>
      </c>
      <c r="B3474" t="str">
        <f t="shared" si="174"/>
        <v>J3</v>
      </c>
      <c r="C3474" s="9" t="s">
        <v>117</v>
      </c>
      <c r="D3474" s="18">
        <f>VLOOKUP(C3474,'DISTRIBUIÇÃO NF4267'!$E$3:$FQ$75,MATCH(B3474,'DISTRIBUIÇÃO NF4267'!$E$3:$FQ$3,0)+1,0)</f>
        <v>1</v>
      </c>
      <c r="F3474" s="28">
        <f t="shared" si="172"/>
        <v>3</v>
      </c>
    </row>
    <row r="3475" spans="1:6" x14ac:dyDescent="0.35">
      <c r="A3475">
        <f t="shared" si="173"/>
        <v>0</v>
      </c>
      <c r="B3475" t="str">
        <f t="shared" si="174"/>
        <v>J3</v>
      </c>
      <c r="C3475" s="9" t="s">
        <v>118</v>
      </c>
      <c r="D3475" s="18">
        <f>VLOOKUP(C3475,'DISTRIBUIÇÃO NF4267'!$E$3:$FQ$75,MATCH(B3475,'DISTRIBUIÇÃO NF4267'!$E$3:$FQ$3,0)+1,0)</f>
        <v>0</v>
      </c>
      <c r="F3475" s="28">
        <f t="shared" si="172"/>
        <v>3</v>
      </c>
    </row>
    <row r="3476" spans="1:6" x14ac:dyDescent="0.35">
      <c r="A3476">
        <f t="shared" si="173"/>
        <v>0</v>
      </c>
      <c r="B3476" t="str">
        <f t="shared" si="174"/>
        <v>J3</v>
      </c>
      <c r="C3476" s="10" t="s">
        <v>119</v>
      </c>
      <c r="D3476" s="18">
        <f>VLOOKUP(C3476,'DISTRIBUIÇÃO NF4267'!$E$3:$FQ$75,MATCH(B3476,'DISTRIBUIÇÃO NF4267'!$E$3:$FQ$3,0)+1,0)</f>
        <v>0</v>
      </c>
      <c r="F3476" s="28">
        <f t="shared" si="172"/>
        <v>3</v>
      </c>
    </row>
    <row r="3477" spans="1:6" x14ac:dyDescent="0.35">
      <c r="A3477">
        <f t="shared" si="173"/>
        <v>0</v>
      </c>
      <c r="B3477" t="str">
        <f t="shared" si="174"/>
        <v>J3</v>
      </c>
      <c r="C3477" s="10" t="s">
        <v>120</v>
      </c>
      <c r="D3477" s="18">
        <f>VLOOKUP(C3477,'DISTRIBUIÇÃO NF4267'!$E$3:$FQ$75,MATCH(B3477,'DISTRIBUIÇÃO NF4267'!$E$3:$FQ$3,0)+1,0)</f>
        <v>48</v>
      </c>
      <c r="F3477" s="28">
        <f t="shared" si="172"/>
        <v>3</v>
      </c>
    </row>
    <row r="3478" spans="1:6" x14ac:dyDescent="0.35">
      <c r="A3478">
        <f t="shared" si="173"/>
        <v>0</v>
      </c>
      <c r="B3478" t="str">
        <f t="shared" si="174"/>
        <v>J3</v>
      </c>
      <c r="C3478" s="10" t="s">
        <v>121</v>
      </c>
      <c r="D3478" s="18">
        <f>VLOOKUP(C3478,'DISTRIBUIÇÃO NF4267'!$E$3:$FQ$75,MATCH(B3478,'DISTRIBUIÇÃO NF4267'!$E$3:$FQ$3,0)+1,0)</f>
        <v>16</v>
      </c>
      <c r="F3478" s="28">
        <f t="shared" si="172"/>
        <v>3</v>
      </c>
    </row>
    <row r="3479" spans="1:6" x14ac:dyDescent="0.35">
      <c r="A3479">
        <f t="shared" si="173"/>
        <v>0</v>
      </c>
      <c r="B3479" t="str">
        <f t="shared" si="174"/>
        <v>J3</v>
      </c>
      <c r="C3479" s="10" t="s">
        <v>122</v>
      </c>
      <c r="D3479" s="18">
        <f>VLOOKUP(C3479,'DISTRIBUIÇÃO NF4267'!$E$3:$FQ$75,MATCH(B3479,'DISTRIBUIÇÃO NF4267'!$E$3:$FQ$3,0)+1,0)</f>
        <v>16</v>
      </c>
      <c r="F3479" s="28">
        <f t="shared" si="172"/>
        <v>3</v>
      </c>
    </row>
    <row r="3480" spans="1:6" x14ac:dyDescent="0.35">
      <c r="A3480">
        <f t="shared" si="173"/>
        <v>0</v>
      </c>
      <c r="B3480" t="str">
        <f t="shared" si="174"/>
        <v>J3</v>
      </c>
      <c r="C3480" s="10" t="s">
        <v>123</v>
      </c>
      <c r="D3480" s="18">
        <f>VLOOKUP(C3480,'DISTRIBUIÇÃO NF4267'!$E$3:$FQ$75,MATCH(B3480,'DISTRIBUIÇÃO NF4267'!$E$3:$FQ$3,0)+1,0)</f>
        <v>0</v>
      </c>
      <c r="F3480" s="28">
        <f t="shared" si="172"/>
        <v>3</v>
      </c>
    </row>
    <row r="3481" spans="1:6" x14ac:dyDescent="0.35">
      <c r="A3481">
        <f t="shared" si="173"/>
        <v>0</v>
      </c>
      <c r="B3481" t="str">
        <f t="shared" si="174"/>
        <v>J3</v>
      </c>
      <c r="C3481" s="10" t="s">
        <v>124</v>
      </c>
      <c r="D3481" s="18">
        <f>VLOOKUP(C3481,'DISTRIBUIÇÃO NF4267'!$E$3:$FQ$75,MATCH(B3481,'DISTRIBUIÇÃO NF4267'!$E$3:$FQ$3,0)+1,0)</f>
        <v>0</v>
      </c>
      <c r="F3481" s="28">
        <f t="shared" si="172"/>
        <v>3</v>
      </c>
    </row>
    <row r="3482" spans="1:6" x14ac:dyDescent="0.35">
      <c r="A3482">
        <f t="shared" si="173"/>
        <v>0</v>
      </c>
      <c r="B3482" t="str">
        <f t="shared" si="174"/>
        <v>J3</v>
      </c>
      <c r="C3482" s="11" t="s">
        <v>16</v>
      </c>
      <c r="D3482" s="18">
        <f>VLOOKUP(C3482,'DISTRIBUIÇÃO NF4267'!$E$3:$FQ$75,MATCH(B3482,'DISTRIBUIÇÃO NF4267'!$E$3:$FQ$3,0)+1,0)</f>
        <v>0</v>
      </c>
      <c r="F3482" s="28">
        <f t="shared" si="172"/>
        <v>3</v>
      </c>
    </row>
    <row r="3483" spans="1:6" x14ac:dyDescent="0.35">
      <c r="A3483">
        <f t="shared" si="173"/>
        <v>0</v>
      </c>
      <c r="B3483" t="str">
        <f t="shared" si="174"/>
        <v>J3</v>
      </c>
      <c r="C3483" s="11" t="s">
        <v>17</v>
      </c>
      <c r="D3483" s="18">
        <f>VLOOKUP(C3483,'DISTRIBUIÇÃO NF4267'!$E$3:$FQ$75,MATCH(B3483,'DISTRIBUIÇÃO NF4267'!$E$3:$FQ$3,0)+1,0)</f>
        <v>9</v>
      </c>
      <c r="F3483" s="28">
        <f t="shared" si="172"/>
        <v>3</v>
      </c>
    </row>
    <row r="3484" spans="1:6" x14ac:dyDescent="0.35">
      <c r="A3484">
        <f t="shared" si="173"/>
        <v>0</v>
      </c>
      <c r="B3484" t="str">
        <f t="shared" si="174"/>
        <v>J3</v>
      </c>
      <c r="C3484" s="11" t="s">
        <v>18</v>
      </c>
      <c r="D3484" s="18">
        <f>VLOOKUP(C3484,'DISTRIBUIÇÃO NF4267'!$E$3:$FQ$75,MATCH(B3484,'DISTRIBUIÇÃO NF4267'!$E$3:$FQ$3,0)+1,0)</f>
        <v>3</v>
      </c>
      <c r="F3484" s="28">
        <f t="shared" si="172"/>
        <v>3</v>
      </c>
    </row>
    <row r="3485" spans="1:6" x14ac:dyDescent="0.35">
      <c r="A3485">
        <f t="shared" si="173"/>
        <v>0</v>
      </c>
      <c r="B3485" t="str">
        <f t="shared" si="174"/>
        <v>J3</v>
      </c>
      <c r="C3485" s="11" t="s">
        <v>19</v>
      </c>
      <c r="D3485" s="18">
        <f>VLOOKUP(C3485,'DISTRIBUIÇÃO NF4267'!$E$3:$FQ$75,MATCH(B3485,'DISTRIBUIÇÃO NF4267'!$E$3:$FQ$3,0)+1,0)</f>
        <v>3</v>
      </c>
      <c r="F3485" s="28">
        <f t="shared" si="172"/>
        <v>3</v>
      </c>
    </row>
    <row r="3486" spans="1:6" x14ac:dyDescent="0.35">
      <c r="A3486">
        <f t="shared" si="173"/>
        <v>0</v>
      </c>
      <c r="B3486" t="str">
        <f t="shared" si="174"/>
        <v>J3</v>
      </c>
      <c r="C3486" s="11" t="s">
        <v>20</v>
      </c>
      <c r="D3486" s="18">
        <f>VLOOKUP(C3486,'DISTRIBUIÇÃO NF4267'!$E$3:$FQ$75,MATCH(B3486,'DISTRIBUIÇÃO NF4267'!$E$3:$FQ$3,0)+1,0)</f>
        <v>15</v>
      </c>
      <c r="F3486" s="28">
        <f t="shared" si="172"/>
        <v>3</v>
      </c>
    </row>
    <row r="3487" spans="1:6" x14ac:dyDescent="0.35">
      <c r="A3487">
        <f t="shared" si="173"/>
        <v>0</v>
      </c>
      <c r="B3487" t="str">
        <f t="shared" si="174"/>
        <v>J3</v>
      </c>
      <c r="C3487" s="11" t="s">
        <v>21</v>
      </c>
      <c r="D3487" s="18">
        <f>VLOOKUP(C3487,'DISTRIBUIÇÃO NF4267'!$E$3:$FQ$75,MATCH(B3487,'DISTRIBUIÇÃO NF4267'!$E$3:$FQ$3,0)+1,0)</f>
        <v>0</v>
      </c>
      <c r="F3487" s="28">
        <f t="shared" si="172"/>
        <v>3</v>
      </c>
    </row>
    <row r="3488" spans="1:6" x14ac:dyDescent="0.35">
      <c r="A3488">
        <f t="shared" si="173"/>
        <v>0</v>
      </c>
      <c r="B3488" t="str">
        <f t="shared" si="174"/>
        <v>J3</v>
      </c>
      <c r="C3488" s="12" t="s">
        <v>130</v>
      </c>
      <c r="D3488" s="18">
        <f>VLOOKUP(C3488,'DISTRIBUIÇÃO NF4267'!$E$3:$FQ$75,MATCH(B3488,'DISTRIBUIÇÃO NF4267'!$E$3:$FQ$3,0)+1,0)</f>
        <v>0</v>
      </c>
      <c r="F3488" s="28">
        <f t="shared" si="172"/>
        <v>3</v>
      </c>
    </row>
    <row r="3489" spans="1:6" x14ac:dyDescent="0.35">
      <c r="A3489">
        <f t="shared" si="173"/>
        <v>0</v>
      </c>
      <c r="B3489" t="str">
        <f t="shared" si="174"/>
        <v>J3</v>
      </c>
      <c r="C3489" s="12" t="s">
        <v>131</v>
      </c>
      <c r="D3489" s="18">
        <f>VLOOKUP(C3489,'DISTRIBUIÇÃO NF4267'!$E$3:$FQ$75,MATCH(B3489,'DISTRIBUIÇÃO NF4267'!$E$3:$FQ$3,0)+1,0)</f>
        <v>0</v>
      </c>
      <c r="F3489" s="28">
        <f t="shared" si="172"/>
        <v>3</v>
      </c>
    </row>
    <row r="3490" spans="1:6" x14ac:dyDescent="0.35">
      <c r="A3490">
        <f t="shared" si="173"/>
        <v>0</v>
      </c>
      <c r="B3490" t="str">
        <f t="shared" si="174"/>
        <v>J3</v>
      </c>
      <c r="C3490" s="12" t="s">
        <v>132</v>
      </c>
      <c r="D3490" s="18">
        <f>VLOOKUP(C3490,'DISTRIBUIÇÃO NF4267'!$E$3:$FQ$75,MATCH(B3490,'DISTRIBUIÇÃO NF4267'!$E$3:$FQ$3,0)+1,0)</f>
        <v>0</v>
      </c>
      <c r="F3490" s="28">
        <f t="shared" si="172"/>
        <v>3</v>
      </c>
    </row>
    <row r="3491" spans="1:6" x14ac:dyDescent="0.35">
      <c r="A3491">
        <f t="shared" si="173"/>
        <v>0</v>
      </c>
      <c r="B3491" t="str">
        <f t="shared" si="174"/>
        <v>J3</v>
      </c>
      <c r="C3491" s="12" t="s">
        <v>133</v>
      </c>
      <c r="D3491" s="18">
        <f>VLOOKUP(C3491,'DISTRIBUIÇÃO NF4267'!$E$3:$FQ$75,MATCH(B3491,'DISTRIBUIÇÃO NF4267'!$E$3:$FQ$3,0)+1,0)</f>
        <v>0</v>
      </c>
      <c r="F3491" s="28">
        <f t="shared" si="172"/>
        <v>3</v>
      </c>
    </row>
    <row r="3492" spans="1:6" x14ac:dyDescent="0.35">
      <c r="A3492">
        <f t="shared" si="173"/>
        <v>0</v>
      </c>
      <c r="B3492" t="str">
        <f t="shared" si="174"/>
        <v>J3</v>
      </c>
      <c r="C3492" s="12" t="s">
        <v>134</v>
      </c>
      <c r="D3492" s="18">
        <f>VLOOKUP(C3492,'DISTRIBUIÇÃO NF4267'!$E$3:$FQ$75,MATCH(B3492,'DISTRIBUIÇÃO NF4267'!$E$3:$FQ$3,0)+1,0)</f>
        <v>0</v>
      </c>
      <c r="F3492" s="28">
        <f t="shared" si="172"/>
        <v>3</v>
      </c>
    </row>
    <row r="3493" spans="1:6" x14ac:dyDescent="0.35">
      <c r="A3493">
        <f t="shared" si="173"/>
        <v>0</v>
      </c>
      <c r="B3493" t="str">
        <f t="shared" si="174"/>
        <v>J3</v>
      </c>
      <c r="C3493" s="12" t="s">
        <v>135</v>
      </c>
      <c r="D3493" s="18">
        <f>VLOOKUP(C3493,'DISTRIBUIÇÃO NF4267'!$E$3:$FQ$75,MATCH(B3493,'DISTRIBUIÇÃO NF4267'!$E$3:$FQ$3,0)+1,0)</f>
        <v>0</v>
      </c>
      <c r="F3493" s="28">
        <f t="shared" si="172"/>
        <v>3</v>
      </c>
    </row>
    <row r="3494" spans="1:6" x14ac:dyDescent="0.35">
      <c r="A3494">
        <f t="shared" si="173"/>
        <v>0</v>
      </c>
      <c r="B3494" t="str">
        <f t="shared" si="174"/>
        <v>J3</v>
      </c>
      <c r="C3494" s="13" t="s">
        <v>22</v>
      </c>
      <c r="D3494" s="18">
        <f>VLOOKUP(C3494,'DISTRIBUIÇÃO NF4267'!$E$3:$FQ$75,MATCH(B3494,'DISTRIBUIÇÃO NF4267'!$E$3:$FQ$3,0)+1,0)</f>
        <v>0</v>
      </c>
      <c r="F3494" s="28">
        <f t="shared" si="172"/>
        <v>3</v>
      </c>
    </row>
    <row r="3495" spans="1:6" x14ac:dyDescent="0.35">
      <c r="A3495">
        <f t="shared" si="173"/>
        <v>0</v>
      </c>
      <c r="B3495" t="str">
        <f t="shared" si="174"/>
        <v>J3</v>
      </c>
      <c r="C3495" s="13" t="s">
        <v>23</v>
      </c>
      <c r="D3495" s="18">
        <f>VLOOKUP(C3495,'DISTRIBUIÇÃO NF4267'!$E$3:$FQ$75,MATCH(B3495,'DISTRIBUIÇÃO NF4267'!$E$3:$FQ$3,0)+1,0)</f>
        <v>0</v>
      </c>
      <c r="F3495" s="28">
        <f t="shared" si="172"/>
        <v>3</v>
      </c>
    </row>
    <row r="3496" spans="1:6" x14ac:dyDescent="0.35">
      <c r="A3496">
        <f t="shared" si="173"/>
        <v>0</v>
      </c>
      <c r="B3496" t="str">
        <f t="shared" si="174"/>
        <v>J3</v>
      </c>
      <c r="C3496" s="13" t="s">
        <v>24</v>
      </c>
      <c r="D3496" s="18">
        <f>VLOOKUP(C3496,'DISTRIBUIÇÃO NF4267'!$E$3:$FQ$75,MATCH(B3496,'DISTRIBUIÇÃO NF4267'!$E$3:$FQ$3,0)+1,0)</f>
        <v>0</v>
      </c>
      <c r="F3496" s="28">
        <f t="shared" si="172"/>
        <v>3</v>
      </c>
    </row>
    <row r="3497" spans="1:6" x14ac:dyDescent="0.35">
      <c r="A3497">
        <f t="shared" si="173"/>
        <v>0</v>
      </c>
      <c r="B3497" t="str">
        <f t="shared" si="174"/>
        <v>J3</v>
      </c>
      <c r="C3497" s="13" t="s">
        <v>25</v>
      </c>
      <c r="D3497" s="18">
        <f>VLOOKUP(C3497,'DISTRIBUIÇÃO NF4267'!$E$3:$FQ$75,MATCH(B3497,'DISTRIBUIÇÃO NF4267'!$E$3:$FQ$3,0)+1,0)</f>
        <v>0</v>
      </c>
      <c r="F3497" s="28">
        <f t="shared" si="172"/>
        <v>3</v>
      </c>
    </row>
    <row r="3498" spans="1:6" x14ac:dyDescent="0.35">
      <c r="A3498">
        <f t="shared" si="173"/>
        <v>0</v>
      </c>
      <c r="B3498" t="str">
        <f t="shared" si="174"/>
        <v>J3</v>
      </c>
      <c r="C3498" s="13" t="s">
        <v>26</v>
      </c>
      <c r="D3498" s="18">
        <f>VLOOKUP(C3498,'DISTRIBUIÇÃO NF4267'!$E$3:$FQ$75,MATCH(B3498,'DISTRIBUIÇÃO NF4267'!$E$3:$FQ$3,0)+1,0)</f>
        <v>0</v>
      </c>
      <c r="F3498" s="28">
        <f t="shared" si="172"/>
        <v>3</v>
      </c>
    </row>
    <row r="3499" spans="1:6" x14ac:dyDescent="0.35">
      <c r="A3499">
        <f t="shared" si="173"/>
        <v>0</v>
      </c>
      <c r="B3499" t="str">
        <f t="shared" si="174"/>
        <v>J3</v>
      </c>
      <c r="C3499" s="13" t="s">
        <v>27</v>
      </c>
      <c r="D3499" s="18">
        <f>VLOOKUP(C3499,'DISTRIBUIÇÃO NF4267'!$E$3:$FQ$75,MATCH(B3499,'DISTRIBUIÇÃO NF4267'!$E$3:$FQ$3,0)+1,0)</f>
        <v>0</v>
      </c>
      <c r="F3499" s="28">
        <f t="shared" si="172"/>
        <v>3</v>
      </c>
    </row>
    <row r="3500" spans="1:6" x14ac:dyDescent="0.35">
      <c r="A3500">
        <f t="shared" si="173"/>
        <v>0</v>
      </c>
      <c r="B3500" t="str">
        <f t="shared" si="174"/>
        <v>J3</v>
      </c>
      <c r="C3500" s="14" t="s">
        <v>138</v>
      </c>
      <c r="D3500" s="18">
        <f>VLOOKUP(C3500,'DISTRIBUIÇÃO NF4267'!$E$3:$FQ$75,MATCH(B3500,'DISTRIBUIÇÃO NF4267'!$E$3:$FQ$3,0)+1,0)</f>
        <v>0</v>
      </c>
      <c r="F3500" s="28">
        <f t="shared" si="172"/>
        <v>3</v>
      </c>
    </row>
    <row r="3501" spans="1:6" x14ac:dyDescent="0.35">
      <c r="A3501">
        <f t="shared" si="173"/>
        <v>0</v>
      </c>
      <c r="B3501" t="str">
        <f t="shared" si="174"/>
        <v>J3</v>
      </c>
      <c r="C3501" s="14" t="s">
        <v>139</v>
      </c>
      <c r="D3501" s="18">
        <f>VLOOKUP(C3501,'DISTRIBUIÇÃO NF4267'!$E$3:$FQ$75,MATCH(B3501,'DISTRIBUIÇÃO NF4267'!$E$3:$FQ$3,0)+1,0)</f>
        <v>2</v>
      </c>
      <c r="F3501" s="28">
        <f t="shared" si="172"/>
        <v>3</v>
      </c>
    </row>
    <row r="3502" spans="1:6" x14ac:dyDescent="0.35">
      <c r="A3502">
        <f t="shared" si="173"/>
        <v>0</v>
      </c>
      <c r="B3502" t="str">
        <f t="shared" si="174"/>
        <v>J3</v>
      </c>
      <c r="C3502" s="14" t="s">
        <v>140</v>
      </c>
      <c r="D3502" s="18">
        <f>VLOOKUP(C3502,'DISTRIBUIÇÃO NF4267'!$E$3:$FQ$75,MATCH(B3502,'DISTRIBUIÇÃO NF4267'!$E$3:$FQ$3,0)+1,0)</f>
        <v>4</v>
      </c>
      <c r="F3502" s="28">
        <f t="shared" si="172"/>
        <v>3</v>
      </c>
    </row>
    <row r="3503" spans="1:6" x14ac:dyDescent="0.35">
      <c r="A3503">
        <f t="shared" si="173"/>
        <v>0</v>
      </c>
      <c r="B3503" t="str">
        <f t="shared" si="174"/>
        <v>J3</v>
      </c>
      <c r="C3503" s="14" t="s">
        <v>141</v>
      </c>
      <c r="D3503" s="18">
        <f>VLOOKUP(C3503,'DISTRIBUIÇÃO NF4267'!$E$3:$FQ$75,MATCH(B3503,'DISTRIBUIÇÃO NF4267'!$E$3:$FQ$3,0)+1,0)</f>
        <v>2</v>
      </c>
      <c r="F3503" s="28">
        <f t="shared" si="172"/>
        <v>3</v>
      </c>
    </row>
    <row r="3504" spans="1:6" x14ac:dyDescent="0.35">
      <c r="A3504">
        <f t="shared" si="173"/>
        <v>0</v>
      </c>
      <c r="B3504" t="str">
        <f t="shared" si="174"/>
        <v>J3</v>
      </c>
      <c r="C3504" s="14" t="s">
        <v>142</v>
      </c>
      <c r="D3504" s="18">
        <f>VLOOKUP(C3504,'DISTRIBUIÇÃO NF4267'!$E$3:$FQ$75,MATCH(B3504,'DISTRIBUIÇÃO NF4267'!$E$3:$FQ$3,0)+1,0)</f>
        <v>2</v>
      </c>
      <c r="F3504" s="28">
        <f t="shared" si="172"/>
        <v>3</v>
      </c>
    </row>
    <row r="3505" spans="1:6" x14ac:dyDescent="0.35">
      <c r="A3505">
        <f t="shared" si="173"/>
        <v>0</v>
      </c>
      <c r="B3505" t="str">
        <f t="shared" si="174"/>
        <v>J3</v>
      </c>
      <c r="C3505" s="14" t="s">
        <v>143</v>
      </c>
      <c r="D3505" s="18">
        <f>VLOOKUP(C3505,'DISTRIBUIÇÃO NF4267'!$E$3:$FQ$75,MATCH(B3505,'DISTRIBUIÇÃO NF4267'!$E$3:$FQ$3,0)+1,0)</f>
        <v>0</v>
      </c>
      <c r="F3505" s="28">
        <f t="shared" si="172"/>
        <v>3</v>
      </c>
    </row>
    <row r="3506" spans="1:6" x14ac:dyDescent="0.35">
      <c r="A3506">
        <f t="shared" si="173"/>
        <v>0</v>
      </c>
      <c r="B3506" t="str">
        <f t="shared" si="174"/>
        <v>J3</v>
      </c>
      <c r="C3506" s="15" t="s">
        <v>145</v>
      </c>
      <c r="D3506" s="18">
        <f>VLOOKUP(C3506,'DISTRIBUIÇÃO NF4267'!$E$3:$FQ$75,MATCH(B3506,'DISTRIBUIÇÃO NF4267'!$E$3:$FQ$3,0)+1,0)</f>
        <v>0</v>
      </c>
      <c r="F3506" s="28">
        <f t="shared" si="172"/>
        <v>3</v>
      </c>
    </row>
    <row r="3507" spans="1:6" x14ac:dyDescent="0.35">
      <c r="A3507">
        <f t="shared" si="173"/>
        <v>0</v>
      </c>
      <c r="B3507" t="str">
        <f t="shared" si="174"/>
        <v>J3</v>
      </c>
      <c r="C3507" s="15" t="s">
        <v>146</v>
      </c>
      <c r="D3507" s="18">
        <f>VLOOKUP(C3507,'DISTRIBUIÇÃO NF4267'!$E$3:$FQ$75,MATCH(B3507,'DISTRIBUIÇÃO NF4267'!$E$3:$FQ$3,0)+1,0)</f>
        <v>2</v>
      </c>
      <c r="F3507" s="28">
        <f t="shared" si="172"/>
        <v>3</v>
      </c>
    </row>
    <row r="3508" spans="1:6" x14ac:dyDescent="0.35">
      <c r="A3508">
        <f t="shared" si="173"/>
        <v>0</v>
      </c>
      <c r="B3508" t="str">
        <f t="shared" si="174"/>
        <v>J3</v>
      </c>
      <c r="C3508" s="15" t="s">
        <v>147</v>
      </c>
      <c r="D3508" s="18">
        <f>VLOOKUP(C3508,'DISTRIBUIÇÃO NF4267'!$E$3:$FQ$75,MATCH(B3508,'DISTRIBUIÇÃO NF4267'!$E$3:$FQ$3,0)+1,0)</f>
        <v>4</v>
      </c>
      <c r="F3508" s="28">
        <f t="shared" si="172"/>
        <v>3</v>
      </c>
    </row>
    <row r="3509" spans="1:6" x14ac:dyDescent="0.35">
      <c r="A3509">
        <f t="shared" si="173"/>
        <v>0</v>
      </c>
      <c r="B3509" t="str">
        <f t="shared" si="174"/>
        <v>J3</v>
      </c>
      <c r="C3509" s="15" t="s">
        <v>148</v>
      </c>
      <c r="D3509" s="18">
        <f>VLOOKUP(C3509,'DISTRIBUIÇÃO NF4267'!$E$3:$FQ$75,MATCH(B3509,'DISTRIBUIÇÃO NF4267'!$E$3:$FQ$3,0)+1,0)</f>
        <v>2</v>
      </c>
      <c r="F3509" s="28">
        <f t="shared" si="172"/>
        <v>3</v>
      </c>
    </row>
    <row r="3510" spans="1:6" x14ac:dyDescent="0.35">
      <c r="A3510">
        <f t="shared" si="173"/>
        <v>0</v>
      </c>
      <c r="B3510" t="str">
        <f t="shared" si="174"/>
        <v>J3</v>
      </c>
      <c r="C3510" s="15" t="s">
        <v>149</v>
      </c>
      <c r="D3510" s="18">
        <f>VLOOKUP(C3510,'DISTRIBUIÇÃO NF4267'!$E$3:$FQ$75,MATCH(B3510,'DISTRIBUIÇÃO NF4267'!$E$3:$FQ$3,0)+1,0)</f>
        <v>2</v>
      </c>
      <c r="F3510" s="28">
        <f t="shared" si="172"/>
        <v>3</v>
      </c>
    </row>
    <row r="3511" spans="1:6" x14ac:dyDescent="0.35">
      <c r="A3511">
        <f t="shared" si="173"/>
        <v>0</v>
      </c>
      <c r="B3511" t="str">
        <f t="shared" si="174"/>
        <v>J3</v>
      </c>
      <c r="C3511" s="15" t="s">
        <v>150</v>
      </c>
      <c r="D3511" s="18">
        <f>VLOOKUP(C3511,'DISTRIBUIÇÃO NF4267'!$E$3:$FQ$75,MATCH(B3511,'DISTRIBUIÇÃO NF4267'!$E$3:$FQ$3,0)+1,0)</f>
        <v>0</v>
      </c>
      <c r="F3511" s="28">
        <f t="shared" si="172"/>
        <v>3</v>
      </c>
    </row>
    <row r="3512" spans="1:6" x14ac:dyDescent="0.35">
      <c r="A3512">
        <f t="shared" si="173"/>
        <v>0</v>
      </c>
      <c r="B3512" t="s">
        <v>74</v>
      </c>
      <c r="C3512" s="7" t="s">
        <v>98</v>
      </c>
      <c r="D3512" s="18">
        <f>VLOOKUP(C3512,'DISTRIBUIÇÃO NF4267'!$E$3:$FQ$75,MATCH(B3512,'DISTRIBUIÇÃO NF4267'!$E$3:$FQ$3,0)+1,0)</f>
        <v>0</v>
      </c>
      <c r="F3512" s="28">
        <f t="shared" ref="F3512:F3575" si="175">ROUNDUP(SUMIFS(D:D,B:B,B3512)/80,0)</f>
        <v>3</v>
      </c>
    </row>
    <row r="3513" spans="1:6" x14ac:dyDescent="0.35">
      <c r="A3513">
        <f t="shared" si="173"/>
        <v>0</v>
      </c>
      <c r="B3513" t="str">
        <f>B3512</f>
        <v>Q2</v>
      </c>
      <c r="C3513" s="7" t="s">
        <v>99</v>
      </c>
      <c r="D3513" s="18">
        <f>VLOOKUP(C3513,'DISTRIBUIÇÃO NF4267'!$E$3:$FQ$75,MATCH(B3513,'DISTRIBUIÇÃO NF4267'!$E$3:$FQ$3,0)+1,0)</f>
        <v>4</v>
      </c>
      <c r="F3513" s="28">
        <f t="shared" si="175"/>
        <v>3</v>
      </c>
    </row>
    <row r="3514" spans="1:6" x14ac:dyDescent="0.35">
      <c r="A3514">
        <f t="shared" si="173"/>
        <v>0</v>
      </c>
      <c r="B3514" t="str">
        <f t="shared" ref="B3514:B3565" si="176">B3513</f>
        <v>Q2</v>
      </c>
      <c r="C3514" s="7" t="s">
        <v>100</v>
      </c>
      <c r="D3514" s="18">
        <f>VLOOKUP(C3514,'DISTRIBUIÇÃO NF4267'!$E$3:$FQ$75,MATCH(B3514,'DISTRIBUIÇÃO NF4267'!$E$3:$FQ$3,0)+1,0)</f>
        <v>8</v>
      </c>
      <c r="F3514" s="28">
        <f t="shared" si="175"/>
        <v>3</v>
      </c>
    </row>
    <row r="3515" spans="1:6" x14ac:dyDescent="0.35">
      <c r="A3515">
        <f t="shared" si="173"/>
        <v>0</v>
      </c>
      <c r="B3515" t="str">
        <f t="shared" si="176"/>
        <v>Q2</v>
      </c>
      <c r="C3515" s="7" t="s">
        <v>101</v>
      </c>
      <c r="D3515" s="18">
        <f>VLOOKUP(C3515,'DISTRIBUIÇÃO NF4267'!$E$3:$FQ$75,MATCH(B3515,'DISTRIBUIÇÃO NF4267'!$E$3:$FQ$3,0)+1,0)</f>
        <v>4</v>
      </c>
      <c r="F3515" s="28">
        <f t="shared" si="175"/>
        <v>3</v>
      </c>
    </row>
    <row r="3516" spans="1:6" x14ac:dyDescent="0.35">
      <c r="A3516">
        <f t="shared" si="173"/>
        <v>0</v>
      </c>
      <c r="B3516" t="str">
        <f t="shared" si="176"/>
        <v>Q2</v>
      </c>
      <c r="C3516" s="7" t="s">
        <v>102</v>
      </c>
      <c r="D3516" s="18">
        <f>VLOOKUP(C3516,'DISTRIBUIÇÃO NF4267'!$E$3:$FQ$75,MATCH(B3516,'DISTRIBUIÇÃO NF4267'!$E$3:$FQ$3,0)+1,0)</f>
        <v>4</v>
      </c>
      <c r="F3516" s="28">
        <f t="shared" si="175"/>
        <v>3</v>
      </c>
    </row>
    <row r="3517" spans="1:6" x14ac:dyDescent="0.35">
      <c r="A3517">
        <f t="shared" si="173"/>
        <v>0</v>
      </c>
      <c r="B3517" t="str">
        <f t="shared" si="176"/>
        <v>Q2</v>
      </c>
      <c r="C3517" s="7" t="s">
        <v>103</v>
      </c>
      <c r="D3517" s="18">
        <f>VLOOKUP(C3517,'DISTRIBUIÇÃO NF4267'!$E$3:$FQ$75,MATCH(B3517,'DISTRIBUIÇÃO NF4267'!$E$3:$FQ$3,0)+1,0)</f>
        <v>0</v>
      </c>
      <c r="F3517" s="28">
        <f t="shared" si="175"/>
        <v>3</v>
      </c>
    </row>
    <row r="3518" spans="1:6" x14ac:dyDescent="0.35">
      <c r="A3518">
        <f t="shared" si="173"/>
        <v>0</v>
      </c>
      <c r="B3518" t="str">
        <f t="shared" si="176"/>
        <v>Q2</v>
      </c>
      <c r="C3518" s="8" t="s">
        <v>107</v>
      </c>
      <c r="D3518" s="18">
        <f>VLOOKUP(C3518,'DISTRIBUIÇÃO NF4267'!$E$3:$FQ$75,MATCH(B3518,'DISTRIBUIÇÃO NF4267'!$E$3:$FQ$3,0)+1,0)</f>
        <v>0</v>
      </c>
      <c r="F3518" s="28">
        <f t="shared" si="175"/>
        <v>3</v>
      </c>
    </row>
    <row r="3519" spans="1:6" x14ac:dyDescent="0.35">
      <c r="A3519">
        <f t="shared" si="173"/>
        <v>0</v>
      </c>
      <c r="B3519" t="str">
        <f t="shared" si="176"/>
        <v>Q2</v>
      </c>
      <c r="C3519" s="8" t="s">
        <v>108</v>
      </c>
      <c r="D3519" s="18">
        <f>VLOOKUP(C3519,'DISTRIBUIÇÃO NF4267'!$E$3:$FQ$75,MATCH(B3519,'DISTRIBUIÇÃO NF4267'!$E$3:$FQ$3,0)+1,0)</f>
        <v>2</v>
      </c>
      <c r="F3519" s="28">
        <f t="shared" si="175"/>
        <v>3</v>
      </c>
    </row>
    <row r="3520" spans="1:6" x14ac:dyDescent="0.35">
      <c r="A3520">
        <f t="shared" si="173"/>
        <v>0</v>
      </c>
      <c r="B3520" t="str">
        <f t="shared" si="176"/>
        <v>Q2</v>
      </c>
      <c r="C3520" s="8" t="s">
        <v>109</v>
      </c>
      <c r="D3520" s="18">
        <f>VLOOKUP(C3520,'DISTRIBUIÇÃO NF4267'!$E$3:$FQ$75,MATCH(B3520,'DISTRIBUIÇÃO NF4267'!$E$3:$FQ$3,0)+1,0)</f>
        <v>4</v>
      </c>
      <c r="F3520" s="28">
        <f t="shared" si="175"/>
        <v>3</v>
      </c>
    </row>
    <row r="3521" spans="1:6" x14ac:dyDescent="0.35">
      <c r="A3521">
        <f t="shared" si="173"/>
        <v>0</v>
      </c>
      <c r="B3521" t="str">
        <f t="shared" si="176"/>
        <v>Q2</v>
      </c>
      <c r="C3521" s="8" t="s">
        <v>110</v>
      </c>
      <c r="D3521" s="18">
        <f>VLOOKUP(C3521,'DISTRIBUIÇÃO NF4267'!$E$3:$FQ$75,MATCH(B3521,'DISTRIBUIÇÃO NF4267'!$E$3:$FQ$3,0)+1,0)</f>
        <v>2</v>
      </c>
      <c r="F3521" s="28">
        <f t="shared" si="175"/>
        <v>3</v>
      </c>
    </row>
    <row r="3522" spans="1:6" x14ac:dyDescent="0.35">
      <c r="A3522">
        <f t="shared" ref="A3522:A3585" si="177">IF(ISERROR(VLOOKUP(C3522,I:I,1,0)),0,1)</f>
        <v>0</v>
      </c>
      <c r="B3522" t="str">
        <f t="shared" si="176"/>
        <v>Q2</v>
      </c>
      <c r="C3522" s="8" t="s">
        <v>111</v>
      </c>
      <c r="D3522" s="18">
        <f>VLOOKUP(C3522,'DISTRIBUIÇÃO NF4267'!$E$3:$FQ$75,MATCH(B3522,'DISTRIBUIÇÃO NF4267'!$E$3:$FQ$3,0)+1,0)</f>
        <v>2</v>
      </c>
      <c r="F3522" s="28">
        <f t="shared" si="175"/>
        <v>3</v>
      </c>
    </row>
    <row r="3523" spans="1:6" x14ac:dyDescent="0.35">
      <c r="A3523">
        <f t="shared" si="177"/>
        <v>0</v>
      </c>
      <c r="B3523" t="str">
        <f t="shared" si="176"/>
        <v>Q2</v>
      </c>
      <c r="C3523" s="8" t="s">
        <v>112</v>
      </c>
      <c r="D3523" s="18">
        <f>VLOOKUP(C3523,'DISTRIBUIÇÃO NF4267'!$E$3:$FQ$75,MATCH(B3523,'DISTRIBUIÇÃO NF4267'!$E$3:$FQ$3,0)+1,0)</f>
        <v>0</v>
      </c>
      <c r="F3523" s="28">
        <f t="shared" si="175"/>
        <v>3</v>
      </c>
    </row>
    <row r="3524" spans="1:6" x14ac:dyDescent="0.35">
      <c r="A3524">
        <f t="shared" si="177"/>
        <v>0</v>
      </c>
      <c r="B3524" t="str">
        <f t="shared" si="176"/>
        <v>Q2</v>
      </c>
      <c r="C3524" s="9" t="s">
        <v>113</v>
      </c>
      <c r="D3524" s="18">
        <f>VLOOKUP(C3524,'DISTRIBUIÇÃO NF4267'!$E$3:$FQ$75,MATCH(B3524,'DISTRIBUIÇÃO NF4267'!$E$3:$FQ$3,0)+1,0)</f>
        <v>0</v>
      </c>
      <c r="F3524" s="28">
        <f t="shared" si="175"/>
        <v>3</v>
      </c>
    </row>
    <row r="3525" spans="1:6" x14ac:dyDescent="0.35">
      <c r="A3525">
        <f t="shared" si="177"/>
        <v>0</v>
      </c>
      <c r="B3525" t="str">
        <f t="shared" si="176"/>
        <v>Q2</v>
      </c>
      <c r="C3525" s="9" t="s">
        <v>114</v>
      </c>
      <c r="D3525" s="18">
        <f>VLOOKUP(C3525,'DISTRIBUIÇÃO NF4267'!$E$3:$FQ$75,MATCH(B3525,'DISTRIBUIÇÃO NF4267'!$E$3:$FQ$3,0)+1,0)</f>
        <v>3</v>
      </c>
      <c r="F3525" s="28">
        <f t="shared" si="175"/>
        <v>3</v>
      </c>
    </row>
    <row r="3526" spans="1:6" x14ac:dyDescent="0.35">
      <c r="A3526">
        <f t="shared" si="177"/>
        <v>0</v>
      </c>
      <c r="B3526" t="str">
        <f t="shared" si="176"/>
        <v>Q2</v>
      </c>
      <c r="C3526" s="9" t="s">
        <v>115</v>
      </c>
      <c r="D3526" s="18">
        <f>VLOOKUP(C3526,'DISTRIBUIÇÃO NF4267'!$E$3:$FQ$75,MATCH(B3526,'DISTRIBUIÇÃO NF4267'!$E$3:$FQ$3,0)+1,0)</f>
        <v>4</v>
      </c>
      <c r="F3526" s="28">
        <f t="shared" si="175"/>
        <v>3</v>
      </c>
    </row>
    <row r="3527" spans="1:6" x14ac:dyDescent="0.35">
      <c r="A3527">
        <f t="shared" si="177"/>
        <v>0</v>
      </c>
      <c r="B3527" t="str">
        <f t="shared" si="176"/>
        <v>Q2</v>
      </c>
      <c r="C3527" s="9" t="s">
        <v>116</v>
      </c>
      <c r="D3527" s="18">
        <f>VLOOKUP(C3527,'DISTRIBUIÇÃO NF4267'!$E$3:$FQ$75,MATCH(B3527,'DISTRIBUIÇÃO NF4267'!$E$3:$FQ$3,0)+1,0)</f>
        <v>2</v>
      </c>
      <c r="F3527" s="28">
        <f t="shared" si="175"/>
        <v>3</v>
      </c>
    </row>
    <row r="3528" spans="1:6" x14ac:dyDescent="0.35">
      <c r="A3528">
        <f t="shared" si="177"/>
        <v>0</v>
      </c>
      <c r="B3528" t="str">
        <f t="shared" si="176"/>
        <v>Q2</v>
      </c>
      <c r="C3528" s="9" t="s">
        <v>117</v>
      </c>
      <c r="D3528" s="18">
        <f>VLOOKUP(C3528,'DISTRIBUIÇÃO NF4267'!$E$3:$FQ$75,MATCH(B3528,'DISTRIBUIÇÃO NF4267'!$E$3:$FQ$3,0)+1,0)</f>
        <v>1</v>
      </c>
      <c r="F3528" s="28">
        <f t="shared" si="175"/>
        <v>3</v>
      </c>
    </row>
    <row r="3529" spans="1:6" x14ac:dyDescent="0.35">
      <c r="A3529">
        <f t="shared" si="177"/>
        <v>0</v>
      </c>
      <c r="B3529" t="str">
        <f t="shared" si="176"/>
        <v>Q2</v>
      </c>
      <c r="C3529" s="9" t="s">
        <v>118</v>
      </c>
      <c r="D3529" s="18">
        <f>VLOOKUP(C3529,'DISTRIBUIÇÃO NF4267'!$E$3:$FQ$75,MATCH(B3529,'DISTRIBUIÇÃO NF4267'!$E$3:$FQ$3,0)+1,0)</f>
        <v>0</v>
      </c>
      <c r="F3529" s="28">
        <f t="shared" si="175"/>
        <v>3</v>
      </c>
    </row>
    <row r="3530" spans="1:6" x14ac:dyDescent="0.35">
      <c r="A3530">
        <f t="shared" si="177"/>
        <v>0</v>
      </c>
      <c r="B3530" t="str">
        <f t="shared" si="176"/>
        <v>Q2</v>
      </c>
      <c r="C3530" s="10" t="s">
        <v>119</v>
      </c>
      <c r="D3530" s="18">
        <f>VLOOKUP(C3530,'DISTRIBUIÇÃO NF4267'!$E$3:$FQ$75,MATCH(B3530,'DISTRIBUIÇÃO NF4267'!$E$3:$FQ$3,0)+1,0)</f>
        <v>0</v>
      </c>
      <c r="F3530" s="28">
        <f t="shared" si="175"/>
        <v>3</v>
      </c>
    </row>
    <row r="3531" spans="1:6" x14ac:dyDescent="0.35">
      <c r="A3531">
        <f t="shared" si="177"/>
        <v>0</v>
      </c>
      <c r="B3531" t="str">
        <f t="shared" si="176"/>
        <v>Q2</v>
      </c>
      <c r="C3531" s="10" t="s">
        <v>120</v>
      </c>
      <c r="D3531" s="18">
        <f>VLOOKUP(C3531,'DISTRIBUIÇÃO NF4267'!$E$3:$FQ$75,MATCH(B3531,'DISTRIBUIÇÃO NF4267'!$E$3:$FQ$3,0)+1,0)</f>
        <v>48</v>
      </c>
      <c r="F3531" s="28">
        <f t="shared" si="175"/>
        <v>3</v>
      </c>
    </row>
    <row r="3532" spans="1:6" x14ac:dyDescent="0.35">
      <c r="A3532">
        <f t="shared" si="177"/>
        <v>0</v>
      </c>
      <c r="B3532" t="str">
        <f t="shared" si="176"/>
        <v>Q2</v>
      </c>
      <c r="C3532" s="10" t="s">
        <v>121</v>
      </c>
      <c r="D3532" s="18">
        <f>VLOOKUP(C3532,'DISTRIBUIÇÃO NF4267'!$E$3:$FQ$75,MATCH(B3532,'DISTRIBUIÇÃO NF4267'!$E$3:$FQ$3,0)+1,0)</f>
        <v>16</v>
      </c>
      <c r="F3532" s="28">
        <f t="shared" si="175"/>
        <v>3</v>
      </c>
    </row>
    <row r="3533" spans="1:6" x14ac:dyDescent="0.35">
      <c r="A3533">
        <f t="shared" si="177"/>
        <v>0</v>
      </c>
      <c r="B3533" t="str">
        <f t="shared" si="176"/>
        <v>Q2</v>
      </c>
      <c r="C3533" s="10" t="s">
        <v>122</v>
      </c>
      <c r="D3533" s="18">
        <f>VLOOKUP(C3533,'DISTRIBUIÇÃO NF4267'!$E$3:$FQ$75,MATCH(B3533,'DISTRIBUIÇÃO NF4267'!$E$3:$FQ$3,0)+1,0)</f>
        <v>16</v>
      </c>
      <c r="F3533" s="28">
        <f t="shared" si="175"/>
        <v>3</v>
      </c>
    </row>
    <row r="3534" spans="1:6" x14ac:dyDescent="0.35">
      <c r="A3534">
        <f t="shared" si="177"/>
        <v>0</v>
      </c>
      <c r="B3534" t="str">
        <f t="shared" si="176"/>
        <v>Q2</v>
      </c>
      <c r="C3534" s="10" t="s">
        <v>123</v>
      </c>
      <c r="D3534" s="18">
        <f>VLOOKUP(C3534,'DISTRIBUIÇÃO NF4267'!$E$3:$FQ$75,MATCH(B3534,'DISTRIBUIÇÃO NF4267'!$E$3:$FQ$3,0)+1,0)</f>
        <v>0</v>
      </c>
      <c r="F3534" s="28">
        <f t="shared" si="175"/>
        <v>3</v>
      </c>
    </row>
    <row r="3535" spans="1:6" x14ac:dyDescent="0.35">
      <c r="A3535">
        <f t="shared" si="177"/>
        <v>0</v>
      </c>
      <c r="B3535" t="str">
        <f t="shared" si="176"/>
        <v>Q2</v>
      </c>
      <c r="C3535" s="10" t="s">
        <v>124</v>
      </c>
      <c r="D3535" s="18">
        <f>VLOOKUP(C3535,'DISTRIBUIÇÃO NF4267'!$E$3:$FQ$75,MATCH(B3535,'DISTRIBUIÇÃO NF4267'!$E$3:$FQ$3,0)+1,0)</f>
        <v>0</v>
      </c>
      <c r="F3535" s="28">
        <f t="shared" si="175"/>
        <v>3</v>
      </c>
    </row>
    <row r="3536" spans="1:6" x14ac:dyDescent="0.35">
      <c r="A3536">
        <f t="shared" si="177"/>
        <v>0</v>
      </c>
      <c r="B3536" t="str">
        <f t="shared" si="176"/>
        <v>Q2</v>
      </c>
      <c r="C3536" s="11" t="s">
        <v>16</v>
      </c>
      <c r="D3536" s="18">
        <f>VLOOKUP(C3536,'DISTRIBUIÇÃO NF4267'!$E$3:$FQ$75,MATCH(B3536,'DISTRIBUIÇÃO NF4267'!$E$3:$FQ$3,0)+1,0)</f>
        <v>0</v>
      </c>
      <c r="F3536" s="28">
        <f t="shared" si="175"/>
        <v>3</v>
      </c>
    </row>
    <row r="3537" spans="1:6" x14ac:dyDescent="0.35">
      <c r="A3537">
        <f t="shared" si="177"/>
        <v>0</v>
      </c>
      <c r="B3537" t="str">
        <f t="shared" si="176"/>
        <v>Q2</v>
      </c>
      <c r="C3537" s="11" t="s">
        <v>17</v>
      </c>
      <c r="D3537" s="18">
        <f>VLOOKUP(C3537,'DISTRIBUIÇÃO NF4267'!$E$3:$FQ$75,MATCH(B3537,'DISTRIBUIÇÃO NF4267'!$E$3:$FQ$3,0)+1,0)</f>
        <v>9</v>
      </c>
      <c r="F3537" s="28">
        <f t="shared" si="175"/>
        <v>3</v>
      </c>
    </row>
    <row r="3538" spans="1:6" x14ac:dyDescent="0.35">
      <c r="A3538">
        <f t="shared" si="177"/>
        <v>0</v>
      </c>
      <c r="B3538" t="str">
        <f t="shared" si="176"/>
        <v>Q2</v>
      </c>
      <c r="C3538" s="11" t="s">
        <v>18</v>
      </c>
      <c r="D3538" s="18">
        <f>VLOOKUP(C3538,'DISTRIBUIÇÃO NF4267'!$E$3:$FQ$75,MATCH(B3538,'DISTRIBUIÇÃO NF4267'!$E$3:$FQ$3,0)+1,0)</f>
        <v>3</v>
      </c>
      <c r="F3538" s="28">
        <f t="shared" si="175"/>
        <v>3</v>
      </c>
    </row>
    <row r="3539" spans="1:6" x14ac:dyDescent="0.35">
      <c r="A3539">
        <f t="shared" si="177"/>
        <v>0</v>
      </c>
      <c r="B3539" t="str">
        <f t="shared" si="176"/>
        <v>Q2</v>
      </c>
      <c r="C3539" s="11" t="s">
        <v>19</v>
      </c>
      <c r="D3539" s="18">
        <f>VLOOKUP(C3539,'DISTRIBUIÇÃO NF4267'!$E$3:$FQ$75,MATCH(B3539,'DISTRIBUIÇÃO NF4267'!$E$3:$FQ$3,0)+1,0)</f>
        <v>3</v>
      </c>
      <c r="F3539" s="28">
        <f t="shared" si="175"/>
        <v>3</v>
      </c>
    </row>
    <row r="3540" spans="1:6" x14ac:dyDescent="0.35">
      <c r="A3540">
        <f t="shared" si="177"/>
        <v>0</v>
      </c>
      <c r="B3540" t="str">
        <f t="shared" si="176"/>
        <v>Q2</v>
      </c>
      <c r="C3540" s="11" t="s">
        <v>20</v>
      </c>
      <c r="D3540" s="18">
        <f>VLOOKUP(C3540,'DISTRIBUIÇÃO NF4267'!$E$3:$FQ$75,MATCH(B3540,'DISTRIBUIÇÃO NF4267'!$E$3:$FQ$3,0)+1,0)</f>
        <v>15</v>
      </c>
      <c r="F3540" s="28">
        <f t="shared" si="175"/>
        <v>3</v>
      </c>
    </row>
    <row r="3541" spans="1:6" x14ac:dyDescent="0.35">
      <c r="A3541">
        <f t="shared" si="177"/>
        <v>0</v>
      </c>
      <c r="B3541" t="str">
        <f t="shared" si="176"/>
        <v>Q2</v>
      </c>
      <c r="C3541" s="11" t="s">
        <v>21</v>
      </c>
      <c r="D3541" s="18">
        <f>VLOOKUP(C3541,'DISTRIBUIÇÃO NF4267'!$E$3:$FQ$75,MATCH(B3541,'DISTRIBUIÇÃO NF4267'!$E$3:$FQ$3,0)+1,0)</f>
        <v>0</v>
      </c>
      <c r="F3541" s="28">
        <f t="shared" si="175"/>
        <v>3</v>
      </c>
    </row>
    <row r="3542" spans="1:6" x14ac:dyDescent="0.35">
      <c r="A3542">
        <f t="shared" si="177"/>
        <v>0</v>
      </c>
      <c r="B3542" t="str">
        <f t="shared" si="176"/>
        <v>Q2</v>
      </c>
      <c r="C3542" s="12" t="s">
        <v>130</v>
      </c>
      <c r="D3542" s="18">
        <f>VLOOKUP(C3542,'DISTRIBUIÇÃO NF4267'!$E$3:$FQ$75,MATCH(B3542,'DISTRIBUIÇÃO NF4267'!$E$3:$FQ$3,0)+1,0)</f>
        <v>0</v>
      </c>
      <c r="F3542" s="28">
        <f t="shared" si="175"/>
        <v>3</v>
      </c>
    </row>
    <row r="3543" spans="1:6" x14ac:dyDescent="0.35">
      <c r="A3543">
        <f t="shared" si="177"/>
        <v>0</v>
      </c>
      <c r="B3543" t="str">
        <f t="shared" si="176"/>
        <v>Q2</v>
      </c>
      <c r="C3543" s="12" t="s">
        <v>131</v>
      </c>
      <c r="D3543" s="18">
        <f>VLOOKUP(C3543,'DISTRIBUIÇÃO NF4267'!$E$3:$FQ$75,MATCH(B3543,'DISTRIBUIÇÃO NF4267'!$E$3:$FQ$3,0)+1,0)</f>
        <v>0</v>
      </c>
      <c r="F3543" s="28">
        <f t="shared" si="175"/>
        <v>3</v>
      </c>
    </row>
    <row r="3544" spans="1:6" x14ac:dyDescent="0.35">
      <c r="A3544">
        <f t="shared" si="177"/>
        <v>0</v>
      </c>
      <c r="B3544" t="str">
        <f t="shared" si="176"/>
        <v>Q2</v>
      </c>
      <c r="C3544" s="12" t="s">
        <v>132</v>
      </c>
      <c r="D3544" s="18">
        <f>VLOOKUP(C3544,'DISTRIBUIÇÃO NF4267'!$E$3:$FQ$75,MATCH(B3544,'DISTRIBUIÇÃO NF4267'!$E$3:$FQ$3,0)+1,0)</f>
        <v>0</v>
      </c>
      <c r="F3544" s="28">
        <f t="shared" si="175"/>
        <v>3</v>
      </c>
    </row>
    <row r="3545" spans="1:6" x14ac:dyDescent="0.35">
      <c r="A3545">
        <f t="shared" si="177"/>
        <v>0</v>
      </c>
      <c r="B3545" t="str">
        <f t="shared" si="176"/>
        <v>Q2</v>
      </c>
      <c r="C3545" s="12" t="s">
        <v>133</v>
      </c>
      <c r="D3545" s="18">
        <f>VLOOKUP(C3545,'DISTRIBUIÇÃO NF4267'!$E$3:$FQ$75,MATCH(B3545,'DISTRIBUIÇÃO NF4267'!$E$3:$FQ$3,0)+1,0)</f>
        <v>0</v>
      </c>
      <c r="F3545" s="28">
        <f t="shared" si="175"/>
        <v>3</v>
      </c>
    </row>
    <row r="3546" spans="1:6" x14ac:dyDescent="0.35">
      <c r="A3546">
        <f t="shared" si="177"/>
        <v>0</v>
      </c>
      <c r="B3546" t="str">
        <f t="shared" si="176"/>
        <v>Q2</v>
      </c>
      <c r="C3546" s="12" t="s">
        <v>134</v>
      </c>
      <c r="D3546" s="18">
        <f>VLOOKUP(C3546,'DISTRIBUIÇÃO NF4267'!$E$3:$FQ$75,MATCH(B3546,'DISTRIBUIÇÃO NF4267'!$E$3:$FQ$3,0)+1,0)</f>
        <v>0</v>
      </c>
      <c r="F3546" s="28">
        <f t="shared" si="175"/>
        <v>3</v>
      </c>
    </row>
    <row r="3547" spans="1:6" x14ac:dyDescent="0.35">
      <c r="A3547">
        <f t="shared" si="177"/>
        <v>0</v>
      </c>
      <c r="B3547" t="str">
        <f t="shared" si="176"/>
        <v>Q2</v>
      </c>
      <c r="C3547" s="12" t="s">
        <v>135</v>
      </c>
      <c r="D3547" s="18">
        <f>VLOOKUP(C3547,'DISTRIBUIÇÃO NF4267'!$E$3:$FQ$75,MATCH(B3547,'DISTRIBUIÇÃO NF4267'!$E$3:$FQ$3,0)+1,0)</f>
        <v>0</v>
      </c>
      <c r="F3547" s="28">
        <f t="shared" si="175"/>
        <v>3</v>
      </c>
    </row>
    <row r="3548" spans="1:6" x14ac:dyDescent="0.35">
      <c r="A3548">
        <f t="shared" si="177"/>
        <v>0</v>
      </c>
      <c r="B3548" t="str">
        <f t="shared" si="176"/>
        <v>Q2</v>
      </c>
      <c r="C3548" s="13" t="s">
        <v>22</v>
      </c>
      <c r="D3548" s="18">
        <f>VLOOKUP(C3548,'DISTRIBUIÇÃO NF4267'!$E$3:$FQ$75,MATCH(B3548,'DISTRIBUIÇÃO NF4267'!$E$3:$FQ$3,0)+1,0)</f>
        <v>0</v>
      </c>
      <c r="F3548" s="28">
        <f t="shared" si="175"/>
        <v>3</v>
      </c>
    </row>
    <row r="3549" spans="1:6" x14ac:dyDescent="0.35">
      <c r="A3549">
        <f t="shared" si="177"/>
        <v>0</v>
      </c>
      <c r="B3549" t="str">
        <f t="shared" si="176"/>
        <v>Q2</v>
      </c>
      <c r="C3549" s="13" t="s">
        <v>23</v>
      </c>
      <c r="D3549" s="18">
        <f>VLOOKUP(C3549,'DISTRIBUIÇÃO NF4267'!$E$3:$FQ$75,MATCH(B3549,'DISTRIBUIÇÃO NF4267'!$E$3:$FQ$3,0)+1,0)</f>
        <v>0</v>
      </c>
      <c r="F3549" s="28">
        <f t="shared" si="175"/>
        <v>3</v>
      </c>
    </row>
    <row r="3550" spans="1:6" x14ac:dyDescent="0.35">
      <c r="A3550">
        <f t="shared" si="177"/>
        <v>0</v>
      </c>
      <c r="B3550" t="str">
        <f t="shared" si="176"/>
        <v>Q2</v>
      </c>
      <c r="C3550" s="13" t="s">
        <v>24</v>
      </c>
      <c r="D3550" s="18">
        <f>VLOOKUP(C3550,'DISTRIBUIÇÃO NF4267'!$E$3:$FQ$75,MATCH(B3550,'DISTRIBUIÇÃO NF4267'!$E$3:$FQ$3,0)+1,0)</f>
        <v>0</v>
      </c>
      <c r="F3550" s="28">
        <f t="shared" si="175"/>
        <v>3</v>
      </c>
    </row>
    <row r="3551" spans="1:6" x14ac:dyDescent="0.35">
      <c r="A3551">
        <f t="shared" si="177"/>
        <v>0</v>
      </c>
      <c r="B3551" t="str">
        <f t="shared" si="176"/>
        <v>Q2</v>
      </c>
      <c r="C3551" s="13" t="s">
        <v>25</v>
      </c>
      <c r="D3551" s="18">
        <f>VLOOKUP(C3551,'DISTRIBUIÇÃO NF4267'!$E$3:$FQ$75,MATCH(B3551,'DISTRIBUIÇÃO NF4267'!$E$3:$FQ$3,0)+1,0)</f>
        <v>0</v>
      </c>
      <c r="F3551" s="28">
        <f t="shared" si="175"/>
        <v>3</v>
      </c>
    </row>
    <row r="3552" spans="1:6" x14ac:dyDescent="0.35">
      <c r="A3552">
        <f t="shared" si="177"/>
        <v>0</v>
      </c>
      <c r="B3552" t="str">
        <f t="shared" si="176"/>
        <v>Q2</v>
      </c>
      <c r="C3552" s="13" t="s">
        <v>26</v>
      </c>
      <c r="D3552" s="18">
        <f>VLOOKUP(C3552,'DISTRIBUIÇÃO NF4267'!$E$3:$FQ$75,MATCH(B3552,'DISTRIBUIÇÃO NF4267'!$E$3:$FQ$3,0)+1,0)</f>
        <v>0</v>
      </c>
      <c r="F3552" s="28">
        <f t="shared" si="175"/>
        <v>3</v>
      </c>
    </row>
    <row r="3553" spans="1:6" x14ac:dyDescent="0.35">
      <c r="A3553">
        <f t="shared" si="177"/>
        <v>0</v>
      </c>
      <c r="B3553" t="str">
        <f t="shared" si="176"/>
        <v>Q2</v>
      </c>
      <c r="C3553" s="13" t="s">
        <v>27</v>
      </c>
      <c r="D3553" s="18">
        <f>VLOOKUP(C3553,'DISTRIBUIÇÃO NF4267'!$E$3:$FQ$75,MATCH(B3553,'DISTRIBUIÇÃO NF4267'!$E$3:$FQ$3,0)+1,0)</f>
        <v>0</v>
      </c>
      <c r="F3553" s="28">
        <f t="shared" si="175"/>
        <v>3</v>
      </c>
    </row>
    <row r="3554" spans="1:6" x14ac:dyDescent="0.35">
      <c r="A3554">
        <f t="shared" si="177"/>
        <v>0</v>
      </c>
      <c r="B3554" t="str">
        <f t="shared" si="176"/>
        <v>Q2</v>
      </c>
      <c r="C3554" s="14" t="s">
        <v>138</v>
      </c>
      <c r="D3554" s="18">
        <f>VLOOKUP(C3554,'DISTRIBUIÇÃO NF4267'!$E$3:$FQ$75,MATCH(B3554,'DISTRIBUIÇÃO NF4267'!$E$3:$FQ$3,0)+1,0)</f>
        <v>0</v>
      </c>
      <c r="F3554" s="28">
        <f t="shared" si="175"/>
        <v>3</v>
      </c>
    </row>
    <row r="3555" spans="1:6" x14ac:dyDescent="0.35">
      <c r="A3555">
        <f t="shared" si="177"/>
        <v>0</v>
      </c>
      <c r="B3555" t="str">
        <f t="shared" si="176"/>
        <v>Q2</v>
      </c>
      <c r="C3555" s="14" t="s">
        <v>139</v>
      </c>
      <c r="D3555" s="18">
        <f>VLOOKUP(C3555,'DISTRIBUIÇÃO NF4267'!$E$3:$FQ$75,MATCH(B3555,'DISTRIBUIÇÃO NF4267'!$E$3:$FQ$3,0)+1,0)</f>
        <v>2</v>
      </c>
      <c r="F3555" s="28">
        <f t="shared" si="175"/>
        <v>3</v>
      </c>
    </row>
    <row r="3556" spans="1:6" x14ac:dyDescent="0.35">
      <c r="A3556">
        <f t="shared" si="177"/>
        <v>0</v>
      </c>
      <c r="B3556" t="str">
        <f t="shared" si="176"/>
        <v>Q2</v>
      </c>
      <c r="C3556" s="14" t="s">
        <v>140</v>
      </c>
      <c r="D3556" s="18">
        <f>VLOOKUP(C3556,'DISTRIBUIÇÃO NF4267'!$E$3:$FQ$75,MATCH(B3556,'DISTRIBUIÇÃO NF4267'!$E$3:$FQ$3,0)+1,0)</f>
        <v>4</v>
      </c>
      <c r="F3556" s="28">
        <f t="shared" si="175"/>
        <v>3</v>
      </c>
    </row>
    <row r="3557" spans="1:6" x14ac:dyDescent="0.35">
      <c r="A3557">
        <f t="shared" si="177"/>
        <v>0</v>
      </c>
      <c r="B3557" t="str">
        <f t="shared" si="176"/>
        <v>Q2</v>
      </c>
      <c r="C3557" s="14" t="s">
        <v>141</v>
      </c>
      <c r="D3557" s="18">
        <f>VLOOKUP(C3557,'DISTRIBUIÇÃO NF4267'!$E$3:$FQ$75,MATCH(B3557,'DISTRIBUIÇÃO NF4267'!$E$3:$FQ$3,0)+1,0)</f>
        <v>2</v>
      </c>
      <c r="F3557" s="28">
        <f t="shared" si="175"/>
        <v>3</v>
      </c>
    </row>
    <row r="3558" spans="1:6" x14ac:dyDescent="0.35">
      <c r="A3558">
        <f t="shared" si="177"/>
        <v>0</v>
      </c>
      <c r="B3558" t="str">
        <f t="shared" si="176"/>
        <v>Q2</v>
      </c>
      <c r="C3558" s="14" t="s">
        <v>142</v>
      </c>
      <c r="D3558" s="18">
        <f>VLOOKUP(C3558,'DISTRIBUIÇÃO NF4267'!$E$3:$FQ$75,MATCH(B3558,'DISTRIBUIÇÃO NF4267'!$E$3:$FQ$3,0)+1,0)</f>
        <v>2</v>
      </c>
      <c r="F3558" s="28">
        <f t="shared" si="175"/>
        <v>3</v>
      </c>
    </row>
    <row r="3559" spans="1:6" x14ac:dyDescent="0.35">
      <c r="A3559">
        <f t="shared" si="177"/>
        <v>0</v>
      </c>
      <c r="B3559" t="str">
        <f t="shared" si="176"/>
        <v>Q2</v>
      </c>
      <c r="C3559" s="14" t="s">
        <v>143</v>
      </c>
      <c r="D3559" s="18">
        <f>VLOOKUP(C3559,'DISTRIBUIÇÃO NF4267'!$E$3:$FQ$75,MATCH(B3559,'DISTRIBUIÇÃO NF4267'!$E$3:$FQ$3,0)+1,0)</f>
        <v>0</v>
      </c>
      <c r="F3559" s="28">
        <f t="shared" si="175"/>
        <v>3</v>
      </c>
    </row>
    <row r="3560" spans="1:6" x14ac:dyDescent="0.35">
      <c r="A3560">
        <f t="shared" si="177"/>
        <v>0</v>
      </c>
      <c r="B3560" t="str">
        <f t="shared" si="176"/>
        <v>Q2</v>
      </c>
      <c r="C3560" s="15" t="s">
        <v>145</v>
      </c>
      <c r="D3560" s="18">
        <f>VLOOKUP(C3560,'DISTRIBUIÇÃO NF4267'!$E$3:$FQ$75,MATCH(B3560,'DISTRIBUIÇÃO NF4267'!$E$3:$FQ$3,0)+1,0)</f>
        <v>0</v>
      </c>
      <c r="F3560" s="28">
        <f t="shared" si="175"/>
        <v>3</v>
      </c>
    </row>
    <row r="3561" spans="1:6" x14ac:dyDescent="0.35">
      <c r="A3561">
        <f t="shared" si="177"/>
        <v>0</v>
      </c>
      <c r="B3561" t="str">
        <f t="shared" si="176"/>
        <v>Q2</v>
      </c>
      <c r="C3561" s="15" t="s">
        <v>146</v>
      </c>
      <c r="D3561" s="18">
        <f>VLOOKUP(C3561,'DISTRIBUIÇÃO NF4267'!$E$3:$FQ$75,MATCH(B3561,'DISTRIBUIÇÃO NF4267'!$E$3:$FQ$3,0)+1,0)</f>
        <v>2</v>
      </c>
      <c r="F3561" s="28">
        <f t="shared" si="175"/>
        <v>3</v>
      </c>
    </row>
    <row r="3562" spans="1:6" x14ac:dyDescent="0.35">
      <c r="A3562">
        <f t="shared" si="177"/>
        <v>0</v>
      </c>
      <c r="B3562" t="str">
        <f t="shared" si="176"/>
        <v>Q2</v>
      </c>
      <c r="C3562" s="15" t="s">
        <v>147</v>
      </c>
      <c r="D3562" s="18">
        <f>VLOOKUP(C3562,'DISTRIBUIÇÃO NF4267'!$E$3:$FQ$75,MATCH(B3562,'DISTRIBUIÇÃO NF4267'!$E$3:$FQ$3,0)+1,0)</f>
        <v>4</v>
      </c>
      <c r="F3562" s="28">
        <f t="shared" si="175"/>
        <v>3</v>
      </c>
    </row>
    <row r="3563" spans="1:6" x14ac:dyDescent="0.35">
      <c r="A3563">
        <f t="shared" si="177"/>
        <v>0</v>
      </c>
      <c r="B3563" t="str">
        <f t="shared" si="176"/>
        <v>Q2</v>
      </c>
      <c r="C3563" s="15" t="s">
        <v>148</v>
      </c>
      <c r="D3563" s="18">
        <f>VLOOKUP(C3563,'DISTRIBUIÇÃO NF4267'!$E$3:$FQ$75,MATCH(B3563,'DISTRIBUIÇÃO NF4267'!$E$3:$FQ$3,0)+1,0)</f>
        <v>2</v>
      </c>
      <c r="F3563" s="28">
        <f t="shared" si="175"/>
        <v>3</v>
      </c>
    </row>
    <row r="3564" spans="1:6" x14ac:dyDescent="0.35">
      <c r="A3564">
        <f t="shared" si="177"/>
        <v>0</v>
      </c>
      <c r="B3564" t="str">
        <f t="shared" si="176"/>
        <v>Q2</v>
      </c>
      <c r="C3564" s="15" t="s">
        <v>149</v>
      </c>
      <c r="D3564" s="18">
        <f>VLOOKUP(C3564,'DISTRIBUIÇÃO NF4267'!$E$3:$FQ$75,MATCH(B3564,'DISTRIBUIÇÃO NF4267'!$E$3:$FQ$3,0)+1,0)</f>
        <v>2</v>
      </c>
      <c r="F3564" s="28">
        <f t="shared" si="175"/>
        <v>3</v>
      </c>
    </row>
    <row r="3565" spans="1:6" x14ac:dyDescent="0.35">
      <c r="A3565">
        <f t="shared" si="177"/>
        <v>0</v>
      </c>
      <c r="B3565" t="str">
        <f t="shared" si="176"/>
        <v>Q2</v>
      </c>
      <c r="C3565" s="15" t="s">
        <v>150</v>
      </c>
      <c r="D3565" s="18">
        <f>VLOOKUP(C3565,'DISTRIBUIÇÃO NF4267'!$E$3:$FQ$75,MATCH(B3565,'DISTRIBUIÇÃO NF4267'!$E$3:$FQ$3,0)+1,0)</f>
        <v>0</v>
      </c>
      <c r="F3565" s="28">
        <f t="shared" si="175"/>
        <v>3</v>
      </c>
    </row>
    <row r="3566" spans="1:6" x14ac:dyDescent="0.35">
      <c r="A3566">
        <f t="shared" si="177"/>
        <v>0</v>
      </c>
      <c r="B3566" t="s">
        <v>75</v>
      </c>
      <c r="C3566" s="7" t="s">
        <v>98</v>
      </c>
      <c r="D3566" s="18">
        <f>VLOOKUP(C3566,'DISTRIBUIÇÃO NF4267'!$E$3:$FQ$75,MATCH(B3566,'DISTRIBUIÇÃO NF4267'!$E$3:$FQ$3,0)+1,0)</f>
        <v>0</v>
      </c>
      <c r="F3566" s="28">
        <f t="shared" si="175"/>
        <v>3</v>
      </c>
    </row>
    <row r="3567" spans="1:6" x14ac:dyDescent="0.35">
      <c r="A3567">
        <f t="shared" si="177"/>
        <v>0</v>
      </c>
      <c r="B3567" t="str">
        <f>B3566</f>
        <v>S5</v>
      </c>
      <c r="C3567" s="7" t="s">
        <v>99</v>
      </c>
      <c r="D3567" s="18">
        <f>VLOOKUP(C3567,'DISTRIBUIÇÃO NF4267'!$E$3:$FQ$75,MATCH(B3567,'DISTRIBUIÇÃO NF4267'!$E$3:$FQ$3,0)+1,0)</f>
        <v>4</v>
      </c>
      <c r="F3567" s="28">
        <f t="shared" si="175"/>
        <v>3</v>
      </c>
    </row>
    <row r="3568" spans="1:6" x14ac:dyDescent="0.35">
      <c r="A3568">
        <f t="shared" si="177"/>
        <v>0</v>
      </c>
      <c r="B3568" t="str">
        <f t="shared" ref="B3568:B3619" si="178">B3567</f>
        <v>S5</v>
      </c>
      <c r="C3568" s="7" t="s">
        <v>100</v>
      </c>
      <c r="D3568" s="18">
        <f>VLOOKUP(C3568,'DISTRIBUIÇÃO NF4267'!$E$3:$FQ$75,MATCH(B3568,'DISTRIBUIÇÃO NF4267'!$E$3:$FQ$3,0)+1,0)</f>
        <v>8</v>
      </c>
      <c r="F3568" s="28">
        <f t="shared" si="175"/>
        <v>3</v>
      </c>
    </row>
    <row r="3569" spans="1:6" x14ac:dyDescent="0.35">
      <c r="A3569">
        <f t="shared" si="177"/>
        <v>0</v>
      </c>
      <c r="B3569" t="str">
        <f t="shared" si="178"/>
        <v>S5</v>
      </c>
      <c r="C3569" s="7" t="s">
        <v>101</v>
      </c>
      <c r="D3569" s="18">
        <f>VLOOKUP(C3569,'DISTRIBUIÇÃO NF4267'!$E$3:$FQ$75,MATCH(B3569,'DISTRIBUIÇÃO NF4267'!$E$3:$FQ$3,0)+1,0)</f>
        <v>4</v>
      </c>
      <c r="F3569" s="28">
        <f t="shared" si="175"/>
        <v>3</v>
      </c>
    </row>
    <row r="3570" spans="1:6" x14ac:dyDescent="0.35">
      <c r="A3570">
        <f t="shared" si="177"/>
        <v>0</v>
      </c>
      <c r="B3570" t="str">
        <f t="shared" si="178"/>
        <v>S5</v>
      </c>
      <c r="C3570" s="7" t="s">
        <v>102</v>
      </c>
      <c r="D3570" s="18">
        <f>VLOOKUP(C3570,'DISTRIBUIÇÃO NF4267'!$E$3:$FQ$75,MATCH(B3570,'DISTRIBUIÇÃO NF4267'!$E$3:$FQ$3,0)+1,0)</f>
        <v>4</v>
      </c>
      <c r="F3570" s="28">
        <f t="shared" si="175"/>
        <v>3</v>
      </c>
    </row>
    <row r="3571" spans="1:6" x14ac:dyDescent="0.35">
      <c r="A3571">
        <f t="shared" si="177"/>
        <v>0</v>
      </c>
      <c r="B3571" t="str">
        <f t="shared" si="178"/>
        <v>S5</v>
      </c>
      <c r="C3571" s="7" t="s">
        <v>103</v>
      </c>
      <c r="D3571" s="18">
        <f>VLOOKUP(C3571,'DISTRIBUIÇÃO NF4267'!$E$3:$FQ$75,MATCH(B3571,'DISTRIBUIÇÃO NF4267'!$E$3:$FQ$3,0)+1,0)</f>
        <v>0</v>
      </c>
      <c r="F3571" s="28">
        <f t="shared" si="175"/>
        <v>3</v>
      </c>
    </row>
    <row r="3572" spans="1:6" x14ac:dyDescent="0.35">
      <c r="A3572">
        <f t="shared" si="177"/>
        <v>0</v>
      </c>
      <c r="B3572" t="str">
        <f t="shared" si="178"/>
        <v>S5</v>
      </c>
      <c r="C3572" s="8" t="s">
        <v>107</v>
      </c>
      <c r="D3572" s="18">
        <f>VLOOKUP(C3572,'DISTRIBUIÇÃO NF4267'!$E$3:$FQ$75,MATCH(B3572,'DISTRIBUIÇÃO NF4267'!$E$3:$FQ$3,0)+1,0)</f>
        <v>0</v>
      </c>
      <c r="F3572" s="28">
        <f t="shared" si="175"/>
        <v>3</v>
      </c>
    </row>
    <row r="3573" spans="1:6" x14ac:dyDescent="0.35">
      <c r="A3573">
        <f t="shared" si="177"/>
        <v>0</v>
      </c>
      <c r="B3573" t="str">
        <f t="shared" si="178"/>
        <v>S5</v>
      </c>
      <c r="C3573" s="8" t="s">
        <v>108</v>
      </c>
      <c r="D3573" s="18">
        <f>VLOOKUP(C3573,'DISTRIBUIÇÃO NF4267'!$E$3:$FQ$75,MATCH(B3573,'DISTRIBUIÇÃO NF4267'!$E$3:$FQ$3,0)+1,0)</f>
        <v>2</v>
      </c>
      <c r="F3573" s="28">
        <f t="shared" si="175"/>
        <v>3</v>
      </c>
    </row>
    <row r="3574" spans="1:6" x14ac:dyDescent="0.35">
      <c r="A3574">
        <f t="shared" si="177"/>
        <v>0</v>
      </c>
      <c r="B3574" t="str">
        <f t="shared" si="178"/>
        <v>S5</v>
      </c>
      <c r="C3574" s="8" t="s">
        <v>109</v>
      </c>
      <c r="D3574" s="18">
        <f>VLOOKUP(C3574,'DISTRIBUIÇÃO NF4267'!$E$3:$FQ$75,MATCH(B3574,'DISTRIBUIÇÃO NF4267'!$E$3:$FQ$3,0)+1,0)</f>
        <v>4</v>
      </c>
      <c r="F3574" s="28">
        <f t="shared" si="175"/>
        <v>3</v>
      </c>
    </row>
    <row r="3575" spans="1:6" x14ac:dyDescent="0.35">
      <c r="A3575">
        <f t="shared" si="177"/>
        <v>0</v>
      </c>
      <c r="B3575" t="str">
        <f t="shared" si="178"/>
        <v>S5</v>
      </c>
      <c r="C3575" s="8" t="s">
        <v>110</v>
      </c>
      <c r="D3575" s="18">
        <f>VLOOKUP(C3575,'DISTRIBUIÇÃO NF4267'!$E$3:$FQ$75,MATCH(B3575,'DISTRIBUIÇÃO NF4267'!$E$3:$FQ$3,0)+1,0)</f>
        <v>2</v>
      </c>
      <c r="F3575" s="28">
        <f t="shared" si="175"/>
        <v>3</v>
      </c>
    </row>
    <row r="3576" spans="1:6" x14ac:dyDescent="0.35">
      <c r="A3576">
        <f t="shared" si="177"/>
        <v>0</v>
      </c>
      <c r="B3576" t="str">
        <f t="shared" si="178"/>
        <v>S5</v>
      </c>
      <c r="C3576" s="8" t="s">
        <v>111</v>
      </c>
      <c r="D3576" s="18">
        <f>VLOOKUP(C3576,'DISTRIBUIÇÃO NF4267'!$E$3:$FQ$75,MATCH(B3576,'DISTRIBUIÇÃO NF4267'!$E$3:$FQ$3,0)+1,0)</f>
        <v>2</v>
      </c>
      <c r="F3576" s="28">
        <f t="shared" ref="F3576:F3639" si="179">ROUNDUP(SUMIFS(D:D,B:B,B3576)/80,0)</f>
        <v>3</v>
      </c>
    </row>
    <row r="3577" spans="1:6" x14ac:dyDescent="0.35">
      <c r="A3577">
        <f t="shared" si="177"/>
        <v>0</v>
      </c>
      <c r="B3577" t="str">
        <f t="shared" si="178"/>
        <v>S5</v>
      </c>
      <c r="C3577" s="8" t="s">
        <v>112</v>
      </c>
      <c r="D3577" s="18">
        <f>VLOOKUP(C3577,'DISTRIBUIÇÃO NF4267'!$E$3:$FQ$75,MATCH(B3577,'DISTRIBUIÇÃO NF4267'!$E$3:$FQ$3,0)+1,0)</f>
        <v>0</v>
      </c>
      <c r="F3577" s="28">
        <f t="shared" si="179"/>
        <v>3</v>
      </c>
    </row>
    <row r="3578" spans="1:6" x14ac:dyDescent="0.35">
      <c r="A3578">
        <f t="shared" si="177"/>
        <v>0</v>
      </c>
      <c r="B3578" t="str">
        <f t="shared" si="178"/>
        <v>S5</v>
      </c>
      <c r="C3578" s="9" t="s">
        <v>113</v>
      </c>
      <c r="D3578" s="18">
        <f>VLOOKUP(C3578,'DISTRIBUIÇÃO NF4267'!$E$3:$FQ$75,MATCH(B3578,'DISTRIBUIÇÃO NF4267'!$E$3:$FQ$3,0)+1,0)</f>
        <v>0</v>
      </c>
      <c r="F3578" s="28">
        <f t="shared" si="179"/>
        <v>3</v>
      </c>
    </row>
    <row r="3579" spans="1:6" x14ac:dyDescent="0.35">
      <c r="A3579">
        <f t="shared" si="177"/>
        <v>0</v>
      </c>
      <c r="B3579" t="str">
        <f t="shared" si="178"/>
        <v>S5</v>
      </c>
      <c r="C3579" s="9" t="s">
        <v>114</v>
      </c>
      <c r="D3579" s="18">
        <f>VLOOKUP(C3579,'DISTRIBUIÇÃO NF4267'!$E$3:$FQ$75,MATCH(B3579,'DISTRIBUIÇÃO NF4267'!$E$3:$FQ$3,0)+1,0)</f>
        <v>3</v>
      </c>
      <c r="F3579" s="28">
        <f t="shared" si="179"/>
        <v>3</v>
      </c>
    </row>
    <row r="3580" spans="1:6" x14ac:dyDescent="0.35">
      <c r="A3580">
        <f t="shared" si="177"/>
        <v>0</v>
      </c>
      <c r="B3580" t="str">
        <f t="shared" si="178"/>
        <v>S5</v>
      </c>
      <c r="C3580" s="9" t="s">
        <v>115</v>
      </c>
      <c r="D3580" s="18">
        <f>VLOOKUP(C3580,'DISTRIBUIÇÃO NF4267'!$E$3:$FQ$75,MATCH(B3580,'DISTRIBUIÇÃO NF4267'!$E$3:$FQ$3,0)+1,0)</f>
        <v>4</v>
      </c>
      <c r="F3580" s="28">
        <f t="shared" si="179"/>
        <v>3</v>
      </c>
    </row>
    <row r="3581" spans="1:6" x14ac:dyDescent="0.35">
      <c r="A3581">
        <f t="shared" si="177"/>
        <v>0</v>
      </c>
      <c r="B3581" t="str">
        <f t="shared" si="178"/>
        <v>S5</v>
      </c>
      <c r="C3581" s="9" t="s">
        <v>116</v>
      </c>
      <c r="D3581" s="18">
        <f>VLOOKUP(C3581,'DISTRIBUIÇÃO NF4267'!$E$3:$FQ$75,MATCH(B3581,'DISTRIBUIÇÃO NF4267'!$E$3:$FQ$3,0)+1,0)</f>
        <v>2</v>
      </c>
      <c r="F3581" s="28">
        <f t="shared" si="179"/>
        <v>3</v>
      </c>
    </row>
    <row r="3582" spans="1:6" x14ac:dyDescent="0.35">
      <c r="A3582">
        <f t="shared" si="177"/>
        <v>0</v>
      </c>
      <c r="B3582" t="str">
        <f t="shared" si="178"/>
        <v>S5</v>
      </c>
      <c r="C3582" s="9" t="s">
        <v>117</v>
      </c>
      <c r="D3582" s="18">
        <f>VLOOKUP(C3582,'DISTRIBUIÇÃO NF4267'!$E$3:$FQ$75,MATCH(B3582,'DISTRIBUIÇÃO NF4267'!$E$3:$FQ$3,0)+1,0)</f>
        <v>1</v>
      </c>
      <c r="F3582" s="28">
        <f t="shared" si="179"/>
        <v>3</v>
      </c>
    </row>
    <row r="3583" spans="1:6" x14ac:dyDescent="0.35">
      <c r="A3583">
        <f t="shared" si="177"/>
        <v>0</v>
      </c>
      <c r="B3583" t="str">
        <f t="shared" si="178"/>
        <v>S5</v>
      </c>
      <c r="C3583" s="9" t="s">
        <v>118</v>
      </c>
      <c r="D3583" s="18">
        <f>VLOOKUP(C3583,'DISTRIBUIÇÃO NF4267'!$E$3:$FQ$75,MATCH(B3583,'DISTRIBUIÇÃO NF4267'!$E$3:$FQ$3,0)+1,0)</f>
        <v>0</v>
      </c>
      <c r="F3583" s="28">
        <f t="shared" si="179"/>
        <v>3</v>
      </c>
    </row>
    <row r="3584" spans="1:6" x14ac:dyDescent="0.35">
      <c r="A3584">
        <f t="shared" si="177"/>
        <v>0</v>
      </c>
      <c r="B3584" t="str">
        <f t="shared" si="178"/>
        <v>S5</v>
      </c>
      <c r="C3584" s="10" t="s">
        <v>119</v>
      </c>
      <c r="D3584" s="18">
        <f>VLOOKUP(C3584,'DISTRIBUIÇÃO NF4267'!$E$3:$FQ$75,MATCH(B3584,'DISTRIBUIÇÃO NF4267'!$E$3:$FQ$3,0)+1,0)</f>
        <v>0</v>
      </c>
      <c r="F3584" s="28">
        <f t="shared" si="179"/>
        <v>3</v>
      </c>
    </row>
    <row r="3585" spans="1:6" x14ac:dyDescent="0.35">
      <c r="A3585">
        <f t="shared" si="177"/>
        <v>0</v>
      </c>
      <c r="B3585" t="str">
        <f t="shared" si="178"/>
        <v>S5</v>
      </c>
      <c r="C3585" s="10" t="s">
        <v>120</v>
      </c>
      <c r="D3585" s="18">
        <f>VLOOKUP(C3585,'DISTRIBUIÇÃO NF4267'!$E$3:$FQ$75,MATCH(B3585,'DISTRIBUIÇÃO NF4267'!$E$3:$FQ$3,0)+1,0)</f>
        <v>48</v>
      </c>
      <c r="F3585" s="28">
        <f t="shared" si="179"/>
        <v>3</v>
      </c>
    </row>
    <row r="3586" spans="1:6" x14ac:dyDescent="0.35">
      <c r="A3586">
        <f t="shared" ref="A3586:A3649" si="180">IF(ISERROR(VLOOKUP(C3586,I:I,1,0)),0,1)</f>
        <v>0</v>
      </c>
      <c r="B3586" t="str">
        <f t="shared" si="178"/>
        <v>S5</v>
      </c>
      <c r="C3586" s="10" t="s">
        <v>121</v>
      </c>
      <c r="D3586" s="18">
        <f>VLOOKUP(C3586,'DISTRIBUIÇÃO NF4267'!$E$3:$FQ$75,MATCH(B3586,'DISTRIBUIÇÃO NF4267'!$E$3:$FQ$3,0)+1,0)</f>
        <v>16</v>
      </c>
      <c r="F3586" s="28">
        <f t="shared" si="179"/>
        <v>3</v>
      </c>
    </row>
    <row r="3587" spans="1:6" x14ac:dyDescent="0.35">
      <c r="A3587">
        <f t="shared" si="180"/>
        <v>0</v>
      </c>
      <c r="B3587" t="str">
        <f t="shared" si="178"/>
        <v>S5</v>
      </c>
      <c r="C3587" s="10" t="s">
        <v>122</v>
      </c>
      <c r="D3587" s="18">
        <f>VLOOKUP(C3587,'DISTRIBUIÇÃO NF4267'!$E$3:$FQ$75,MATCH(B3587,'DISTRIBUIÇÃO NF4267'!$E$3:$FQ$3,0)+1,0)</f>
        <v>16</v>
      </c>
      <c r="F3587" s="28">
        <f t="shared" si="179"/>
        <v>3</v>
      </c>
    </row>
    <row r="3588" spans="1:6" x14ac:dyDescent="0.35">
      <c r="A3588">
        <f t="shared" si="180"/>
        <v>0</v>
      </c>
      <c r="B3588" t="str">
        <f t="shared" si="178"/>
        <v>S5</v>
      </c>
      <c r="C3588" s="10" t="s">
        <v>123</v>
      </c>
      <c r="D3588" s="18">
        <f>VLOOKUP(C3588,'DISTRIBUIÇÃO NF4267'!$E$3:$FQ$75,MATCH(B3588,'DISTRIBUIÇÃO NF4267'!$E$3:$FQ$3,0)+1,0)</f>
        <v>0</v>
      </c>
      <c r="F3588" s="28">
        <f t="shared" si="179"/>
        <v>3</v>
      </c>
    </row>
    <row r="3589" spans="1:6" x14ac:dyDescent="0.35">
      <c r="A3589">
        <f t="shared" si="180"/>
        <v>0</v>
      </c>
      <c r="B3589" t="str">
        <f t="shared" si="178"/>
        <v>S5</v>
      </c>
      <c r="C3589" s="10" t="s">
        <v>124</v>
      </c>
      <c r="D3589" s="18">
        <f>VLOOKUP(C3589,'DISTRIBUIÇÃO NF4267'!$E$3:$FQ$75,MATCH(B3589,'DISTRIBUIÇÃO NF4267'!$E$3:$FQ$3,0)+1,0)</f>
        <v>0</v>
      </c>
      <c r="F3589" s="28">
        <f t="shared" si="179"/>
        <v>3</v>
      </c>
    </row>
    <row r="3590" spans="1:6" x14ac:dyDescent="0.35">
      <c r="A3590">
        <f t="shared" si="180"/>
        <v>0</v>
      </c>
      <c r="B3590" t="str">
        <f t="shared" si="178"/>
        <v>S5</v>
      </c>
      <c r="C3590" s="11" t="s">
        <v>16</v>
      </c>
      <c r="D3590" s="18">
        <f>VLOOKUP(C3590,'DISTRIBUIÇÃO NF4267'!$E$3:$FQ$75,MATCH(B3590,'DISTRIBUIÇÃO NF4267'!$E$3:$FQ$3,0)+1,0)</f>
        <v>0</v>
      </c>
      <c r="F3590" s="28">
        <f t="shared" si="179"/>
        <v>3</v>
      </c>
    </row>
    <row r="3591" spans="1:6" x14ac:dyDescent="0.35">
      <c r="A3591">
        <f t="shared" si="180"/>
        <v>0</v>
      </c>
      <c r="B3591" t="str">
        <f t="shared" si="178"/>
        <v>S5</v>
      </c>
      <c r="C3591" s="11" t="s">
        <v>17</v>
      </c>
      <c r="D3591" s="18">
        <f>VLOOKUP(C3591,'DISTRIBUIÇÃO NF4267'!$E$3:$FQ$75,MATCH(B3591,'DISTRIBUIÇÃO NF4267'!$E$3:$FQ$3,0)+1,0)</f>
        <v>9</v>
      </c>
      <c r="F3591" s="28">
        <f t="shared" si="179"/>
        <v>3</v>
      </c>
    </row>
    <row r="3592" spans="1:6" x14ac:dyDescent="0.35">
      <c r="A3592">
        <f t="shared" si="180"/>
        <v>0</v>
      </c>
      <c r="B3592" t="str">
        <f t="shared" si="178"/>
        <v>S5</v>
      </c>
      <c r="C3592" s="11" t="s">
        <v>18</v>
      </c>
      <c r="D3592" s="18">
        <f>VLOOKUP(C3592,'DISTRIBUIÇÃO NF4267'!$E$3:$FQ$75,MATCH(B3592,'DISTRIBUIÇÃO NF4267'!$E$3:$FQ$3,0)+1,0)</f>
        <v>3</v>
      </c>
      <c r="F3592" s="28">
        <f t="shared" si="179"/>
        <v>3</v>
      </c>
    </row>
    <row r="3593" spans="1:6" x14ac:dyDescent="0.35">
      <c r="A3593">
        <f t="shared" si="180"/>
        <v>0</v>
      </c>
      <c r="B3593" t="str">
        <f t="shared" si="178"/>
        <v>S5</v>
      </c>
      <c r="C3593" s="11" t="s">
        <v>19</v>
      </c>
      <c r="D3593" s="18">
        <f>VLOOKUP(C3593,'DISTRIBUIÇÃO NF4267'!$E$3:$FQ$75,MATCH(B3593,'DISTRIBUIÇÃO NF4267'!$E$3:$FQ$3,0)+1,0)</f>
        <v>3</v>
      </c>
      <c r="F3593" s="28">
        <f t="shared" si="179"/>
        <v>3</v>
      </c>
    </row>
    <row r="3594" spans="1:6" x14ac:dyDescent="0.35">
      <c r="A3594">
        <f t="shared" si="180"/>
        <v>0</v>
      </c>
      <c r="B3594" t="str">
        <f t="shared" si="178"/>
        <v>S5</v>
      </c>
      <c r="C3594" s="11" t="s">
        <v>20</v>
      </c>
      <c r="D3594" s="18">
        <f>VLOOKUP(C3594,'DISTRIBUIÇÃO NF4267'!$E$3:$FQ$75,MATCH(B3594,'DISTRIBUIÇÃO NF4267'!$E$3:$FQ$3,0)+1,0)</f>
        <v>15</v>
      </c>
      <c r="F3594" s="28">
        <f t="shared" si="179"/>
        <v>3</v>
      </c>
    </row>
    <row r="3595" spans="1:6" x14ac:dyDescent="0.35">
      <c r="A3595">
        <f t="shared" si="180"/>
        <v>0</v>
      </c>
      <c r="B3595" t="str">
        <f t="shared" si="178"/>
        <v>S5</v>
      </c>
      <c r="C3595" s="11" t="s">
        <v>21</v>
      </c>
      <c r="D3595" s="18">
        <f>VLOOKUP(C3595,'DISTRIBUIÇÃO NF4267'!$E$3:$FQ$75,MATCH(B3595,'DISTRIBUIÇÃO NF4267'!$E$3:$FQ$3,0)+1,0)</f>
        <v>0</v>
      </c>
      <c r="F3595" s="28">
        <f t="shared" si="179"/>
        <v>3</v>
      </c>
    </row>
    <row r="3596" spans="1:6" x14ac:dyDescent="0.35">
      <c r="A3596">
        <f t="shared" si="180"/>
        <v>0</v>
      </c>
      <c r="B3596" t="str">
        <f t="shared" si="178"/>
        <v>S5</v>
      </c>
      <c r="C3596" s="12" t="s">
        <v>130</v>
      </c>
      <c r="D3596" s="18">
        <f>VLOOKUP(C3596,'DISTRIBUIÇÃO NF4267'!$E$3:$FQ$75,MATCH(B3596,'DISTRIBUIÇÃO NF4267'!$E$3:$FQ$3,0)+1,0)</f>
        <v>0</v>
      </c>
      <c r="F3596" s="28">
        <f t="shared" si="179"/>
        <v>3</v>
      </c>
    </row>
    <row r="3597" spans="1:6" x14ac:dyDescent="0.35">
      <c r="A3597">
        <f t="shared" si="180"/>
        <v>0</v>
      </c>
      <c r="B3597" t="str">
        <f t="shared" si="178"/>
        <v>S5</v>
      </c>
      <c r="C3597" s="12" t="s">
        <v>131</v>
      </c>
      <c r="D3597" s="18">
        <f>VLOOKUP(C3597,'DISTRIBUIÇÃO NF4267'!$E$3:$FQ$75,MATCH(B3597,'DISTRIBUIÇÃO NF4267'!$E$3:$FQ$3,0)+1,0)</f>
        <v>0</v>
      </c>
      <c r="F3597" s="28">
        <f t="shared" si="179"/>
        <v>3</v>
      </c>
    </row>
    <row r="3598" spans="1:6" x14ac:dyDescent="0.35">
      <c r="A3598">
        <f t="shared" si="180"/>
        <v>0</v>
      </c>
      <c r="B3598" t="str">
        <f t="shared" si="178"/>
        <v>S5</v>
      </c>
      <c r="C3598" s="12" t="s">
        <v>132</v>
      </c>
      <c r="D3598" s="18">
        <f>VLOOKUP(C3598,'DISTRIBUIÇÃO NF4267'!$E$3:$FQ$75,MATCH(B3598,'DISTRIBUIÇÃO NF4267'!$E$3:$FQ$3,0)+1,0)</f>
        <v>0</v>
      </c>
      <c r="F3598" s="28">
        <f t="shared" si="179"/>
        <v>3</v>
      </c>
    </row>
    <row r="3599" spans="1:6" x14ac:dyDescent="0.35">
      <c r="A3599">
        <f t="shared" si="180"/>
        <v>0</v>
      </c>
      <c r="B3599" t="str">
        <f t="shared" si="178"/>
        <v>S5</v>
      </c>
      <c r="C3599" s="12" t="s">
        <v>133</v>
      </c>
      <c r="D3599" s="18">
        <f>VLOOKUP(C3599,'DISTRIBUIÇÃO NF4267'!$E$3:$FQ$75,MATCH(B3599,'DISTRIBUIÇÃO NF4267'!$E$3:$FQ$3,0)+1,0)</f>
        <v>0</v>
      </c>
      <c r="F3599" s="28">
        <f t="shared" si="179"/>
        <v>3</v>
      </c>
    </row>
    <row r="3600" spans="1:6" x14ac:dyDescent="0.35">
      <c r="A3600">
        <f t="shared" si="180"/>
        <v>0</v>
      </c>
      <c r="B3600" t="str">
        <f t="shared" si="178"/>
        <v>S5</v>
      </c>
      <c r="C3600" s="12" t="s">
        <v>134</v>
      </c>
      <c r="D3600" s="18">
        <f>VLOOKUP(C3600,'DISTRIBUIÇÃO NF4267'!$E$3:$FQ$75,MATCH(B3600,'DISTRIBUIÇÃO NF4267'!$E$3:$FQ$3,0)+1,0)</f>
        <v>0</v>
      </c>
      <c r="F3600" s="28">
        <f t="shared" si="179"/>
        <v>3</v>
      </c>
    </row>
    <row r="3601" spans="1:6" x14ac:dyDescent="0.35">
      <c r="A3601">
        <f t="shared" si="180"/>
        <v>0</v>
      </c>
      <c r="B3601" t="str">
        <f t="shared" si="178"/>
        <v>S5</v>
      </c>
      <c r="C3601" s="12" t="s">
        <v>135</v>
      </c>
      <c r="D3601" s="18">
        <f>VLOOKUP(C3601,'DISTRIBUIÇÃO NF4267'!$E$3:$FQ$75,MATCH(B3601,'DISTRIBUIÇÃO NF4267'!$E$3:$FQ$3,0)+1,0)</f>
        <v>0</v>
      </c>
      <c r="F3601" s="28">
        <f t="shared" si="179"/>
        <v>3</v>
      </c>
    </row>
    <row r="3602" spans="1:6" x14ac:dyDescent="0.35">
      <c r="A3602">
        <f t="shared" si="180"/>
        <v>0</v>
      </c>
      <c r="B3602" t="str">
        <f t="shared" si="178"/>
        <v>S5</v>
      </c>
      <c r="C3602" s="13" t="s">
        <v>22</v>
      </c>
      <c r="D3602" s="18">
        <f>VLOOKUP(C3602,'DISTRIBUIÇÃO NF4267'!$E$3:$FQ$75,MATCH(B3602,'DISTRIBUIÇÃO NF4267'!$E$3:$FQ$3,0)+1,0)</f>
        <v>0</v>
      </c>
      <c r="F3602" s="28">
        <f t="shared" si="179"/>
        <v>3</v>
      </c>
    </row>
    <row r="3603" spans="1:6" x14ac:dyDescent="0.35">
      <c r="A3603">
        <f t="shared" si="180"/>
        <v>0</v>
      </c>
      <c r="B3603" t="str">
        <f t="shared" si="178"/>
        <v>S5</v>
      </c>
      <c r="C3603" s="13" t="s">
        <v>23</v>
      </c>
      <c r="D3603" s="18">
        <f>VLOOKUP(C3603,'DISTRIBUIÇÃO NF4267'!$E$3:$FQ$75,MATCH(B3603,'DISTRIBUIÇÃO NF4267'!$E$3:$FQ$3,0)+1,0)</f>
        <v>0</v>
      </c>
      <c r="F3603" s="28">
        <f t="shared" si="179"/>
        <v>3</v>
      </c>
    </row>
    <row r="3604" spans="1:6" x14ac:dyDescent="0.35">
      <c r="A3604">
        <f t="shared" si="180"/>
        <v>0</v>
      </c>
      <c r="B3604" t="str">
        <f t="shared" si="178"/>
        <v>S5</v>
      </c>
      <c r="C3604" s="13" t="s">
        <v>24</v>
      </c>
      <c r="D3604" s="18">
        <f>VLOOKUP(C3604,'DISTRIBUIÇÃO NF4267'!$E$3:$FQ$75,MATCH(B3604,'DISTRIBUIÇÃO NF4267'!$E$3:$FQ$3,0)+1,0)</f>
        <v>0</v>
      </c>
      <c r="F3604" s="28">
        <f t="shared" si="179"/>
        <v>3</v>
      </c>
    </row>
    <row r="3605" spans="1:6" x14ac:dyDescent="0.35">
      <c r="A3605">
        <f t="shared" si="180"/>
        <v>0</v>
      </c>
      <c r="B3605" t="str">
        <f t="shared" si="178"/>
        <v>S5</v>
      </c>
      <c r="C3605" s="13" t="s">
        <v>25</v>
      </c>
      <c r="D3605" s="18">
        <f>VLOOKUP(C3605,'DISTRIBUIÇÃO NF4267'!$E$3:$FQ$75,MATCH(B3605,'DISTRIBUIÇÃO NF4267'!$E$3:$FQ$3,0)+1,0)</f>
        <v>0</v>
      </c>
      <c r="F3605" s="28">
        <f t="shared" si="179"/>
        <v>3</v>
      </c>
    </row>
    <row r="3606" spans="1:6" x14ac:dyDescent="0.35">
      <c r="A3606">
        <f t="shared" si="180"/>
        <v>0</v>
      </c>
      <c r="B3606" t="str">
        <f t="shared" si="178"/>
        <v>S5</v>
      </c>
      <c r="C3606" s="13" t="s">
        <v>26</v>
      </c>
      <c r="D3606" s="18">
        <f>VLOOKUP(C3606,'DISTRIBUIÇÃO NF4267'!$E$3:$FQ$75,MATCH(B3606,'DISTRIBUIÇÃO NF4267'!$E$3:$FQ$3,0)+1,0)</f>
        <v>0</v>
      </c>
      <c r="F3606" s="28">
        <f t="shared" si="179"/>
        <v>3</v>
      </c>
    </row>
    <row r="3607" spans="1:6" x14ac:dyDescent="0.35">
      <c r="A3607">
        <f t="shared" si="180"/>
        <v>0</v>
      </c>
      <c r="B3607" t="str">
        <f t="shared" si="178"/>
        <v>S5</v>
      </c>
      <c r="C3607" s="13" t="s">
        <v>27</v>
      </c>
      <c r="D3607" s="18">
        <f>VLOOKUP(C3607,'DISTRIBUIÇÃO NF4267'!$E$3:$FQ$75,MATCH(B3607,'DISTRIBUIÇÃO NF4267'!$E$3:$FQ$3,0)+1,0)</f>
        <v>0</v>
      </c>
      <c r="F3607" s="28">
        <f t="shared" si="179"/>
        <v>3</v>
      </c>
    </row>
    <row r="3608" spans="1:6" x14ac:dyDescent="0.35">
      <c r="A3608">
        <f t="shared" si="180"/>
        <v>0</v>
      </c>
      <c r="B3608" t="str">
        <f t="shared" si="178"/>
        <v>S5</v>
      </c>
      <c r="C3608" s="14" t="s">
        <v>138</v>
      </c>
      <c r="D3608" s="18">
        <f>VLOOKUP(C3608,'DISTRIBUIÇÃO NF4267'!$E$3:$FQ$75,MATCH(B3608,'DISTRIBUIÇÃO NF4267'!$E$3:$FQ$3,0)+1,0)</f>
        <v>0</v>
      </c>
      <c r="F3608" s="28">
        <f t="shared" si="179"/>
        <v>3</v>
      </c>
    </row>
    <row r="3609" spans="1:6" x14ac:dyDescent="0.35">
      <c r="A3609">
        <f t="shared" si="180"/>
        <v>0</v>
      </c>
      <c r="B3609" t="str">
        <f t="shared" si="178"/>
        <v>S5</v>
      </c>
      <c r="C3609" s="14" t="s">
        <v>139</v>
      </c>
      <c r="D3609" s="18">
        <f>VLOOKUP(C3609,'DISTRIBUIÇÃO NF4267'!$E$3:$FQ$75,MATCH(B3609,'DISTRIBUIÇÃO NF4267'!$E$3:$FQ$3,0)+1,0)</f>
        <v>2</v>
      </c>
      <c r="F3609" s="28">
        <f t="shared" si="179"/>
        <v>3</v>
      </c>
    </row>
    <row r="3610" spans="1:6" x14ac:dyDescent="0.35">
      <c r="A3610">
        <f t="shared" si="180"/>
        <v>0</v>
      </c>
      <c r="B3610" t="str">
        <f t="shared" si="178"/>
        <v>S5</v>
      </c>
      <c r="C3610" s="14" t="s">
        <v>140</v>
      </c>
      <c r="D3610" s="18">
        <f>VLOOKUP(C3610,'DISTRIBUIÇÃO NF4267'!$E$3:$FQ$75,MATCH(B3610,'DISTRIBUIÇÃO NF4267'!$E$3:$FQ$3,0)+1,0)</f>
        <v>4</v>
      </c>
      <c r="F3610" s="28">
        <f t="shared" si="179"/>
        <v>3</v>
      </c>
    </row>
    <row r="3611" spans="1:6" x14ac:dyDescent="0.35">
      <c r="A3611">
        <f t="shared" si="180"/>
        <v>0</v>
      </c>
      <c r="B3611" t="str">
        <f t="shared" si="178"/>
        <v>S5</v>
      </c>
      <c r="C3611" s="14" t="s">
        <v>141</v>
      </c>
      <c r="D3611" s="18">
        <f>VLOOKUP(C3611,'DISTRIBUIÇÃO NF4267'!$E$3:$FQ$75,MATCH(B3611,'DISTRIBUIÇÃO NF4267'!$E$3:$FQ$3,0)+1,0)</f>
        <v>2</v>
      </c>
      <c r="F3611" s="28">
        <f t="shared" si="179"/>
        <v>3</v>
      </c>
    </row>
    <row r="3612" spans="1:6" x14ac:dyDescent="0.35">
      <c r="A3612">
        <f t="shared" si="180"/>
        <v>0</v>
      </c>
      <c r="B3612" t="str">
        <f t="shared" si="178"/>
        <v>S5</v>
      </c>
      <c r="C3612" s="14" t="s">
        <v>142</v>
      </c>
      <c r="D3612" s="18">
        <f>VLOOKUP(C3612,'DISTRIBUIÇÃO NF4267'!$E$3:$FQ$75,MATCH(B3612,'DISTRIBUIÇÃO NF4267'!$E$3:$FQ$3,0)+1,0)</f>
        <v>2</v>
      </c>
      <c r="F3612" s="28">
        <f t="shared" si="179"/>
        <v>3</v>
      </c>
    </row>
    <row r="3613" spans="1:6" x14ac:dyDescent="0.35">
      <c r="A3613">
        <f t="shared" si="180"/>
        <v>0</v>
      </c>
      <c r="B3613" t="str">
        <f t="shared" si="178"/>
        <v>S5</v>
      </c>
      <c r="C3613" s="14" t="s">
        <v>143</v>
      </c>
      <c r="D3613" s="18">
        <f>VLOOKUP(C3613,'DISTRIBUIÇÃO NF4267'!$E$3:$FQ$75,MATCH(B3613,'DISTRIBUIÇÃO NF4267'!$E$3:$FQ$3,0)+1,0)</f>
        <v>0</v>
      </c>
      <c r="F3613" s="28">
        <f t="shared" si="179"/>
        <v>3</v>
      </c>
    </row>
    <row r="3614" spans="1:6" x14ac:dyDescent="0.35">
      <c r="A3614">
        <f t="shared" si="180"/>
        <v>0</v>
      </c>
      <c r="B3614" t="str">
        <f t="shared" si="178"/>
        <v>S5</v>
      </c>
      <c r="C3614" s="15" t="s">
        <v>145</v>
      </c>
      <c r="D3614" s="18">
        <f>VLOOKUP(C3614,'DISTRIBUIÇÃO NF4267'!$E$3:$FQ$75,MATCH(B3614,'DISTRIBUIÇÃO NF4267'!$E$3:$FQ$3,0)+1,0)</f>
        <v>0</v>
      </c>
      <c r="F3614" s="28">
        <f t="shared" si="179"/>
        <v>3</v>
      </c>
    </row>
    <row r="3615" spans="1:6" x14ac:dyDescent="0.35">
      <c r="A3615">
        <f t="shared" si="180"/>
        <v>0</v>
      </c>
      <c r="B3615" t="str">
        <f t="shared" si="178"/>
        <v>S5</v>
      </c>
      <c r="C3615" s="15" t="s">
        <v>146</v>
      </c>
      <c r="D3615" s="18">
        <f>VLOOKUP(C3615,'DISTRIBUIÇÃO NF4267'!$E$3:$FQ$75,MATCH(B3615,'DISTRIBUIÇÃO NF4267'!$E$3:$FQ$3,0)+1,0)</f>
        <v>2</v>
      </c>
      <c r="F3615" s="28">
        <f t="shared" si="179"/>
        <v>3</v>
      </c>
    </row>
    <row r="3616" spans="1:6" x14ac:dyDescent="0.35">
      <c r="A3616">
        <f t="shared" si="180"/>
        <v>0</v>
      </c>
      <c r="B3616" t="str">
        <f t="shared" si="178"/>
        <v>S5</v>
      </c>
      <c r="C3616" s="15" t="s">
        <v>147</v>
      </c>
      <c r="D3616" s="18">
        <f>VLOOKUP(C3616,'DISTRIBUIÇÃO NF4267'!$E$3:$FQ$75,MATCH(B3616,'DISTRIBUIÇÃO NF4267'!$E$3:$FQ$3,0)+1,0)</f>
        <v>4</v>
      </c>
      <c r="F3616" s="28">
        <f t="shared" si="179"/>
        <v>3</v>
      </c>
    </row>
    <row r="3617" spans="1:6" x14ac:dyDescent="0.35">
      <c r="A3617">
        <f t="shared" si="180"/>
        <v>0</v>
      </c>
      <c r="B3617" t="str">
        <f t="shared" si="178"/>
        <v>S5</v>
      </c>
      <c r="C3617" s="15" t="s">
        <v>148</v>
      </c>
      <c r="D3617" s="18">
        <f>VLOOKUP(C3617,'DISTRIBUIÇÃO NF4267'!$E$3:$FQ$75,MATCH(B3617,'DISTRIBUIÇÃO NF4267'!$E$3:$FQ$3,0)+1,0)</f>
        <v>2</v>
      </c>
      <c r="F3617" s="28">
        <f t="shared" si="179"/>
        <v>3</v>
      </c>
    </row>
    <row r="3618" spans="1:6" x14ac:dyDescent="0.35">
      <c r="A3618">
        <f t="shared" si="180"/>
        <v>0</v>
      </c>
      <c r="B3618" t="str">
        <f t="shared" si="178"/>
        <v>S5</v>
      </c>
      <c r="C3618" s="15" t="s">
        <v>149</v>
      </c>
      <c r="D3618" s="18">
        <f>VLOOKUP(C3618,'DISTRIBUIÇÃO NF4267'!$E$3:$FQ$75,MATCH(B3618,'DISTRIBUIÇÃO NF4267'!$E$3:$FQ$3,0)+1,0)</f>
        <v>2</v>
      </c>
      <c r="F3618" s="28">
        <f t="shared" si="179"/>
        <v>3</v>
      </c>
    </row>
    <row r="3619" spans="1:6" x14ac:dyDescent="0.35">
      <c r="A3619">
        <f t="shared" si="180"/>
        <v>0</v>
      </c>
      <c r="B3619" t="str">
        <f t="shared" si="178"/>
        <v>S5</v>
      </c>
      <c r="C3619" s="15" t="s">
        <v>150</v>
      </c>
      <c r="D3619" s="18">
        <f>VLOOKUP(C3619,'DISTRIBUIÇÃO NF4267'!$E$3:$FQ$75,MATCH(B3619,'DISTRIBUIÇÃO NF4267'!$E$3:$FQ$3,0)+1,0)</f>
        <v>0</v>
      </c>
      <c r="F3619" s="28">
        <f t="shared" si="179"/>
        <v>3</v>
      </c>
    </row>
    <row r="3620" spans="1:6" x14ac:dyDescent="0.35">
      <c r="A3620">
        <f t="shared" si="180"/>
        <v>0</v>
      </c>
      <c r="B3620" t="s">
        <v>76</v>
      </c>
      <c r="C3620" s="7" t="s">
        <v>98</v>
      </c>
      <c r="D3620" s="18">
        <f>VLOOKUP(C3620,'DISTRIBUIÇÃO NF4267'!$E$3:$FQ$75,MATCH(B3620,'DISTRIBUIÇÃO NF4267'!$E$3:$FQ$3,0)+1,0)</f>
        <v>0</v>
      </c>
      <c r="F3620" s="28">
        <f t="shared" si="179"/>
        <v>3</v>
      </c>
    </row>
    <row r="3621" spans="1:6" x14ac:dyDescent="0.35">
      <c r="A3621">
        <f t="shared" si="180"/>
        <v>0</v>
      </c>
      <c r="B3621" t="str">
        <f>B3620</f>
        <v>Q3</v>
      </c>
      <c r="C3621" s="7" t="s">
        <v>99</v>
      </c>
      <c r="D3621" s="18">
        <f>VLOOKUP(C3621,'DISTRIBUIÇÃO NF4267'!$E$3:$FQ$75,MATCH(B3621,'DISTRIBUIÇÃO NF4267'!$E$3:$FQ$3,0)+1,0)</f>
        <v>4</v>
      </c>
      <c r="F3621" s="28">
        <f t="shared" si="179"/>
        <v>3</v>
      </c>
    </row>
    <row r="3622" spans="1:6" x14ac:dyDescent="0.35">
      <c r="A3622">
        <f t="shared" si="180"/>
        <v>0</v>
      </c>
      <c r="B3622" t="str">
        <f t="shared" ref="B3622:B3673" si="181">B3621</f>
        <v>Q3</v>
      </c>
      <c r="C3622" s="7" t="s">
        <v>100</v>
      </c>
      <c r="D3622" s="18">
        <f>VLOOKUP(C3622,'DISTRIBUIÇÃO NF4267'!$E$3:$FQ$75,MATCH(B3622,'DISTRIBUIÇÃO NF4267'!$E$3:$FQ$3,0)+1,0)</f>
        <v>8</v>
      </c>
      <c r="F3622" s="28">
        <f t="shared" si="179"/>
        <v>3</v>
      </c>
    </row>
    <row r="3623" spans="1:6" x14ac:dyDescent="0.35">
      <c r="A3623">
        <f t="shared" si="180"/>
        <v>0</v>
      </c>
      <c r="B3623" t="str">
        <f t="shared" si="181"/>
        <v>Q3</v>
      </c>
      <c r="C3623" s="7" t="s">
        <v>101</v>
      </c>
      <c r="D3623" s="18">
        <f>VLOOKUP(C3623,'DISTRIBUIÇÃO NF4267'!$E$3:$FQ$75,MATCH(B3623,'DISTRIBUIÇÃO NF4267'!$E$3:$FQ$3,0)+1,0)</f>
        <v>4</v>
      </c>
      <c r="F3623" s="28">
        <f t="shared" si="179"/>
        <v>3</v>
      </c>
    </row>
    <row r="3624" spans="1:6" x14ac:dyDescent="0.35">
      <c r="A3624">
        <f t="shared" si="180"/>
        <v>0</v>
      </c>
      <c r="B3624" t="str">
        <f t="shared" si="181"/>
        <v>Q3</v>
      </c>
      <c r="C3624" s="7" t="s">
        <v>102</v>
      </c>
      <c r="D3624" s="18">
        <f>VLOOKUP(C3624,'DISTRIBUIÇÃO NF4267'!$E$3:$FQ$75,MATCH(B3624,'DISTRIBUIÇÃO NF4267'!$E$3:$FQ$3,0)+1,0)</f>
        <v>4</v>
      </c>
      <c r="F3624" s="28">
        <f t="shared" si="179"/>
        <v>3</v>
      </c>
    </row>
    <row r="3625" spans="1:6" x14ac:dyDescent="0.35">
      <c r="A3625">
        <f t="shared" si="180"/>
        <v>0</v>
      </c>
      <c r="B3625" t="str">
        <f t="shared" si="181"/>
        <v>Q3</v>
      </c>
      <c r="C3625" s="7" t="s">
        <v>103</v>
      </c>
      <c r="D3625" s="18">
        <f>VLOOKUP(C3625,'DISTRIBUIÇÃO NF4267'!$E$3:$FQ$75,MATCH(B3625,'DISTRIBUIÇÃO NF4267'!$E$3:$FQ$3,0)+1,0)</f>
        <v>0</v>
      </c>
      <c r="F3625" s="28">
        <f t="shared" si="179"/>
        <v>3</v>
      </c>
    </row>
    <row r="3626" spans="1:6" x14ac:dyDescent="0.35">
      <c r="A3626">
        <f t="shared" si="180"/>
        <v>0</v>
      </c>
      <c r="B3626" t="str">
        <f t="shared" si="181"/>
        <v>Q3</v>
      </c>
      <c r="C3626" s="8" t="s">
        <v>107</v>
      </c>
      <c r="D3626" s="18">
        <f>VLOOKUP(C3626,'DISTRIBUIÇÃO NF4267'!$E$3:$FQ$75,MATCH(B3626,'DISTRIBUIÇÃO NF4267'!$E$3:$FQ$3,0)+1,0)</f>
        <v>0</v>
      </c>
      <c r="F3626" s="28">
        <f t="shared" si="179"/>
        <v>3</v>
      </c>
    </row>
    <row r="3627" spans="1:6" x14ac:dyDescent="0.35">
      <c r="A3627">
        <f t="shared" si="180"/>
        <v>0</v>
      </c>
      <c r="B3627" t="str">
        <f t="shared" si="181"/>
        <v>Q3</v>
      </c>
      <c r="C3627" s="8" t="s">
        <v>108</v>
      </c>
      <c r="D3627" s="18">
        <f>VLOOKUP(C3627,'DISTRIBUIÇÃO NF4267'!$E$3:$FQ$75,MATCH(B3627,'DISTRIBUIÇÃO NF4267'!$E$3:$FQ$3,0)+1,0)</f>
        <v>2</v>
      </c>
      <c r="F3627" s="28">
        <f t="shared" si="179"/>
        <v>3</v>
      </c>
    </row>
    <row r="3628" spans="1:6" x14ac:dyDescent="0.35">
      <c r="A3628">
        <f t="shared" si="180"/>
        <v>0</v>
      </c>
      <c r="B3628" t="str">
        <f t="shared" si="181"/>
        <v>Q3</v>
      </c>
      <c r="C3628" s="8" t="s">
        <v>109</v>
      </c>
      <c r="D3628" s="18">
        <f>VLOOKUP(C3628,'DISTRIBUIÇÃO NF4267'!$E$3:$FQ$75,MATCH(B3628,'DISTRIBUIÇÃO NF4267'!$E$3:$FQ$3,0)+1,0)</f>
        <v>4</v>
      </c>
      <c r="F3628" s="28">
        <f t="shared" si="179"/>
        <v>3</v>
      </c>
    </row>
    <row r="3629" spans="1:6" x14ac:dyDescent="0.35">
      <c r="A3629">
        <f t="shared" si="180"/>
        <v>0</v>
      </c>
      <c r="B3629" t="str">
        <f t="shared" si="181"/>
        <v>Q3</v>
      </c>
      <c r="C3629" s="8" t="s">
        <v>110</v>
      </c>
      <c r="D3629" s="18">
        <f>VLOOKUP(C3629,'DISTRIBUIÇÃO NF4267'!$E$3:$FQ$75,MATCH(B3629,'DISTRIBUIÇÃO NF4267'!$E$3:$FQ$3,0)+1,0)</f>
        <v>2</v>
      </c>
      <c r="F3629" s="28">
        <f t="shared" si="179"/>
        <v>3</v>
      </c>
    </row>
    <row r="3630" spans="1:6" x14ac:dyDescent="0.35">
      <c r="A3630">
        <f t="shared" si="180"/>
        <v>0</v>
      </c>
      <c r="B3630" t="str">
        <f t="shared" si="181"/>
        <v>Q3</v>
      </c>
      <c r="C3630" s="8" t="s">
        <v>111</v>
      </c>
      <c r="D3630" s="18">
        <f>VLOOKUP(C3630,'DISTRIBUIÇÃO NF4267'!$E$3:$FQ$75,MATCH(B3630,'DISTRIBUIÇÃO NF4267'!$E$3:$FQ$3,0)+1,0)</f>
        <v>2</v>
      </c>
      <c r="F3630" s="28">
        <f t="shared" si="179"/>
        <v>3</v>
      </c>
    </row>
    <row r="3631" spans="1:6" x14ac:dyDescent="0.35">
      <c r="A3631">
        <f t="shared" si="180"/>
        <v>0</v>
      </c>
      <c r="B3631" t="str">
        <f t="shared" si="181"/>
        <v>Q3</v>
      </c>
      <c r="C3631" s="8" t="s">
        <v>112</v>
      </c>
      <c r="D3631" s="18">
        <f>VLOOKUP(C3631,'DISTRIBUIÇÃO NF4267'!$E$3:$FQ$75,MATCH(B3631,'DISTRIBUIÇÃO NF4267'!$E$3:$FQ$3,0)+1,0)</f>
        <v>0</v>
      </c>
      <c r="F3631" s="28">
        <f t="shared" si="179"/>
        <v>3</v>
      </c>
    </row>
    <row r="3632" spans="1:6" x14ac:dyDescent="0.35">
      <c r="A3632">
        <f t="shared" si="180"/>
        <v>0</v>
      </c>
      <c r="B3632" t="str">
        <f t="shared" si="181"/>
        <v>Q3</v>
      </c>
      <c r="C3632" s="9" t="s">
        <v>113</v>
      </c>
      <c r="D3632" s="18">
        <f>VLOOKUP(C3632,'DISTRIBUIÇÃO NF4267'!$E$3:$FQ$75,MATCH(B3632,'DISTRIBUIÇÃO NF4267'!$E$3:$FQ$3,0)+1,0)</f>
        <v>0</v>
      </c>
      <c r="F3632" s="28">
        <f t="shared" si="179"/>
        <v>3</v>
      </c>
    </row>
    <row r="3633" spans="1:6" x14ac:dyDescent="0.35">
      <c r="A3633">
        <f t="shared" si="180"/>
        <v>0</v>
      </c>
      <c r="B3633" t="str">
        <f t="shared" si="181"/>
        <v>Q3</v>
      </c>
      <c r="C3633" s="9" t="s">
        <v>114</v>
      </c>
      <c r="D3633" s="18">
        <f>VLOOKUP(C3633,'DISTRIBUIÇÃO NF4267'!$E$3:$FQ$75,MATCH(B3633,'DISTRIBUIÇÃO NF4267'!$E$3:$FQ$3,0)+1,0)</f>
        <v>3</v>
      </c>
      <c r="F3633" s="28">
        <f t="shared" si="179"/>
        <v>3</v>
      </c>
    </row>
    <row r="3634" spans="1:6" x14ac:dyDescent="0.35">
      <c r="A3634">
        <f t="shared" si="180"/>
        <v>0</v>
      </c>
      <c r="B3634" t="str">
        <f t="shared" si="181"/>
        <v>Q3</v>
      </c>
      <c r="C3634" s="9" t="s">
        <v>115</v>
      </c>
      <c r="D3634" s="18">
        <f>VLOOKUP(C3634,'DISTRIBUIÇÃO NF4267'!$E$3:$FQ$75,MATCH(B3634,'DISTRIBUIÇÃO NF4267'!$E$3:$FQ$3,0)+1,0)</f>
        <v>4</v>
      </c>
      <c r="F3634" s="28">
        <f t="shared" si="179"/>
        <v>3</v>
      </c>
    </row>
    <row r="3635" spans="1:6" x14ac:dyDescent="0.35">
      <c r="A3635">
        <f t="shared" si="180"/>
        <v>0</v>
      </c>
      <c r="B3635" t="str">
        <f t="shared" si="181"/>
        <v>Q3</v>
      </c>
      <c r="C3635" s="9" t="s">
        <v>116</v>
      </c>
      <c r="D3635" s="18">
        <f>VLOOKUP(C3635,'DISTRIBUIÇÃO NF4267'!$E$3:$FQ$75,MATCH(B3635,'DISTRIBUIÇÃO NF4267'!$E$3:$FQ$3,0)+1,0)</f>
        <v>2</v>
      </c>
      <c r="F3635" s="28">
        <f t="shared" si="179"/>
        <v>3</v>
      </c>
    </row>
    <row r="3636" spans="1:6" x14ac:dyDescent="0.35">
      <c r="A3636">
        <f t="shared" si="180"/>
        <v>0</v>
      </c>
      <c r="B3636" t="str">
        <f t="shared" si="181"/>
        <v>Q3</v>
      </c>
      <c r="C3636" s="9" t="s">
        <v>117</v>
      </c>
      <c r="D3636" s="18">
        <f>VLOOKUP(C3636,'DISTRIBUIÇÃO NF4267'!$E$3:$FQ$75,MATCH(B3636,'DISTRIBUIÇÃO NF4267'!$E$3:$FQ$3,0)+1,0)</f>
        <v>1</v>
      </c>
      <c r="F3636" s="28">
        <f t="shared" si="179"/>
        <v>3</v>
      </c>
    </row>
    <row r="3637" spans="1:6" x14ac:dyDescent="0.35">
      <c r="A3637">
        <f t="shared" si="180"/>
        <v>0</v>
      </c>
      <c r="B3637" t="str">
        <f t="shared" si="181"/>
        <v>Q3</v>
      </c>
      <c r="C3637" s="9" t="s">
        <v>118</v>
      </c>
      <c r="D3637" s="18">
        <f>VLOOKUP(C3637,'DISTRIBUIÇÃO NF4267'!$E$3:$FQ$75,MATCH(B3637,'DISTRIBUIÇÃO NF4267'!$E$3:$FQ$3,0)+1,0)</f>
        <v>0</v>
      </c>
      <c r="F3637" s="28">
        <f t="shared" si="179"/>
        <v>3</v>
      </c>
    </row>
    <row r="3638" spans="1:6" x14ac:dyDescent="0.35">
      <c r="A3638">
        <f t="shared" si="180"/>
        <v>0</v>
      </c>
      <c r="B3638" t="str">
        <f t="shared" si="181"/>
        <v>Q3</v>
      </c>
      <c r="C3638" s="10" t="s">
        <v>119</v>
      </c>
      <c r="D3638" s="18">
        <f>VLOOKUP(C3638,'DISTRIBUIÇÃO NF4267'!$E$3:$FQ$75,MATCH(B3638,'DISTRIBUIÇÃO NF4267'!$E$3:$FQ$3,0)+1,0)</f>
        <v>0</v>
      </c>
      <c r="F3638" s="28">
        <f t="shared" si="179"/>
        <v>3</v>
      </c>
    </row>
    <row r="3639" spans="1:6" x14ac:dyDescent="0.35">
      <c r="A3639">
        <f t="shared" si="180"/>
        <v>0</v>
      </c>
      <c r="B3639" t="str">
        <f t="shared" si="181"/>
        <v>Q3</v>
      </c>
      <c r="C3639" s="10" t="s">
        <v>120</v>
      </c>
      <c r="D3639" s="18">
        <f>VLOOKUP(C3639,'DISTRIBUIÇÃO NF4267'!$E$3:$FQ$75,MATCH(B3639,'DISTRIBUIÇÃO NF4267'!$E$3:$FQ$3,0)+1,0)</f>
        <v>48</v>
      </c>
      <c r="F3639" s="28">
        <f t="shared" si="179"/>
        <v>3</v>
      </c>
    </row>
    <row r="3640" spans="1:6" x14ac:dyDescent="0.35">
      <c r="A3640">
        <f t="shared" si="180"/>
        <v>0</v>
      </c>
      <c r="B3640" t="str">
        <f t="shared" si="181"/>
        <v>Q3</v>
      </c>
      <c r="C3640" s="10" t="s">
        <v>121</v>
      </c>
      <c r="D3640" s="18">
        <f>VLOOKUP(C3640,'DISTRIBUIÇÃO NF4267'!$E$3:$FQ$75,MATCH(B3640,'DISTRIBUIÇÃO NF4267'!$E$3:$FQ$3,0)+1,0)</f>
        <v>16</v>
      </c>
      <c r="F3640" s="28">
        <f t="shared" ref="F3640:F3703" si="182">ROUNDUP(SUMIFS(D:D,B:B,B3640)/80,0)</f>
        <v>3</v>
      </c>
    </row>
    <row r="3641" spans="1:6" x14ac:dyDescent="0.35">
      <c r="A3641">
        <f t="shared" si="180"/>
        <v>0</v>
      </c>
      <c r="B3641" t="str">
        <f t="shared" si="181"/>
        <v>Q3</v>
      </c>
      <c r="C3641" s="10" t="s">
        <v>122</v>
      </c>
      <c r="D3641" s="18">
        <f>VLOOKUP(C3641,'DISTRIBUIÇÃO NF4267'!$E$3:$FQ$75,MATCH(B3641,'DISTRIBUIÇÃO NF4267'!$E$3:$FQ$3,0)+1,0)</f>
        <v>16</v>
      </c>
      <c r="F3641" s="28">
        <f t="shared" si="182"/>
        <v>3</v>
      </c>
    </row>
    <row r="3642" spans="1:6" x14ac:dyDescent="0.35">
      <c r="A3642">
        <f t="shared" si="180"/>
        <v>0</v>
      </c>
      <c r="B3642" t="str">
        <f t="shared" si="181"/>
        <v>Q3</v>
      </c>
      <c r="C3642" s="10" t="s">
        <v>123</v>
      </c>
      <c r="D3642" s="18">
        <f>VLOOKUP(C3642,'DISTRIBUIÇÃO NF4267'!$E$3:$FQ$75,MATCH(B3642,'DISTRIBUIÇÃO NF4267'!$E$3:$FQ$3,0)+1,0)</f>
        <v>0</v>
      </c>
      <c r="F3642" s="28">
        <f t="shared" si="182"/>
        <v>3</v>
      </c>
    </row>
    <row r="3643" spans="1:6" x14ac:dyDescent="0.35">
      <c r="A3643">
        <f t="shared" si="180"/>
        <v>0</v>
      </c>
      <c r="B3643" t="str">
        <f t="shared" si="181"/>
        <v>Q3</v>
      </c>
      <c r="C3643" s="10" t="s">
        <v>124</v>
      </c>
      <c r="D3643" s="18">
        <f>VLOOKUP(C3643,'DISTRIBUIÇÃO NF4267'!$E$3:$FQ$75,MATCH(B3643,'DISTRIBUIÇÃO NF4267'!$E$3:$FQ$3,0)+1,0)</f>
        <v>0</v>
      </c>
      <c r="F3643" s="28">
        <f t="shared" si="182"/>
        <v>3</v>
      </c>
    </row>
    <row r="3644" spans="1:6" x14ac:dyDescent="0.35">
      <c r="A3644">
        <f t="shared" si="180"/>
        <v>0</v>
      </c>
      <c r="B3644" t="str">
        <f t="shared" si="181"/>
        <v>Q3</v>
      </c>
      <c r="C3644" s="11" t="s">
        <v>16</v>
      </c>
      <c r="D3644" s="18">
        <f>VLOOKUP(C3644,'DISTRIBUIÇÃO NF4267'!$E$3:$FQ$75,MATCH(B3644,'DISTRIBUIÇÃO NF4267'!$E$3:$FQ$3,0)+1,0)</f>
        <v>0</v>
      </c>
      <c r="F3644" s="28">
        <f t="shared" si="182"/>
        <v>3</v>
      </c>
    </row>
    <row r="3645" spans="1:6" x14ac:dyDescent="0.35">
      <c r="A3645">
        <f t="shared" si="180"/>
        <v>0</v>
      </c>
      <c r="B3645" t="str">
        <f t="shared" si="181"/>
        <v>Q3</v>
      </c>
      <c r="C3645" s="11" t="s">
        <v>17</v>
      </c>
      <c r="D3645" s="18">
        <f>VLOOKUP(C3645,'DISTRIBUIÇÃO NF4267'!$E$3:$FQ$75,MATCH(B3645,'DISTRIBUIÇÃO NF4267'!$E$3:$FQ$3,0)+1,0)</f>
        <v>9</v>
      </c>
      <c r="F3645" s="28">
        <f t="shared" si="182"/>
        <v>3</v>
      </c>
    </row>
    <row r="3646" spans="1:6" x14ac:dyDescent="0.35">
      <c r="A3646">
        <f t="shared" si="180"/>
        <v>0</v>
      </c>
      <c r="B3646" t="str">
        <f t="shared" si="181"/>
        <v>Q3</v>
      </c>
      <c r="C3646" s="11" t="s">
        <v>18</v>
      </c>
      <c r="D3646" s="18">
        <f>VLOOKUP(C3646,'DISTRIBUIÇÃO NF4267'!$E$3:$FQ$75,MATCH(B3646,'DISTRIBUIÇÃO NF4267'!$E$3:$FQ$3,0)+1,0)</f>
        <v>3</v>
      </c>
      <c r="F3646" s="28">
        <f t="shared" si="182"/>
        <v>3</v>
      </c>
    </row>
    <row r="3647" spans="1:6" x14ac:dyDescent="0.35">
      <c r="A3647">
        <f t="shared" si="180"/>
        <v>0</v>
      </c>
      <c r="B3647" t="str">
        <f t="shared" si="181"/>
        <v>Q3</v>
      </c>
      <c r="C3647" s="11" t="s">
        <v>19</v>
      </c>
      <c r="D3647" s="18">
        <f>VLOOKUP(C3647,'DISTRIBUIÇÃO NF4267'!$E$3:$FQ$75,MATCH(B3647,'DISTRIBUIÇÃO NF4267'!$E$3:$FQ$3,0)+1,0)</f>
        <v>3</v>
      </c>
      <c r="F3647" s="28">
        <f t="shared" si="182"/>
        <v>3</v>
      </c>
    </row>
    <row r="3648" spans="1:6" x14ac:dyDescent="0.35">
      <c r="A3648">
        <f t="shared" si="180"/>
        <v>0</v>
      </c>
      <c r="B3648" t="str">
        <f t="shared" si="181"/>
        <v>Q3</v>
      </c>
      <c r="C3648" s="11" t="s">
        <v>20</v>
      </c>
      <c r="D3648" s="18">
        <f>VLOOKUP(C3648,'DISTRIBUIÇÃO NF4267'!$E$3:$FQ$75,MATCH(B3648,'DISTRIBUIÇÃO NF4267'!$E$3:$FQ$3,0)+1,0)</f>
        <v>15</v>
      </c>
      <c r="F3648" s="28">
        <f t="shared" si="182"/>
        <v>3</v>
      </c>
    </row>
    <row r="3649" spans="1:6" x14ac:dyDescent="0.35">
      <c r="A3649">
        <f t="shared" si="180"/>
        <v>0</v>
      </c>
      <c r="B3649" t="str">
        <f t="shared" si="181"/>
        <v>Q3</v>
      </c>
      <c r="C3649" s="11" t="s">
        <v>21</v>
      </c>
      <c r="D3649" s="18">
        <f>VLOOKUP(C3649,'DISTRIBUIÇÃO NF4267'!$E$3:$FQ$75,MATCH(B3649,'DISTRIBUIÇÃO NF4267'!$E$3:$FQ$3,0)+1,0)</f>
        <v>0</v>
      </c>
      <c r="F3649" s="28">
        <f t="shared" si="182"/>
        <v>3</v>
      </c>
    </row>
    <row r="3650" spans="1:6" x14ac:dyDescent="0.35">
      <c r="A3650">
        <f t="shared" ref="A3650:A3713" si="183">IF(ISERROR(VLOOKUP(C3650,I:I,1,0)),0,1)</f>
        <v>0</v>
      </c>
      <c r="B3650" t="str">
        <f t="shared" si="181"/>
        <v>Q3</v>
      </c>
      <c r="C3650" s="12" t="s">
        <v>130</v>
      </c>
      <c r="D3650" s="18">
        <f>VLOOKUP(C3650,'DISTRIBUIÇÃO NF4267'!$E$3:$FQ$75,MATCH(B3650,'DISTRIBUIÇÃO NF4267'!$E$3:$FQ$3,0)+1,0)</f>
        <v>0</v>
      </c>
      <c r="F3650" s="28">
        <f t="shared" si="182"/>
        <v>3</v>
      </c>
    </row>
    <row r="3651" spans="1:6" x14ac:dyDescent="0.35">
      <c r="A3651">
        <f t="shared" si="183"/>
        <v>0</v>
      </c>
      <c r="B3651" t="str">
        <f t="shared" si="181"/>
        <v>Q3</v>
      </c>
      <c r="C3651" s="12" t="s">
        <v>131</v>
      </c>
      <c r="D3651" s="18">
        <f>VLOOKUP(C3651,'DISTRIBUIÇÃO NF4267'!$E$3:$FQ$75,MATCH(B3651,'DISTRIBUIÇÃO NF4267'!$E$3:$FQ$3,0)+1,0)</f>
        <v>0</v>
      </c>
      <c r="F3651" s="28">
        <f t="shared" si="182"/>
        <v>3</v>
      </c>
    </row>
    <row r="3652" spans="1:6" x14ac:dyDescent="0.35">
      <c r="A3652">
        <f t="shared" si="183"/>
        <v>0</v>
      </c>
      <c r="B3652" t="str">
        <f t="shared" si="181"/>
        <v>Q3</v>
      </c>
      <c r="C3652" s="12" t="s">
        <v>132</v>
      </c>
      <c r="D3652" s="18">
        <f>VLOOKUP(C3652,'DISTRIBUIÇÃO NF4267'!$E$3:$FQ$75,MATCH(B3652,'DISTRIBUIÇÃO NF4267'!$E$3:$FQ$3,0)+1,0)</f>
        <v>0</v>
      </c>
      <c r="F3652" s="28">
        <f t="shared" si="182"/>
        <v>3</v>
      </c>
    </row>
    <row r="3653" spans="1:6" x14ac:dyDescent="0.35">
      <c r="A3653">
        <f t="shared" si="183"/>
        <v>0</v>
      </c>
      <c r="B3653" t="str">
        <f t="shared" si="181"/>
        <v>Q3</v>
      </c>
      <c r="C3653" s="12" t="s">
        <v>133</v>
      </c>
      <c r="D3653" s="18">
        <f>VLOOKUP(C3653,'DISTRIBUIÇÃO NF4267'!$E$3:$FQ$75,MATCH(B3653,'DISTRIBUIÇÃO NF4267'!$E$3:$FQ$3,0)+1,0)</f>
        <v>0</v>
      </c>
      <c r="F3653" s="28">
        <f t="shared" si="182"/>
        <v>3</v>
      </c>
    </row>
    <row r="3654" spans="1:6" x14ac:dyDescent="0.35">
      <c r="A3654">
        <f t="shared" si="183"/>
        <v>0</v>
      </c>
      <c r="B3654" t="str">
        <f t="shared" si="181"/>
        <v>Q3</v>
      </c>
      <c r="C3654" s="12" t="s">
        <v>134</v>
      </c>
      <c r="D3654" s="18">
        <f>VLOOKUP(C3654,'DISTRIBUIÇÃO NF4267'!$E$3:$FQ$75,MATCH(B3654,'DISTRIBUIÇÃO NF4267'!$E$3:$FQ$3,0)+1,0)</f>
        <v>0</v>
      </c>
      <c r="F3654" s="28">
        <f t="shared" si="182"/>
        <v>3</v>
      </c>
    </row>
    <row r="3655" spans="1:6" x14ac:dyDescent="0.35">
      <c r="A3655">
        <f t="shared" si="183"/>
        <v>0</v>
      </c>
      <c r="B3655" t="str">
        <f t="shared" si="181"/>
        <v>Q3</v>
      </c>
      <c r="C3655" s="12" t="s">
        <v>135</v>
      </c>
      <c r="D3655" s="18">
        <f>VLOOKUP(C3655,'DISTRIBUIÇÃO NF4267'!$E$3:$FQ$75,MATCH(B3655,'DISTRIBUIÇÃO NF4267'!$E$3:$FQ$3,0)+1,0)</f>
        <v>0</v>
      </c>
      <c r="F3655" s="28">
        <f t="shared" si="182"/>
        <v>3</v>
      </c>
    </row>
    <row r="3656" spans="1:6" x14ac:dyDescent="0.35">
      <c r="A3656">
        <f t="shared" si="183"/>
        <v>0</v>
      </c>
      <c r="B3656" t="str">
        <f t="shared" si="181"/>
        <v>Q3</v>
      </c>
      <c r="C3656" s="13" t="s">
        <v>22</v>
      </c>
      <c r="D3656" s="18">
        <f>VLOOKUP(C3656,'DISTRIBUIÇÃO NF4267'!$E$3:$FQ$75,MATCH(B3656,'DISTRIBUIÇÃO NF4267'!$E$3:$FQ$3,0)+1,0)</f>
        <v>0</v>
      </c>
      <c r="F3656" s="28">
        <f t="shared" si="182"/>
        <v>3</v>
      </c>
    </row>
    <row r="3657" spans="1:6" x14ac:dyDescent="0.35">
      <c r="A3657">
        <f t="shared" si="183"/>
        <v>0</v>
      </c>
      <c r="B3657" t="str">
        <f t="shared" si="181"/>
        <v>Q3</v>
      </c>
      <c r="C3657" s="13" t="s">
        <v>23</v>
      </c>
      <c r="D3657" s="18">
        <f>VLOOKUP(C3657,'DISTRIBUIÇÃO NF4267'!$E$3:$FQ$75,MATCH(B3657,'DISTRIBUIÇÃO NF4267'!$E$3:$FQ$3,0)+1,0)</f>
        <v>0</v>
      </c>
      <c r="F3657" s="28">
        <f t="shared" si="182"/>
        <v>3</v>
      </c>
    </row>
    <row r="3658" spans="1:6" x14ac:dyDescent="0.35">
      <c r="A3658">
        <f t="shared" si="183"/>
        <v>0</v>
      </c>
      <c r="B3658" t="str">
        <f t="shared" si="181"/>
        <v>Q3</v>
      </c>
      <c r="C3658" s="13" t="s">
        <v>24</v>
      </c>
      <c r="D3658" s="18">
        <f>VLOOKUP(C3658,'DISTRIBUIÇÃO NF4267'!$E$3:$FQ$75,MATCH(B3658,'DISTRIBUIÇÃO NF4267'!$E$3:$FQ$3,0)+1,0)</f>
        <v>0</v>
      </c>
      <c r="F3658" s="28">
        <f t="shared" si="182"/>
        <v>3</v>
      </c>
    </row>
    <row r="3659" spans="1:6" x14ac:dyDescent="0.35">
      <c r="A3659">
        <f t="shared" si="183"/>
        <v>0</v>
      </c>
      <c r="B3659" t="str">
        <f t="shared" si="181"/>
        <v>Q3</v>
      </c>
      <c r="C3659" s="13" t="s">
        <v>25</v>
      </c>
      <c r="D3659" s="18">
        <f>VLOOKUP(C3659,'DISTRIBUIÇÃO NF4267'!$E$3:$FQ$75,MATCH(B3659,'DISTRIBUIÇÃO NF4267'!$E$3:$FQ$3,0)+1,0)</f>
        <v>0</v>
      </c>
      <c r="F3659" s="28">
        <f t="shared" si="182"/>
        <v>3</v>
      </c>
    </row>
    <row r="3660" spans="1:6" x14ac:dyDescent="0.35">
      <c r="A3660">
        <f t="shared" si="183"/>
        <v>0</v>
      </c>
      <c r="B3660" t="str">
        <f t="shared" si="181"/>
        <v>Q3</v>
      </c>
      <c r="C3660" s="13" t="s">
        <v>26</v>
      </c>
      <c r="D3660" s="18">
        <f>VLOOKUP(C3660,'DISTRIBUIÇÃO NF4267'!$E$3:$FQ$75,MATCH(B3660,'DISTRIBUIÇÃO NF4267'!$E$3:$FQ$3,0)+1,0)</f>
        <v>0</v>
      </c>
      <c r="F3660" s="28">
        <f t="shared" si="182"/>
        <v>3</v>
      </c>
    </row>
    <row r="3661" spans="1:6" x14ac:dyDescent="0.35">
      <c r="A3661">
        <f t="shared" si="183"/>
        <v>0</v>
      </c>
      <c r="B3661" t="str">
        <f t="shared" si="181"/>
        <v>Q3</v>
      </c>
      <c r="C3661" s="13" t="s">
        <v>27</v>
      </c>
      <c r="D3661" s="18">
        <f>VLOOKUP(C3661,'DISTRIBUIÇÃO NF4267'!$E$3:$FQ$75,MATCH(B3661,'DISTRIBUIÇÃO NF4267'!$E$3:$FQ$3,0)+1,0)</f>
        <v>0</v>
      </c>
      <c r="F3661" s="28">
        <f t="shared" si="182"/>
        <v>3</v>
      </c>
    </row>
    <row r="3662" spans="1:6" x14ac:dyDescent="0.35">
      <c r="A3662">
        <f t="shared" si="183"/>
        <v>0</v>
      </c>
      <c r="B3662" t="str">
        <f t="shared" si="181"/>
        <v>Q3</v>
      </c>
      <c r="C3662" s="14" t="s">
        <v>138</v>
      </c>
      <c r="D3662" s="18">
        <f>VLOOKUP(C3662,'DISTRIBUIÇÃO NF4267'!$E$3:$FQ$75,MATCH(B3662,'DISTRIBUIÇÃO NF4267'!$E$3:$FQ$3,0)+1,0)</f>
        <v>0</v>
      </c>
      <c r="F3662" s="28">
        <f t="shared" si="182"/>
        <v>3</v>
      </c>
    </row>
    <row r="3663" spans="1:6" x14ac:dyDescent="0.35">
      <c r="A3663">
        <f t="shared" si="183"/>
        <v>0</v>
      </c>
      <c r="B3663" t="str">
        <f t="shared" si="181"/>
        <v>Q3</v>
      </c>
      <c r="C3663" s="14" t="s">
        <v>139</v>
      </c>
      <c r="D3663" s="18">
        <f>VLOOKUP(C3663,'DISTRIBUIÇÃO NF4267'!$E$3:$FQ$75,MATCH(B3663,'DISTRIBUIÇÃO NF4267'!$E$3:$FQ$3,0)+1,0)</f>
        <v>2</v>
      </c>
      <c r="F3663" s="28">
        <f t="shared" si="182"/>
        <v>3</v>
      </c>
    </row>
    <row r="3664" spans="1:6" x14ac:dyDescent="0.35">
      <c r="A3664">
        <f t="shared" si="183"/>
        <v>0</v>
      </c>
      <c r="B3664" t="str">
        <f t="shared" si="181"/>
        <v>Q3</v>
      </c>
      <c r="C3664" s="14" t="s">
        <v>140</v>
      </c>
      <c r="D3664" s="18">
        <f>VLOOKUP(C3664,'DISTRIBUIÇÃO NF4267'!$E$3:$FQ$75,MATCH(B3664,'DISTRIBUIÇÃO NF4267'!$E$3:$FQ$3,0)+1,0)</f>
        <v>4</v>
      </c>
      <c r="F3664" s="28">
        <f t="shared" si="182"/>
        <v>3</v>
      </c>
    </row>
    <row r="3665" spans="1:6" x14ac:dyDescent="0.35">
      <c r="A3665">
        <f t="shared" si="183"/>
        <v>0</v>
      </c>
      <c r="B3665" t="str">
        <f t="shared" si="181"/>
        <v>Q3</v>
      </c>
      <c r="C3665" s="14" t="s">
        <v>141</v>
      </c>
      <c r="D3665" s="18">
        <f>VLOOKUP(C3665,'DISTRIBUIÇÃO NF4267'!$E$3:$FQ$75,MATCH(B3665,'DISTRIBUIÇÃO NF4267'!$E$3:$FQ$3,0)+1,0)</f>
        <v>2</v>
      </c>
      <c r="F3665" s="28">
        <f t="shared" si="182"/>
        <v>3</v>
      </c>
    </row>
    <row r="3666" spans="1:6" x14ac:dyDescent="0.35">
      <c r="A3666">
        <f t="shared" si="183"/>
        <v>0</v>
      </c>
      <c r="B3666" t="str">
        <f t="shared" si="181"/>
        <v>Q3</v>
      </c>
      <c r="C3666" s="14" t="s">
        <v>142</v>
      </c>
      <c r="D3666" s="18">
        <f>VLOOKUP(C3666,'DISTRIBUIÇÃO NF4267'!$E$3:$FQ$75,MATCH(B3666,'DISTRIBUIÇÃO NF4267'!$E$3:$FQ$3,0)+1,0)</f>
        <v>2</v>
      </c>
      <c r="F3666" s="28">
        <f t="shared" si="182"/>
        <v>3</v>
      </c>
    </row>
    <row r="3667" spans="1:6" x14ac:dyDescent="0.35">
      <c r="A3667">
        <f t="shared" si="183"/>
        <v>0</v>
      </c>
      <c r="B3667" t="str">
        <f t="shared" si="181"/>
        <v>Q3</v>
      </c>
      <c r="C3667" s="14" t="s">
        <v>143</v>
      </c>
      <c r="D3667" s="18">
        <f>VLOOKUP(C3667,'DISTRIBUIÇÃO NF4267'!$E$3:$FQ$75,MATCH(B3667,'DISTRIBUIÇÃO NF4267'!$E$3:$FQ$3,0)+1,0)</f>
        <v>0</v>
      </c>
      <c r="F3667" s="28">
        <f t="shared" si="182"/>
        <v>3</v>
      </c>
    </row>
    <row r="3668" spans="1:6" x14ac:dyDescent="0.35">
      <c r="A3668">
        <f t="shared" si="183"/>
        <v>0</v>
      </c>
      <c r="B3668" t="str">
        <f t="shared" si="181"/>
        <v>Q3</v>
      </c>
      <c r="C3668" s="15" t="s">
        <v>145</v>
      </c>
      <c r="D3668" s="18">
        <f>VLOOKUP(C3668,'DISTRIBUIÇÃO NF4267'!$E$3:$FQ$75,MATCH(B3668,'DISTRIBUIÇÃO NF4267'!$E$3:$FQ$3,0)+1,0)</f>
        <v>0</v>
      </c>
      <c r="F3668" s="28">
        <f t="shared" si="182"/>
        <v>3</v>
      </c>
    </row>
    <row r="3669" spans="1:6" x14ac:dyDescent="0.35">
      <c r="A3669">
        <f t="shared" si="183"/>
        <v>0</v>
      </c>
      <c r="B3669" t="str">
        <f t="shared" si="181"/>
        <v>Q3</v>
      </c>
      <c r="C3669" s="15" t="s">
        <v>146</v>
      </c>
      <c r="D3669" s="18">
        <f>VLOOKUP(C3669,'DISTRIBUIÇÃO NF4267'!$E$3:$FQ$75,MATCH(B3669,'DISTRIBUIÇÃO NF4267'!$E$3:$FQ$3,0)+1,0)</f>
        <v>2</v>
      </c>
      <c r="F3669" s="28">
        <f t="shared" si="182"/>
        <v>3</v>
      </c>
    </row>
    <row r="3670" spans="1:6" x14ac:dyDescent="0.35">
      <c r="A3670">
        <f t="shared" si="183"/>
        <v>0</v>
      </c>
      <c r="B3670" t="str">
        <f t="shared" si="181"/>
        <v>Q3</v>
      </c>
      <c r="C3670" s="15" t="s">
        <v>147</v>
      </c>
      <c r="D3670" s="18">
        <f>VLOOKUP(C3670,'DISTRIBUIÇÃO NF4267'!$E$3:$FQ$75,MATCH(B3670,'DISTRIBUIÇÃO NF4267'!$E$3:$FQ$3,0)+1,0)</f>
        <v>4</v>
      </c>
      <c r="F3670" s="28">
        <f t="shared" si="182"/>
        <v>3</v>
      </c>
    </row>
    <row r="3671" spans="1:6" x14ac:dyDescent="0.35">
      <c r="A3671">
        <f t="shared" si="183"/>
        <v>0</v>
      </c>
      <c r="B3671" t="str">
        <f t="shared" si="181"/>
        <v>Q3</v>
      </c>
      <c r="C3671" s="15" t="s">
        <v>148</v>
      </c>
      <c r="D3671" s="18">
        <f>VLOOKUP(C3671,'DISTRIBUIÇÃO NF4267'!$E$3:$FQ$75,MATCH(B3671,'DISTRIBUIÇÃO NF4267'!$E$3:$FQ$3,0)+1,0)</f>
        <v>2</v>
      </c>
      <c r="F3671" s="28">
        <f t="shared" si="182"/>
        <v>3</v>
      </c>
    </row>
    <row r="3672" spans="1:6" x14ac:dyDescent="0.35">
      <c r="A3672">
        <f t="shared" si="183"/>
        <v>0</v>
      </c>
      <c r="B3672" t="str">
        <f t="shared" si="181"/>
        <v>Q3</v>
      </c>
      <c r="C3672" s="15" t="s">
        <v>149</v>
      </c>
      <c r="D3672" s="18">
        <f>VLOOKUP(C3672,'DISTRIBUIÇÃO NF4267'!$E$3:$FQ$75,MATCH(B3672,'DISTRIBUIÇÃO NF4267'!$E$3:$FQ$3,0)+1,0)</f>
        <v>2</v>
      </c>
      <c r="F3672" s="28">
        <f t="shared" si="182"/>
        <v>3</v>
      </c>
    </row>
    <row r="3673" spans="1:6" x14ac:dyDescent="0.35">
      <c r="A3673">
        <f t="shared" si="183"/>
        <v>0</v>
      </c>
      <c r="B3673" t="str">
        <f t="shared" si="181"/>
        <v>Q3</v>
      </c>
      <c r="C3673" s="15" t="s">
        <v>150</v>
      </c>
      <c r="D3673" s="18">
        <f>VLOOKUP(C3673,'DISTRIBUIÇÃO NF4267'!$E$3:$FQ$75,MATCH(B3673,'DISTRIBUIÇÃO NF4267'!$E$3:$FQ$3,0)+1,0)</f>
        <v>0</v>
      </c>
      <c r="F3673" s="28">
        <f t="shared" si="182"/>
        <v>3</v>
      </c>
    </row>
    <row r="3674" spans="1:6" x14ac:dyDescent="0.35">
      <c r="A3674">
        <f t="shared" si="183"/>
        <v>0</v>
      </c>
      <c r="B3674" t="s">
        <v>77</v>
      </c>
      <c r="C3674" s="7" t="s">
        <v>98</v>
      </c>
      <c r="D3674" s="18">
        <f>VLOOKUP(C3674,'DISTRIBUIÇÃO NF4267'!$E$3:$FQ$75,MATCH(B3674,'DISTRIBUIÇÃO NF4267'!$E$3:$FQ$3,0)+1,0)</f>
        <v>0</v>
      </c>
      <c r="F3674" s="28">
        <f t="shared" si="182"/>
        <v>3</v>
      </c>
    </row>
    <row r="3675" spans="1:6" x14ac:dyDescent="0.35">
      <c r="A3675">
        <f t="shared" si="183"/>
        <v>0</v>
      </c>
      <c r="B3675" t="str">
        <f>B3674</f>
        <v>KH</v>
      </c>
      <c r="C3675" s="7" t="s">
        <v>99</v>
      </c>
      <c r="D3675" s="18">
        <f>VLOOKUP(C3675,'DISTRIBUIÇÃO NF4267'!$E$3:$FQ$75,MATCH(B3675,'DISTRIBUIÇÃO NF4267'!$E$3:$FQ$3,0)+1,0)</f>
        <v>4</v>
      </c>
      <c r="F3675" s="28">
        <f t="shared" si="182"/>
        <v>3</v>
      </c>
    </row>
    <row r="3676" spans="1:6" x14ac:dyDescent="0.35">
      <c r="A3676">
        <f t="shared" si="183"/>
        <v>0</v>
      </c>
      <c r="B3676" t="str">
        <f t="shared" ref="B3676:B3727" si="184">B3675</f>
        <v>KH</v>
      </c>
      <c r="C3676" s="7" t="s">
        <v>100</v>
      </c>
      <c r="D3676" s="18">
        <f>VLOOKUP(C3676,'DISTRIBUIÇÃO NF4267'!$E$3:$FQ$75,MATCH(B3676,'DISTRIBUIÇÃO NF4267'!$E$3:$FQ$3,0)+1,0)</f>
        <v>8</v>
      </c>
      <c r="F3676" s="28">
        <f t="shared" si="182"/>
        <v>3</v>
      </c>
    </row>
    <row r="3677" spans="1:6" x14ac:dyDescent="0.35">
      <c r="A3677">
        <f t="shared" si="183"/>
        <v>0</v>
      </c>
      <c r="B3677" t="str">
        <f t="shared" si="184"/>
        <v>KH</v>
      </c>
      <c r="C3677" s="7" t="s">
        <v>101</v>
      </c>
      <c r="D3677" s="18">
        <f>VLOOKUP(C3677,'DISTRIBUIÇÃO NF4267'!$E$3:$FQ$75,MATCH(B3677,'DISTRIBUIÇÃO NF4267'!$E$3:$FQ$3,0)+1,0)</f>
        <v>4</v>
      </c>
      <c r="F3677" s="28">
        <f t="shared" si="182"/>
        <v>3</v>
      </c>
    </row>
    <row r="3678" spans="1:6" x14ac:dyDescent="0.35">
      <c r="A3678">
        <f t="shared" si="183"/>
        <v>0</v>
      </c>
      <c r="B3678" t="str">
        <f t="shared" si="184"/>
        <v>KH</v>
      </c>
      <c r="C3678" s="7" t="s">
        <v>102</v>
      </c>
      <c r="D3678" s="18">
        <f>VLOOKUP(C3678,'DISTRIBUIÇÃO NF4267'!$E$3:$FQ$75,MATCH(B3678,'DISTRIBUIÇÃO NF4267'!$E$3:$FQ$3,0)+1,0)</f>
        <v>4</v>
      </c>
      <c r="F3678" s="28">
        <f t="shared" si="182"/>
        <v>3</v>
      </c>
    </row>
    <row r="3679" spans="1:6" x14ac:dyDescent="0.35">
      <c r="A3679">
        <f t="shared" si="183"/>
        <v>0</v>
      </c>
      <c r="B3679" t="str">
        <f t="shared" si="184"/>
        <v>KH</v>
      </c>
      <c r="C3679" s="7" t="s">
        <v>103</v>
      </c>
      <c r="D3679" s="18">
        <f>VLOOKUP(C3679,'DISTRIBUIÇÃO NF4267'!$E$3:$FQ$75,MATCH(B3679,'DISTRIBUIÇÃO NF4267'!$E$3:$FQ$3,0)+1,0)</f>
        <v>0</v>
      </c>
      <c r="F3679" s="28">
        <f t="shared" si="182"/>
        <v>3</v>
      </c>
    </row>
    <row r="3680" spans="1:6" x14ac:dyDescent="0.35">
      <c r="A3680">
        <f t="shared" si="183"/>
        <v>0</v>
      </c>
      <c r="B3680" t="str">
        <f t="shared" si="184"/>
        <v>KH</v>
      </c>
      <c r="C3680" s="8" t="s">
        <v>107</v>
      </c>
      <c r="D3680" s="18">
        <f>VLOOKUP(C3680,'DISTRIBUIÇÃO NF4267'!$E$3:$FQ$75,MATCH(B3680,'DISTRIBUIÇÃO NF4267'!$E$3:$FQ$3,0)+1,0)</f>
        <v>0</v>
      </c>
      <c r="F3680" s="28">
        <f t="shared" si="182"/>
        <v>3</v>
      </c>
    </row>
    <row r="3681" spans="1:6" x14ac:dyDescent="0.35">
      <c r="A3681">
        <f t="shared" si="183"/>
        <v>0</v>
      </c>
      <c r="B3681" t="str">
        <f t="shared" si="184"/>
        <v>KH</v>
      </c>
      <c r="C3681" s="8" t="s">
        <v>108</v>
      </c>
      <c r="D3681" s="18">
        <f>VLOOKUP(C3681,'DISTRIBUIÇÃO NF4267'!$E$3:$FQ$75,MATCH(B3681,'DISTRIBUIÇÃO NF4267'!$E$3:$FQ$3,0)+1,0)</f>
        <v>2</v>
      </c>
      <c r="F3681" s="28">
        <f t="shared" si="182"/>
        <v>3</v>
      </c>
    </row>
    <row r="3682" spans="1:6" x14ac:dyDescent="0.35">
      <c r="A3682">
        <f t="shared" si="183"/>
        <v>0</v>
      </c>
      <c r="B3682" t="str">
        <f t="shared" si="184"/>
        <v>KH</v>
      </c>
      <c r="C3682" s="8" t="s">
        <v>109</v>
      </c>
      <c r="D3682" s="18">
        <f>VLOOKUP(C3682,'DISTRIBUIÇÃO NF4267'!$E$3:$FQ$75,MATCH(B3682,'DISTRIBUIÇÃO NF4267'!$E$3:$FQ$3,0)+1,0)</f>
        <v>4</v>
      </c>
      <c r="F3682" s="28">
        <f t="shared" si="182"/>
        <v>3</v>
      </c>
    </row>
    <row r="3683" spans="1:6" x14ac:dyDescent="0.35">
      <c r="A3683">
        <f t="shared" si="183"/>
        <v>0</v>
      </c>
      <c r="B3683" t="str">
        <f t="shared" si="184"/>
        <v>KH</v>
      </c>
      <c r="C3683" s="8" t="s">
        <v>110</v>
      </c>
      <c r="D3683" s="18">
        <f>VLOOKUP(C3683,'DISTRIBUIÇÃO NF4267'!$E$3:$FQ$75,MATCH(B3683,'DISTRIBUIÇÃO NF4267'!$E$3:$FQ$3,0)+1,0)</f>
        <v>2</v>
      </c>
      <c r="F3683" s="28">
        <f t="shared" si="182"/>
        <v>3</v>
      </c>
    </row>
    <row r="3684" spans="1:6" x14ac:dyDescent="0.35">
      <c r="A3684">
        <f t="shared" si="183"/>
        <v>0</v>
      </c>
      <c r="B3684" t="str">
        <f t="shared" si="184"/>
        <v>KH</v>
      </c>
      <c r="C3684" s="8" t="s">
        <v>111</v>
      </c>
      <c r="D3684" s="18">
        <f>VLOOKUP(C3684,'DISTRIBUIÇÃO NF4267'!$E$3:$FQ$75,MATCH(B3684,'DISTRIBUIÇÃO NF4267'!$E$3:$FQ$3,0)+1,0)</f>
        <v>2</v>
      </c>
      <c r="F3684" s="28">
        <f t="shared" si="182"/>
        <v>3</v>
      </c>
    </row>
    <row r="3685" spans="1:6" x14ac:dyDescent="0.35">
      <c r="A3685">
        <f t="shared" si="183"/>
        <v>0</v>
      </c>
      <c r="B3685" t="str">
        <f t="shared" si="184"/>
        <v>KH</v>
      </c>
      <c r="C3685" s="8" t="s">
        <v>112</v>
      </c>
      <c r="D3685" s="18">
        <f>VLOOKUP(C3685,'DISTRIBUIÇÃO NF4267'!$E$3:$FQ$75,MATCH(B3685,'DISTRIBUIÇÃO NF4267'!$E$3:$FQ$3,0)+1,0)</f>
        <v>0</v>
      </c>
      <c r="F3685" s="28">
        <f t="shared" si="182"/>
        <v>3</v>
      </c>
    </row>
    <row r="3686" spans="1:6" x14ac:dyDescent="0.35">
      <c r="A3686">
        <f t="shared" si="183"/>
        <v>0</v>
      </c>
      <c r="B3686" t="str">
        <f t="shared" si="184"/>
        <v>KH</v>
      </c>
      <c r="C3686" s="9" t="s">
        <v>113</v>
      </c>
      <c r="D3686" s="18">
        <f>VLOOKUP(C3686,'DISTRIBUIÇÃO NF4267'!$E$3:$FQ$75,MATCH(B3686,'DISTRIBUIÇÃO NF4267'!$E$3:$FQ$3,0)+1,0)</f>
        <v>0</v>
      </c>
      <c r="F3686" s="28">
        <f t="shared" si="182"/>
        <v>3</v>
      </c>
    </row>
    <row r="3687" spans="1:6" x14ac:dyDescent="0.35">
      <c r="A3687">
        <f t="shared" si="183"/>
        <v>0</v>
      </c>
      <c r="B3687" t="str">
        <f t="shared" si="184"/>
        <v>KH</v>
      </c>
      <c r="C3687" s="9" t="s">
        <v>114</v>
      </c>
      <c r="D3687" s="18">
        <f>VLOOKUP(C3687,'DISTRIBUIÇÃO NF4267'!$E$3:$FQ$75,MATCH(B3687,'DISTRIBUIÇÃO NF4267'!$E$3:$FQ$3,0)+1,0)</f>
        <v>3</v>
      </c>
      <c r="F3687" s="28">
        <f t="shared" si="182"/>
        <v>3</v>
      </c>
    </row>
    <row r="3688" spans="1:6" x14ac:dyDescent="0.35">
      <c r="A3688">
        <f t="shared" si="183"/>
        <v>0</v>
      </c>
      <c r="B3688" t="str">
        <f t="shared" si="184"/>
        <v>KH</v>
      </c>
      <c r="C3688" s="9" t="s">
        <v>115</v>
      </c>
      <c r="D3688" s="18">
        <f>VLOOKUP(C3688,'DISTRIBUIÇÃO NF4267'!$E$3:$FQ$75,MATCH(B3688,'DISTRIBUIÇÃO NF4267'!$E$3:$FQ$3,0)+1,0)</f>
        <v>4</v>
      </c>
      <c r="F3688" s="28">
        <f t="shared" si="182"/>
        <v>3</v>
      </c>
    </row>
    <row r="3689" spans="1:6" x14ac:dyDescent="0.35">
      <c r="A3689">
        <f t="shared" si="183"/>
        <v>0</v>
      </c>
      <c r="B3689" t="str">
        <f t="shared" si="184"/>
        <v>KH</v>
      </c>
      <c r="C3689" s="9" t="s">
        <v>116</v>
      </c>
      <c r="D3689" s="18">
        <f>VLOOKUP(C3689,'DISTRIBUIÇÃO NF4267'!$E$3:$FQ$75,MATCH(B3689,'DISTRIBUIÇÃO NF4267'!$E$3:$FQ$3,0)+1,0)</f>
        <v>2</v>
      </c>
      <c r="F3689" s="28">
        <f t="shared" si="182"/>
        <v>3</v>
      </c>
    </row>
    <row r="3690" spans="1:6" x14ac:dyDescent="0.35">
      <c r="A3690">
        <f t="shared" si="183"/>
        <v>0</v>
      </c>
      <c r="B3690" t="str">
        <f t="shared" si="184"/>
        <v>KH</v>
      </c>
      <c r="C3690" s="9" t="s">
        <v>117</v>
      </c>
      <c r="D3690" s="18">
        <f>VLOOKUP(C3690,'DISTRIBUIÇÃO NF4267'!$E$3:$FQ$75,MATCH(B3690,'DISTRIBUIÇÃO NF4267'!$E$3:$FQ$3,0)+1,0)</f>
        <v>1</v>
      </c>
      <c r="F3690" s="28">
        <f t="shared" si="182"/>
        <v>3</v>
      </c>
    </row>
    <row r="3691" spans="1:6" x14ac:dyDescent="0.35">
      <c r="A3691">
        <f t="shared" si="183"/>
        <v>0</v>
      </c>
      <c r="B3691" t="str">
        <f t="shared" si="184"/>
        <v>KH</v>
      </c>
      <c r="C3691" s="9" t="s">
        <v>118</v>
      </c>
      <c r="D3691" s="18">
        <f>VLOOKUP(C3691,'DISTRIBUIÇÃO NF4267'!$E$3:$FQ$75,MATCH(B3691,'DISTRIBUIÇÃO NF4267'!$E$3:$FQ$3,0)+1,0)</f>
        <v>0</v>
      </c>
      <c r="F3691" s="28">
        <f t="shared" si="182"/>
        <v>3</v>
      </c>
    </row>
    <row r="3692" spans="1:6" x14ac:dyDescent="0.35">
      <c r="A3692">
        <f t="shared" si="183"/>
        <v>0</v>
      </c>
      <c r="B3692" t="str">
        <f t="shared" si="184"/>
        <v>KH</v>
      </c>
      <c r="C3692" s="10" t="s">
        <v>119</v>
      </c>
      <c r="D3692" s="18">
        <f>VLOOKUP(C3692,'DISTRIBUIÇÃO NF4267'!$E$3:$FQ$75,MATCH(B3692,'DISTRIBUIÇÃO NF4267'!$E$3:$FQ$3,0)+1,0)</f>
        <v>0</v>
      </c>
      <c r="F3692" s="28">
        <f t="shared" si="182"/>
        <v>3</v>
      </c>
    </row>
    <row r="3693" spans="1:6" x14ac:dyDescent="0.35">
      <c r="A3693">
        <f t="shared" si="183"/>
        <v>0</v>
      </c>
      <c r="B3693" t="str">
        <f t="shared" si="184"/>
        <v>KH</v>
      </c>
      <c r="C3693" s="10" t="s">
        <v>120</v>
      </c>
      <c r="D3693" s="18">
        <f>VLOOKUP(C3693,'DISTRIBUIÇÃO NF4267'!$E$3:$FQ$75,MATCH(B3693,'DISTRIBUIÇÃO NF4267'!$E$3:$FQ$3,0)+1,0)</f>
        <v>48</v>
      </c>
      <c r="F3693" s="28">
        <f t="shared" si="182"/>
        <v>3</v>
      </c>
    </row>
    <row r="3694" spans="1:6" x14ac:dyDescent="0.35">
      <c r="A3694">
        <f t="shared" si="183"/>
        <v>0</v>
      </c>
      <c r="B3694" t="str">
        <f t="shared" si="184"/>
        <v>KH</v>
      </c>
      <c r="C3694" s="10" t="s">
        <v>121</v>
      </c>
      <c r="D3694" s="18">
        <f>VLOOKUP(C3694,'DISTRIBUIÇÃO NF4267'!$E$3:$FQ$75,MATCH(B3694,'DISTRIBUIÇÃO NF4267'!$E$3:$FQ$3,0)+1,0)</f>
        <v>16</v>
      </c>
      <c r="F3694" s="28">
        <f t="shared" si="182"/>
        <v>3</v>
      </c>
    </row>
    <row r="3695" spans="1:6" x14ac:dyDescent="0.35">
      <c r="A3695">
        <f t="shared" si="183"/>
        <v>0</v>
      </c>
      <c r="B3695" t="str">
        <f t="shared" si="184"/>
        <v>KH</v>
      </c>
      <c r="C3695" s="10" t="s">
        <v>122</v>
      </c>
      <c r="D3695" s="18">
        <f>VLOOKUP(C3695,'DISTRIBUIÇÃO NF4267'!$E$3:$FQ$75,MATCH(B3695,'DISTRIBUIÇÃO NF4267'!$E$3:$FQ$3,0)+1,0)</f>
        <v>16</v>
      </c>
      <c r="F3695" s="28">
        <f t="shared" si="182"/>
        <v>3</v>
      </c>
    </row>
    <row r="3696" spans="1:6" x14ac:dyDescent="0.35">
      <c r="A3696">
        <f t="shared" si="183"/>
        <v>0</v>
      </c>
      <c r="B3696" t="str">
        <f t="shared" si="184"/>
        <v>KH</v>
      </c>
      <c r="C3696" s="10" t="s">
        <v>123</v>
      </c>
      <c r="D3696" s="18">
        <f>VLOOKUP(C3696,'DISTRIBUIÇÃO NF4267'!$E$3:$FQ$75,MATCH(B3696,'DISTRIBUIÇÃO NF4267'!$E$3:$FQ$3,0)+1,0)</f>
        <v>0</v>
      </c>
      <c r="F3696" s="28">
        <f t="shared" si="182"/>
        <v>3</v>
      </c>
    </row>
    <row r="3697" spans="1:6" x14ac:dyDescent="0.35">
      <c r="A3697">
        <f t="shared" si="183"/>
        <v>0</v>
      </c>
      <c r="B3697" t="str">
        <f t="shared" si="184"/>
        <v>KH</v>
      </c>
      <c r="C3697" s="10" t="s">
        <v>124</v>
      </c>
      <c r="D3697" s="18">
        <f>VLOOKUP(C3697,'DISTRIBUIÇÃO NF4267'!$E$3:$FQ$75,MATCH(B3697,'DISTRIBUIÇÃO NF4267'!$E$3:$FQ$3,0)+1,0)</f>
        <v>0</v>
      </c>
      <c r="F3697" s="28">
        <f t="shared" si="182"/>
        <v>3</v>
      </c>
    </row>
    <row r="3698" spans="1:6" x14ac:dyDescent="0.35">
      <c r="A3698">
        <f t="shared" si="183"/>
        <v>0</v>
      </c>
      <c r="B3698" t="str">
        <f t="shared" si="184"/>
        <v>KH</v>
      </c>
      <c r="C3698" s="11" t="s">
        <v>16</v>
      </c>
      <c r="D3698" s="18">
        <f>VLOOKUP(C3698,'DISTRIBUIÇÃO NF4267'!$E$3:$FQ$75,MATCH(B3698,'DISTRIBUIÇÃO NF4267'!$E$3:$FQ$3,0)+1,0)</f>
        <v>0</v>
      </c>
      <c r="F3698" s="28">
        <f t="shared" si="182"/>
        <v>3</v>
      </c>
    </row>
    <row r="3699" spans="1:6" x14ac:dyDescent="0.35">
      <c r="A3699">
        <f t="shared" si="183"/>
        <v>0</v>
      </c>
      <c r="B3699" t="str">
        <f t="shared" si="184"/>
        <v>KH</v>
      </c>
      <c r="C3699" s="11" t="s">
        <v>17</v>
      </c>
      <c r="D3699" s="18">
        <f>VLOOKUP(C3699,'DISTRIBUIÇÃO NF4267'!$E$3:$FQ$75,MATCH(B3699,'DISTRIBUIÇÃO NF4267'!$E$3:$FQ$3,0)+1,0)</f>
        <v>9</v>
      </c>
      <c r="F3699" s="28">
        <f t="shared" si="182"/>
        <v>3</v>
      </c>
    </row>
    <row r="3700" spans="1:6" x14ac:dyDescent="0.35">
      <c r="A3700">
        <f t="shared" si="183"/>
        <v>0</v>
      </c>
      <c r="B3700" t="str">
        <f t="shared" si="184"/>
        <v>KH</v>
      </c>
      <c r="C3700" s="11" t="s">
        <v>18</v>
      </c>
      <c r="D3700" s="18">
        <f>VLOOKUP(C3700,'DISTRIBUIÇÃO NF4267'!$E$3:$FQ$75,MATCH(B3700,'DISTRIBUIÇÃO NF4267'!$E$3:$FQ$3,0)+1,0)</f>
        <v>3</v>
      </c>
      <c r="F3700" s="28">
        <f t="shared" si="182"/>
        <v>3</v>
      </c>
    </row>
    <row r="3701" spans="1:6" x14ac:dyDescent="0.35">
      <c r="A3701">
        <f t="shared" si="183"/>
        <v>0</v>
      </c>
      <c r="B3701" t="str">
        <f t="shared" si="184"/>
        <v>KH</v>
      </c>
      <c r="C3701" s="11" t="s">
        <v>19</v>
      </c>
      <c r="D3701" s="18">
        <f>VLOOKUP(C3701,'DISTRIBUIÇÃO NF4267'!$E$3:$FQ$75,MATCH(B3701,'DISTRIBUIÇÃO NF4267'!$E$3:$FQ$3,0)+1,0)</f>
        <v>3</v>
      </c>
      <c r="F3701" s="28">
        <f t="shared" si="182"/>
        <v>3</v>
      </c>
    </row>
    <row r="3702" spans="1:6" x14ac:dyDescent="0.35">
      <c r="A3702">
        <f t="shared" si="183"/>
        <v>0</v>
      </c>
      <c r="B3702" t="str">
        <f t="shared" si="184"/>
        <v>KH</v>
      </c>
      <c r="C3702" s="11" t="s">
        <v>20</v>
      </c>
      <c r="D3702" s="18">
        <f>VLOOKUP(C3702,'DISTRIBUIÇÃO NF4267'!$E$3:$FQ$75,MATCH(B3702,'DISTRIBUIÇÃO NF4267'!$E$3:$FQ$3,0)+1,0)</f>
        <v>15</v>
      </c>
      <c r="F3702" s="28">
        <f t="shared" si="182"/>
        <v>3</v>
      </c>
    </row>
    <row r="3703" spans="1:6" x14ac:dyDescent="0.35">
      <c r="A3703">
        <f t="shared" si="183"/>
        <v>0</v>
      </c>
      <c r="B3703" t="str">
        <f t="shared" si="184"/>
        <v>KH</v>
      </c>
      <c r="C3703" s="11" t="s">
        <v>21</v>
      </c>
      <c r="D3703" s="18">
        <f>VLOOKUP(C3703,'DISTRIBUIÇÃO NF4267'!$E$3:$FQ$75,MATCH(B3703,'DISTRIBUIÇÃO NF4267'!$E$3:$FQ$3,0)+1,0)</f>
        <v>0</v>
      </c>
      <c r="F3703" s="28">
        <f t="shared" si="182"/>
        <v>3</v>
      </c>
    </row>
    <row r="3704" spans="1:6" x14ac:dyDescent="0.35">
      <c r="A3704">
        <f t="shared" si="183"/>
        <v>0</v>
      </c>
      <c r="B3704" t="str">
        <f t="shared" si="184"/>
        <v>KH</v>
      </c>
      <c r="C3704" s="12" t="s">
        <v>130</v>
      </c>
      <c r="D3704" s="18">
        <f>VLOOKUP(C3704,'DISTRIBUIÇÃO NF4267'!$E$3:$FQ$75,MATCH(B3704,'DISTRIBUIÇÃO NF4267'!$E$3:$FQ$3,0)+1,0)</f>
        <v>0</v>
      </c>
      <c r="F3704" s="28">
        <f t="shared" ref="F3704:F3767" si="185">ROUNDUP(SUMIFS(D:D,B:B,B3704)/80,0)</f>
        <v>3</v>
      </c>
    </row>
    <row r="3705" spans="1:6" x14ac:dyDescent="0.35">
      <c r="A3705">
        <f t="shared" si="183"/>
        <v>0</v>
      </c>
      <c r="B3705" t="str">
        <f t="shared" si="184"/>
        <v>KH</v>
      </c>
      <c r="C3705" s="12" t="s">
        <v>131</v>
      </c>
      <c r="D3705" s="18">
        <f>VLOOKUP(C3705,'DISTRIBUIÇÃO NF4267'!$E$3:$FQ$75,MATCH(B3705,'DISTRIBUIÇÃO NF4267'!$E$3:$FQ$3,0)+1,0)</f>
        <v>0</v>
      </c>
      <c r="F3705" s="28">
        <f t="shared" si="185"/>
        <v>3</v>
      </c>
    </row>
    <row r="3706" spans="1:6" x14ac:dyDescent="0.35">
      <c r="A3706">
        <f t="shared" si="183"/>
        <v>0</v>
      </c>
      <c r="B3706" t="str">
        <f t="shared" si="184"/>
        <v>KH</v>
      </c>
      <c r="C3706" s="12" t="s">
        <v>132</v>
      </c>
      <c r="D3706" s="18">
        <f>VLOOKUP(C3706,'DISTRIBUIÇÃO NF4267'!$E$3:$FQ$75,MATCH(B3706,'DISTRIBUIÇÃO NF4267'!$E$3:$FQ$3,0)+1,0)</f>
        <v>0</v>
      </c>
      <c r="F3706" s="28">
        <f t="shared" si="185"/>
        <v>3</v>
      </c>
    </row>
    <row r="3707" spans="1:6" x14ac:dyDescent="0.35">
      <c r="A3707">
        <f t="shared" si="183"/>
        <v>0</v>
      </c>
      <c r="B3707" t="str">
        <f t="shared" si="184"/>
        <v>KH</v>
      </c>
      <c r="C3707" s="12" t="s">
        <v>133</v>
      </c>
      <c r="D3707" s="18">
        <f>VLOOKUP(C3707,'DISTRIBUIÇÃO NF4267'!$E$3:$FQ$75,MATCH(B3707,'DISTRIBUIÇÃO NF4267'!$E$3:$FQ$3,0)+1,0)</f>
        <v>0</v>
      </c>
      <c r="F3707" s="28">
        <f t="shared" si="185"/>
        <v>3</v>
      </c>
    </row>
    <row r="3708" spans="1:6" x14ac:dyDescent="0.35">
      <c r="A3708">
        <f t="shared" si="183"/>
        <v>0</v>
      </c>
      <c r="B3708" t="str">
        <f t="shared" si="184"/>
        <v>KH</v>
      </c>
      <c r="C3708" s="12" t="s">
        <v>134</v>
      </c>
      <c r="D3708" s="18">
        <f>VLOOKUP(C3708,'DISTRIBUIÇÃO NF4267'!$E$3:$FQ$75,MATCH(B3708,'DISTRIBUIÇÃO NF4267'!$E$3:$FQ$3,0)+1,0)</f>
        <v>0</v>
      </c>
      <c r="F3708" s="28">
        <f t="shared" si="185"/>
        <v>3</v>
      </c>
    </row>
    <row r="3709" spans="1:6" x14ac:dyDescent="0.35">
      <c r="A3709">
        <f t="shared" si="183"/>
        <v>0</v>
      </c>
      <c r="B3709" t="str">
        <f t="shared" si="184"/>
        <v>KH</v>
      </c>
      <c r="C3709" s="12" t="s">
        <v>135</v>
      </c>
      <c r="D3709" s="18">
        <f>VLOOKUP(C3709,'DISTRIBUIÇÃO NF4267'!$E$3:$FQ$75,MATCH(B3709,'DISTRIBUIÇÃO NF4267'!$E$3:$FQ$3,0)+1,0)</f>
        <v>0</v>
      </c>
      <c r="F3709" s="28">
        <f t="shared" si="185"/>
        <v>3</v>
      </c>
    </row>
    <row r="3710" spans="1:6" x14ac:dyDescent="0.35">
      <c r="A3710">
        <f t="shared" si="183"/>
        <v>0</v>
      </c>
      <c r="B3710" t="str">
        <f t="shared" si="184"/>
        <v>KH</v>
      </c>
      <c r="C3710" s="13" t="s">
        <v>22</v>
      </c>
      <c r="D3710" s="18">
        <f>VLOOKUP(C3710,'DISTRIBUIÇÃO NF4267'!$E$3:$FQ$75,MATCH(B3710,'DISTRIBUIÇÃO NF4267'!$E$3:$FQ$3,0)+1,0)</f>
        <v>0</v>
      </c>
      <c r="F3710" s="28">
        <f t="shared" si="185"/>
        <v>3</v>
      </c>
    </row>
    <row r="3711" spans="1:6" x14ac:dyDescent="0.35">
      <c r="A3711">
        <f t="shared" si="183"/>
        <v>0</v>
      </c>
      <c r="B3711" t="str">
        <f t="shared" si="184"/>
        <v>KH</v>
      </c>
      <c r="C3711" s="13" t="s">
        <v>23</v>
      </c>
      <c r="D3711" s="18">
        <f>VLOOKUP(C3711,'DISTRIBUIÇÃO NF4267'!$E$3:$FQ$75,MATCH(B3711,'DISTRIBUIÇÃO NF4267'!$E$3:$FQ$3,0)+1,0)</f>
        <v>0</v>
      </c>
      <c r="F3711" s="28">
        <f t="shared" si="185"/>
        <v>3</v>
      </c>
    </row>
    <row r="3712" spans="1:6" x14ac:dyDescent="0.35">
      <c r="A3712">
        <f t="shared" si="183"/>
        <v>0</v>
      </c>
      <c r="B3712" t="str">
        <f t="shared" si="184"/>
        <v>KH</v>
      </c>
      <c r="C3712" s="13" t="s">
        <v>24</v>
      </c>
      <c r="D3712" s="18">
        <f>VLOOKUP(C3712,'DISTRIBUIÇÃO NF4267'!$E$3:$FQ$75,MATCH(B3712,'DISTRIBUIÇÃO NF4267'!$E$3:$FQ$3,0)+1,0)</f>
        <v>0</v>
      </c>
      <c r="F3712" s="28">
        <f t="shared" si="185"/>
        <v>3</v>
      </c>
    </row>
    <row r="3713" spans="1:6" x14ac:dyDescent="0.35">
      <c r="A3713">
        <f t="shared" si="183"/>
        <v>0</v>
      </c>
      <c r="B3713" t="str">
        <f t="shared" si="184"/>
        <v>KH</v>
      </c>
      <c r="C3713" s="13" t="s">
        <v>25</v>
      </c>
      <c r="D3713" s="18">
        <f>VLOOKUP(C3713,'DISTRIBUIÇÃO NF4267'!$E$3:$FQ$75,MATCH(B3713,'DISTRIBUIÇÃO NF4267'!$E$3:$FQ$3,0)+1,0)</f>
        <v>0</v>
      </c>
      <c r="F3713" s="28">
        <f t="shared" si="185"/>
        <v>3</v>
      </c>
    </row>
    <row r="3714" spans="1:6" x14ac:dyDescent="0.35">
      <c r="A3714">
        <f t="shared" ref="A3714:A3777" si="186">IF(ISERROR(VLOOKUP(C3714,I:I,1,0)),0,1)</f>
        <v>0</v>
      </c>
      <c r="B3714" t="str">
        <f t="shared" si="184"/>
        <v>KH</v>
      </c>
      <c r="C3714" s="13" t="s">
        <v>26</v>
      </c>
      <c r="D3714" s="18">
        <f>VLOOKUP(C3714,'DISTRIBUIÇÃO NF4267'!$E$3:$FQ$75,MATCH(B3714,'DISTRIBUIÇÃO NF4267'!$E$3:$FQ$3,0)+1,0)</f>
        <v>0</v>
      </c>
      <c r="F3714" s="28">
        <f t="shared" si="185"/>
        <v>3</v>
      </c>
    </row>
    <row r="3715" spans="1:6" x14ac:dyDescent="0.35">
      <c r="A3715">
        <f t="shared" si="186"/>
        <v>0</v>
      </c>
      <c r="B3715" t="str">
        <f t="shared" si="184"/>
        <v>KH</v>
      </c>
      <c r="C3715" s="13" t="s">
        <v>27</v>
      </c>
      <c r="D3715" s="18">
        <f>VLOOKUP(C3715,'DISTRIBUIÇÃO NF4267'!$E$3:$FQ$75,MATCH(B3715,'DISTRIBUIÇÃO NF4267'!$E$3:$FQ$3,0)+1,0)</f>
        <v>0</v>
      </c>
      <c r="F3715" s="28">
        <f t="shared" si="185"/>
        <v>3</v>
      </c>
    </row>
    <row r="3716" spans="1:6" x14ac:dyDescent="0.35">
      <c r="A3716">
        <f t="shared" si="186"/>
        <v>0</v>
      </c>
      <c r="B3716" t="str">
        <f t="shared" si="184"/>
        <v>KH</v>
      </c>
      <c r="C3716" s="14" t="s">
        <v>138</v>
      </c>
      <c r="D3716" s="18">
        <f>VLOOKUP(C3716,'DISTRIBUIÇÃO NF4267'!$E$3:$FQ$75,MATCH(B3716,'DISTRIBUIÇÃO NF4267'!$E$3:$FQ$3,0)+1,0)</f>
        <v>0</v>
      </c>
      <c r="F3716" s="28">
        <f t="shared" si="185"/>
        <v>3</v>
      </c>
    </row>
    <row r="3717" spans="1:6" x14ac:dyDescent="0.35">
      <c r="A3717">
        <f t="shared" si="186"/>
        <v>0</v>
      </c>
      <c r="B3717" t="str">
        <f t="shared" si="184"/>
        <v>KH</v>
      </c>
      <c r="C3717" s="14" t="s">
        <v>139</v>
      </c>
      <c r="D3717" s="18">
        <f>VLOOKUP(C3717,'DISTRIBUIÇÃO NF4267'!$E$3:$FQ$75,MATCH(B3717,'DISTRIBUIÇÃO NF4267'!$E$3:$FQ$3,0)+1,0)</f>
        <v>2</v>
      </c>
      <c r="F3717" s="28">
        <f t="shared" si="185"/>
        <v>3</v>
      </c>
    </row>
    <row r="3718" spans="1:6" x14ac:dyDescent="0.35">
      <c r="A3718">
        <f t="shared" si="186"/>
        <v>0</v>
      </c>
      <c r="B3718" t="str">
        <f t="shared" si="184"/>
        <v>KH</v>
      </c>
      <c r="C3718" s="14" t="s">
        <v>140</v>
      </c>
      <c r="D3718" s="18">
        <f>VLOOKUP(C3718,'DISTRIBUIÇÃO NF4267'!$E$3:$FQ$75,MATCH(B3718,'DISTRIBUIÇÃO NF4267'!$E$3:$FQ$3,0)+1,0)</f>
        <v>4</v>
      </c>
      <c r="F3718" s="28">
        <f t="shared" si="185"/>
        <v>3</v>
      </c>
    </row>
    <row r="3719" spans="1:6" x14ac:dyDescent="0.35">
      <c r="A3719">
        <f t="shared" si="186"/>
        <v>0</v>
      </c>
      <c r="B3719" t="str">
        <f t="shared" si="184"/>
        <v>KH</v>
      </c>
      <c r="C3719" s="14" t="s">
        <v>141</v>
      </c>
      <c r="D3719" s="18">
        <f>VLOOKUP(C3719,'DISTRIBUIÇÃO NF4267'!$E$3:$FQ$75,MATCH(B3719,'DISTRIBUIÇÃO NF4267'!$E$3:$FQ$3,0)+1,0)</f>
        <v>2</v>
      </c>
      <c r="F3719" s="28">
        <f t="shared" si="185"/>
        <v>3</v>
      </c>
    </row>
    <row r="3720" spans="1:6" x14ac:dyDescent="0.35">
      <c r="A3720">
        <f t="shared" si="186"/>
        <v>0</v>
      </c>
      <c r="B3720" t="str">
        <f t="shared" si="184"/>
        <v>KH</v>
      </c>
      <c r="C3720" s="14" t="s">
        <v>142</v>
      </c>
      <c r="D3720" s="18">
        <f>VLOOKUP(C3720,'DISTRIBUIÇÃO NF4267'!$E$3:$FQ$75,MATCH(B3720,'DISTRIBUIÇÃO NF4267'!$E$3:$FQ$3,0)+1,0)</f>
        <v>2</v>
      </c>
      <c r="F3720" s="28">
        <f t="shared" si="185"/>
        <v>3</v>
      </c>
    </row>
    <row r="3721" spans="1:6" x14ac:dyDescent="0.35">
      <c r="A3721">
        <f t="shared" si="186"/>
        <v>0</v>
      </c>
      <c r="B3721" t="str">
        <f t="shared" si="184"/>
        <v>KH</v>
      </c>
      <c r="C3721" s="14" t="s">
        <v>143</v>
      </c>
      <c r="D3721" s="18">
        <f>VLOOKUP(C3721,'DISTRIBUIÇÃO NF4267'!$E$3:$FQ$75,MATCH(B3721,'DISTRIBUIÇÃO NF4267'!$E$3:$FQ$3,0)+1,0)</f>
        <v>0</v>
      </c>
      <c r="F3721" s="28">
        <f t="shared" si="185"/>
        <v>3</v>
      </c>
    </row>
    <row r="3722" spans="1:6" x14ac:dyDescent="0.35">
      <c r="A3722">
        <f t="shared" si="186"/>
        <v>0</v>
      </c>
      <c r="B3722" t="str">
        <f t="shared" si="184"/>
        <v>KH</v>
      </c>
      <c r="C3722" s="15" t="s">
        <v>145</v>
      </c>
      <c r="D3722" s="18">
        <f>VLOOKUP(C3722,'DISTRIBUIÇÃO NF4267'!$E$3:$FQ$75,MATCH(B3722,'DISTRIBUIÇÃO NF4267'!$E$3:$FQ$3,0)+1,0)</f>
        <v>0</v>
      </c>
      <c r="F3722" s="28">
        <f t="shared" si="185"/>
        <v>3</v>
      </c>
    </row>
    <row r="3723" spans="1:6" x14ac:dyDescent="0.35">
      <c r="A3723">
        <f t="shared" si="186"/>
        <v>0</v>
      </c>
      <c r="B3723" t="str">
        <f t="shared" si="184"/>
        <v>KH</v>
      </c>
      <c r="C3723" s="15" t="s">
        <v>146</v>
      </c>
      <c r="D3723" s="18">
        <f>VLOOKUP(C3723,'DISTRIBUIÇÃO NF4267'!$E$3:$FQ$75,MATCH(B3723,'DISTRIBUIÇÃO NF4267'!$E$3:$FQ$3,0)+1,0)</f>
        <v>2</v>
      </c>
      <c r="F3723" s="28">
        <f t="shared" si="185"/>
        <v>3</v>
      </c>
    </row>
    <row r="3724" spans="1:6" x14ac:dyDescent="0.35">
      <c r="A3724">
        <f t="shared" si="186"/>
        <v>0</v>
      </c>
      <c r="B3724" t="str">
        <f t="shared" si="184"/>
        <v>KH</v>
      </c>
      <c r="C3724" s="15" t="s">
        <v>147</v>
      </c>
      <c r="D3724" s="18">
        <f>VLOOKUP(C3724,'DISTRIBUIÇÃO NF4267'!$E$3:$FQ$75,MATCH(B3724,'DISTRIBUIÇÃO NF4267'!$E$3:$FQ$3,0)+1,0)</f>
        <v>4</v>
      </c>
      <c r="F3724" s="28">
        <f t="shared" si="185"/>
        <v>3</v>
      </c>
    </row>
    <row r="3725" spans="1:6" x14ac:dyDescent="0.35">
      <c r="A3725">
        <f t="shared" si="186"/>
        <v>0</v>
      </c>
      <c r="B3725" t="str">
        <f t="shared" si="184"/>
        <v>KH</v>
      </c>
      <c r="C3725" s="15" t="s">
        <v>148</v>
      </c>
      <c r="D3725" s="18">
        <f>VLOOKUP(C3725,'DISTRIBUIÇÃO NF4267'!$E$3:$FQ$75,MATCH(B3725,'DISTRIBUIÇÃO NF4267'!$E$3:$FQ$3,0)+1,0)</f>
        <v>2</v>
      </c>
      <c r="F3725" s="28">
        <f t="shared" si="185"/>
        <v>3</v>
      </c>
    </row>
    <row r="3726" spans="1:6" x14ac:dyDescent="0.35">
      <c r="A3726">
        <f t="shared" si="186"/>
        <v>0</v>
      </c>
      <c r="B3726" t="str">
        <f t="shared" si="184"/>
        <v>KH</v>
      </c>
      <c r="C3726" s="15" t="s">
        <v>149</v>
      </c>
      <c r="D3726" s="18">
        <f>VLOOKUP(C3726,'DISTRIBUIÇÃO NF4267'!$E$3:$FQ$75,MATCH(B3726,'DISTRIBUIÇÃO NF4267'!$E$3:$FQ$3,0)+1,0)</f>
        <v>2</v>
      </c>
      <c r="F3726" s="28">
        <f t="shared" si="185"/>
        <v>3</v>
      </c>
    </row>
    <row r="3727" spans="1:6" x14ac:dyDescent="0.35">
      <c r="A3727">
        <f t="shared" si="186"/>
        <v>0</v>
      </c>
      <c r="B3727" t="str">
        <f t="shared" si="184"/>
        <v>KH</v>
      </c>
      <c r="C3727" s="15" t="s">
        <v>150</v>
      </c>
      <c r="D3727" s="18">
        <f>VLOOKUP(C3727,'DISTRIBUIÇÃO NF4267'!$E$3:$FQ$75,MATCH(B3727,'DISTRIBUIÇÃO NF4267'!$E$3:$FQ$3,0)+1,0)</f>
        <v>0</v>
      </c>
      <c r="F3727" s="28">
        <f t="shared" si="185"/>
        <v>3</v>
      </c>
    </row>
    <row r="3728" spans="1:6" x14ac:dyDescent="0.35">
      <c r="A3728">
        <f t="shared" si="186"/>
        <v>0</v>
      </c>
      <c r="B3728" t="s">
        <v>78</v>
      </c>
      <c r="C3728" s="7" t="s">
        <v>98</v>
      </c>
      <c r="D3728" s="18">
        <f>VLOOKUP(C3728,'DISTRIBUIÇÃO NF4267'!$E$3:$FQ$75,MATCH(B3728,'DISTRIBUIÇÃO NF4267'!$E$3:$FQ$3,0)+1,0)</f>
        <v>0</v>
      </c>
      <c r="F3728" s="28">
        <f t="shared" si="185"/>
        <v>3</v>
      </c>
    </row>
    <row r="3729" spans="1:6" x14ac:dyDescent="0.35">
      <c r="A3729">
        <f t="shared" si="186"/>
        <v>0</v>
      </c>
      <c r="B3729" t="str">
        <f>B3728</f>
        <v>Q4</v>
      </c>
      <c r="C3729" s="7" t="s">
        <v>99</v>
      </c>
      <c r="D3729" s="18">
        <f>VLOOKUP(C3729,'DISTRIBUIÇÃO NF4267'!$E$3:$FQ$75,MATCH(B3729,'DISTRIBUIÇÃO NF4267'!$E$3:$FQ$3,0)+1,0)</f>
        <v>4</v>
      </c>
      <c r="F3729" s="28">
        <f t="shared" si="185"/>
        <v>3</v>
      </c>
    </row>
    <row r="3730" spans="1:6" x14ac:dyDescent="0.35">
      <c r="A3730">
        <f t="shared" si="186"/>
        <v>0</v>
      </c>
      <c r="B3730" t="str">
        <f t="shared" ref="B3730:B3781" si="187">B3729</f>
        <v>Q4</v>
      </c>
      <c r="C3730" s="7" t="s">
        <v>100</v>
      </c>
      <c r="D3730" s="18">
        <f>VLOOKUP(C3730,'DISTRIBUIÇÃO NF4267'!$E$3:$FQ$75,MATCH(B3730,'DISTRIBUIÇÃO NF4267'!$E$3:$FQ$3,0)+1,0)</f>
        <v>8</v>
      </c>
      <c r="F3730" s="28">
        <f t="shared" si="185"/>
        <v>3</v>
      </c>
    </row>
    <row r="3731" spans="1:6" x14ac:dyDescent="0.35">
      <c r="A3731">
        <f t="shared" si="186"/>
        <v>0</v>
      </c>
      <c r="B3731" t="str">
        <f t="shared" si="187"/>
        <v>Q4</v>
      </c>
      <c r="C3731" s="7" t="s">
        <v>101</v>
      </c>
      <c r="D3731" s="18">
        <f>VLOOKUP(C3731,'DISTRIBUIÇÃO NF4267'!$E$3:$FQ$75,MATCH(B3731,'DISTRIBUIÇÃO NF4267'!$E$3:$FQ$3,0)+1,0)</f>
        <v>4</v>
      </c>
      <c r="F3731" s="28">
        <f t="shared" si="185"/>
        <v>3</v>
      </c>
    </row>
    <row r="3732" spans="1:6" x14ac:dyDescent="0.35">
      <c r="A3732">
        <f t="shared" si="186"/>
        <v>0</v>
      </c>
      <c r="B3732" t="str">
        <f t="shared" si="187"/>
        <v>Q4</v>
      </c>
      <c r="C3732" s="7" t="s">
        <v>102</v>
      </c>
      <c r="D3732" s="18">
        <f>VLOOKUP(C3732,'DISTRIBUIÇÃO NF4267'!$E$3:$FQ$75,MATCH(B3732,'DISTRIBUIÇÃO NF4267'!$E$3:$FQ$3,0)+1,0)</f>
        <v>4</v>
      </c>
      <c r="F3732" s="28">
        <f t="shared" si="185"/>
        <v>3</v>
      </c>
    </row>
    <row r="3733" spans="1:6" x14ac:dyDescent="0.35">
      <c r="A3733">
        <f t="shared" si="186"/>
        <v>0</v>
      </c>
      <c r="B3733" t="str">
        <f t="shared" si="187"/>
        <v>Q4</v>
      </c>
      <c r="C3733" s="7" t="s">
        <v>103</v>
      </c>
      <c r="D3733" s="18">
        <f>VLOOKUP(C3733,'DISTRIBUIÇÃO NF4267'!$E$3:$FQ$75,MATCH(B3733,'DISTRIBUIÇÃO NF4267'!$E$3:$FQ$3,0)+1,0)</f>
        <v>0</v>
      </c>
      <c r="F3733" s="28">
        <f t="shared" si="185"/>
        <v>3</v>
      </c>
    </row>
    <row r="3734" spans="1:6" x14ac:dyDescent="0.35">
      <c r="A3734">
        <f t="shared" si="186"/>
        <v>0</v>
      </c>
      <c r="B3734" t="str">
        <f t="shared" si="187"/>
        <v>Q4</v>
      </c>
      <c r="C3734" s="8" t="s">
        <v>107</v>
      </c>
      <c r="D3734" s="18">
        <f>VLOOKUP(C3734,'DISTRIBUIÇÃO NF4267'!$E$3:$FQ$75,MATCH(B3734,'DISTRIBUIÇÃO NF4267'!$E$3:$FQ$3,0)+1,0)</f>
        <v>0</v>
      </c>
      <c r="F3734" s="28">
        <f t="shared" si="185"/>
        <v>3</v>
      </c>
    </row>
    <row r="3735" spans="1:6" x14ac:dyDescent="0.35">
      <c r="A3735">
        <f t="shared" si="186"/>
        <v>0</v>
      </c>
      <c r="B3735" t="str">
        <f t="shared" si="187"/>
        <v>Q4</v>
      </c>
      <c r="C3735" s="8" t="s">
        <v>108</v>
      </c>
      <c r="D3735" s="18">
        <f>VLOOKUP(C3735,'DISTRIBUIÇÃO NF4267'!$E$3:$FQ$75,MATCH(B3735,'DISTRIBUIÇÃO NF4267'!$E$3:$FQ$3,0)+1,0)</f>
        <v>2</v>
      </c>
      <c r="F3735" s="28">
        <f t="shared" si="185"/>
        <v>3</v>
      </c>
    </row>
    <row r="3736" spans="1:6" x14ac:dyDescent="0.35">
      <c r="A3736">
        <f t="shared" si="186"/>
        <v>0</v>
      </c>
      <c r="B3736" t="str">
        <f t="shared" si="187"/>
        <v>Q4</v>
      </c>
      <c r="C3736" s="8" t="s">
        <v>109</v>
      </c>
      <c r="D3736" s="18">
        <f>VLOOKUP(C3736,'DISTRIBUIÇÃO NF4267'!$E$3:$FQ$75,MATCH(B3736,'DISTRIBUIÇÃO NF4267'!$E$3:$FQ$3,0)+1,0)</f>
        <v>4</v>
      </c>
      <c r="F3736" s="28">
        <f t="shared" si="185"/>
        <v>3</v>
      </c>
    </row>
    <row r="3737" spans="1:6" x14ac:dyDescent="0.35">
      <c r="A3737">
        <f t="shared" si="186"/>
        <v>0</v>
      </c>
      <c r="B3737" t="str">
        <f t="shared" si="187"/>
        <v>Q4</v>
      </c>
      <c r="C3737" s="8" t="s">
        <v>110</v>
      </c>
      <c r="D3737" s="18">
        <f>VLOOKUP(C3737,'DISTRIBUIÇÃO NF4267'!$E$3:$FQ$75,MATCH(B3737,'DISTRIBUIÇÃO NF4267'!$E$3:$FQ$3,0)+1,0)</f>
        <v>2</v>
      </c>
      <c r="F3737" s="28">
        <f t="shared" si="185"/>
        <v>3</v>
      </c>
    </row>
    <row r="3738" spans="1:6" x14ac:dyDescent="0.35">
      <c r="A3738">
        <f t="shared" si="186"/>
        <v>0</v>
      </c>
      <c r="B3738" t="str">
        <f t="shared" si="187"/>
        <v>Q4</v>
      </c>
      <c r="C3738" s="8" t="s">
        <v>111</v>
      </c>
      <c r="D3738" s="18">
        <f>VLOOKUP(C3738,'DISTRIBUIÇÃO NF4267'!$E$3:$FQ$75,MATCH(B3738,'DISTRIBUIÇÃO NF4267'!$E$3:$FQ$3,0)+1,0)</f>
        <v>2</v>
      </c>
      <c r="F3738" s="28">
        <f t="shared" si="185"/>
        <v>3</v>
      </c>
    </row>
    <row r="3739" spans="1:6" x14ac:dyDescent="0.35">
      <c r="A3739">
        <f t="shared" si="186"/>
        <v>0</v>
      </c>
      <c r="B3739" t="str">
        <f t="shared" si="187"/>
        <v>Q4</v>
      </c>
      <c r="C3739" s="8" t="s">
        <v>112</v>
      </c>
      <c r="D3739" s="18">
        <f>VLOOKUP(C3739,'DISTRIBUIÇÃO NF4267'!$E$3:$FQ$75,MATCH(B3739,'DISTRIBUIÇÃO NF4267'!$E$3:$FQ$3,0)+1,0)</f>
        <v>0</v>
      </c>
      <c r="F3739" s="28">
        <f t="shared" si="185"/>
        <v>3</v>
      </c>
    </row>
    <row r="3740" spans="1:6" x14ac:dyDescent="0.35">
      <c r="A3740">
        <f t="shared" si="186"/>
        <v>0</v>
      </c>
      <c r="B3740" t="str">
        <f t="shared" si="187"/>
        <v>Q4</v>
      </c>
      <c r="C3740" s="9" t="s">
        <v>113</v>
      </c>
      <c r="D3740" s="18">
        <f>VLOOKUP(C3740,'DISTRIBUIÇÃO NF4267'!$E$3:$FQ$75,MATCH(B3740,'DISTRIBUIÇÃO NF4267'!$E$3:$FQ$3,0)+1,0)</f>
        <v>0</v>
      </c>
      <c r="F3740" s="28">
        <f t="shared" si="185"/>
        <v>3</v>
      </c>
    </row>
    <row r="3741" spans="1:6" x14ac:dyDescent="0.35">
      <c r="A3741">
        <f t="shared" si="186"/>
        <v>0</v>
      </c>
      <c r="B3741" t="str">
        <f t="shared" si="187"/>
        <v>Q4</v>
      </c>
      <c r="C3741" s="9" t="s">
        <v>114</v>
      </c>
      <c r="D3741" s="18">
        <f>VLOOKUP(C3741,'DISTRIBUIÇÃO NF4267'!$E$3:$FQ$75,MATCH(B3741,'DISTRIBUIÇÃO NF4267'!$E$3:$FQ$3,0)+1,0)</f>
        <v>3</v>
      </c>
      <c r="F3741" s="28">
        <f t="shared" si="185"/>
        <v>3</v>
      </c>
    </row>
    <row r="3742" spans="1:6" x14ac:dyDescent="0.35">
      <c r="A3742">
        <f t="shared" si="186"/>
        <v>0</v>
      </c>
      <c r="B3742" t="str">
        <f t="shared" si="187"/>
        <v>Q4</v>
      </c>
      <c r="C3742" s="9" t="s">
        <v>115</v>
      </c>
      <c r="D3742" s="18">
        <f>VLOOKUP(C3742,'DISTRIBUIÇÃO NF4267'!$E$3:$FQ$75,MATCH(B3742,'DISTRIBUIÇÃO NF4267'!$E$3:$FQ$3,0)+1,0)</f>
        <v>4</v>
      </c>
      <c r="F3742" s="28">
        <f t="shared" si="185"/>
        <v>3</v>
      </c>
    </row>
    <row r="3743" spans="1:6" x14ac:dyDescent="0.35">
      <c r="A3743">
        <f t="shared" si="186"/>
        <v>0</v>
      </c>
      <c r="B3743" t="str">
        <f t="shared" si="187"/>
        <v>Q4</v>
      </c>
      <c r="C3743" s="9" t="s">
        <v>116</v>
      </c>
      <c r="D3743" s="18">
        <f>VLOOKUP(C3743,'DISTRIBUIÇÃO NF4267'!$E$3:$FQ$75,MATCH(B3743,'DISTRIBUIÇÃO NF4267'!$E$3:$FQ$3,0)+1,0)</f>
        <v>2</v>
      </c>
      <c r="F3743" s="28">
        <f t="shared" si="185"/>
        <v>3</v>
      </c>
    </row>
    <row r="3744" spans="1:6" x14ac:dyDescent="0.35">
      <c r="A3744">
        <f t="shared" si="186"/>
        <v>0</v>
      </c>
      <c r="B3744" t="str">
        <f t="shared" si="187"/>
        <v>Q4</v>
      </c>
      <c r="C3744" s="9" t="s">
        <v>117</v>
      </c>
      <c r="D3744" s="18">
        <f>VLOOKUP(C3744,'DISTRIBUIÇÃO NF4267'!$E$3:$FQ$75,MATCH(B3744,'DISTRIBUIÇÃO NF4267'!$E$3:$FQ$3,0)+1,0)</f>
        <v>1</v>
      </c>
      <c r="F3744" s="28">
        <f t="shared" si="185"/>
        <v>3</v>
      </c>
    </row>
    <row r="3745" spans="1:6" x14ac:dyDescent="0.35">
      <c r="A3745">
        <f t="shared" si="186"/>
        <v>0</v>
      </c>
      <c r="B3745" t="str">
        <f t="shared" si="187"/>
        <v>Q4</v>
      </c>
      <c r="C3745" s="9" t="s">
        <v>118</v>
      </c>
      <c r="D3745" s="18">
        <f>VLOOKUP(C3745,'DISTRIBUIÇÃO NF4267'!$E$3:$FQ$75,MATCH(B3745,'DISTRIBUIÇÃO NF4267'!$E$3:$FQ$3,0)+1,0)</f>
        <v>0</v>
      </c>
      <c r="F3745" s="28">
        <f t="shared" si="185"/>
        <v>3</v>
      </c>
    </row>
    <row r="3746" spans="1:6" x14ac:dyDescent="0.35">
      <c r="A3746">
        <f t="shared" si="186"/>
        <v>0</v>
      </c>
      <c r="B3746" t="str">
        <f t="shared" si="187"/>
        <v>Q4</v>
      </c>
      <c r="C3746" s="10" t="s">
        <v>119</v>
      </c>
      <c r="D3746" s="18">
        <f>VLOOKUP(C3746,'DISTRIBUIÇÃO NF4267'!$E$3:$FQ$75,MATCH(B3746,'DISTRIBUIÇÃO NF4267'!$E$3:$FQ$3,0)+1,0)</f>
        <v>0</v>
      </c>
      <c r="F3746" s="28">
        <f t="shared" si="185"/>
        <v>3</v>
      </c>
    </row>
    <row r="3747" spans="1:6" x14ac:dyDescent="0.35">
      <c r="A3747">
        <f t="shared" si="186"/>
        <v>0</v>
      </c>
      <c r="B3747" t="str">
        <f t="shared" si="187"/>
        <v>Q4</v>
      </c>
      <c r="C3747" s="10" t="s">
        <v>120</v>
      </c>
      <c r="D3747" s="18">
        <f>VLOOKUP(C3747,'DISTRIBUIÇÃO NF4267'!$E$3:$FQ$75,MATCH(B3747,'DISTRIBUIÇÃO NF4267'!$E$3:$FQ$3,0)+1,0)</f>
        <v>48</v>
      </c>
      <c r="F3747" s="28">
        <f t="shared" si="185"/>
        <v>3</v>
      </c>
    </row>
    <row r="3748" spans="1:6" x14ac:dyDescent="0.35">
      <c r="A3748">
        <f t="shared" si="186"/>
        <v>0</v>
      </c>
      <c r="B3748" t="str">
        <f t="shared" si="187"/>
        <v>Q4</v>
      </c>
      <c r="C3748" s="10" t="s">
        <v>121</v>
      </c>
      <c r="D3748" s="18">
        <f>VLOOKUP(C3748,'DISTRIBUIÇÃO NF4267'!$E$3:$FQ$75,MATCH(B3748,'DISTRIBUIÇÃO NF4267'!$E$3:$FQ$3,0)+1,0)</f>
        <v>16</v>
      </c>
      <c r="F3748" s="28">
        <f t="shared" si="185"/>
        <v>3</v>
      </c>
    </row>
    <row r="3749" spans="1:6" x14ac:dyDescent="0.35">
      <c r="A3749">
        <f t="shared" si="186"/>
        <v>0</v>
      </c>
      <c r="B3749" t="str">
        <f t="shared" si="187"/>
        <v>Q4</v>
      </c>
      <c r="C3749" s="10" t="s">
        <v>122</v>
      </c>
      <c r="D3749" s="18">
        <f>VLOOKUP(C3749,'DISTRIBUIÇÃO NF4267'!$E$3:$FQ$75,MATCH(B3749,'DISTRIBUIÇÃO NF4267'!$E$3:$FQ$3,0)+1,0)</f>
        <v>16</v>
      </c>
      <c r="F3749" s="28">
        <f t="shared" si="185"/>
        <v>3</v>
      </c>
    </row>
    <row r="3750" spans="1:6" x14ac:dyDescent="0.35">
      <c r="A3750">
        <f t="shared" si="186"/>
        <v>0</v>
      </c>
      <c r="B3750" t="str">
        <f t="shared" si="187"/>
        <v>Q4</v>
      </c>
      <c r="C3750" s="10" t="s">
        <v>123</v>
      </c>
      <c r="D3750" s="18">
        <f>VLOOKUP(C3750,'DISTRIBUIÇÃO NF4267'!$E$3:$FQ$75,MATCH(B3750,'DISTRIBUIÇÃO NF4267'!$E$3:$FQ$3,0)+1,0)</f>
        <v>0</v>
      </c>
      <c r="F3750" s="28">
        <f t="shared" si="185"/>
        <v>3</v>
      </c>
    </row>
    <row r="3751" spans="1:6" x14ac:dyDescent="0.35">
      <c r="A3751">
        <f t="shared" si="186"/>
        <v>0</v>
      </c>
      <c r="B3751" t="str">
        <f t="shared" si="187"/>
        <v>Q4</v>
      </c>
      <c r="C3751" s="10" t="s">
        <v>124</v>
      </c>
      <c r="D3751" s="18">
        <f>VLOOKUP(C3751,'DISTRIBUIÇÃO NF4267'!$E$3:$FQ$75,MATCH(B3751,'DISTRIBUIÇÃO NF4267'!$E$3:$FQ$3,0)+1,0)</f>
        <v>0</v>
      </c>
      <c r="F3751" s="28">
        <f t="shared" si="185"/>
        <v>3</v>
      </c>
    </row>
    <row r="3752" spans="1:6" x14ac:dyDescent="0.35">
      <c r="A3752">
        <f t="shared" si="186"/>
        <v>0</v>
      </c>
      <c r="B3752" t="str">
        <f t="shared" si="187"/>
        <v>Q4</v>
      </c>
      <c r="C3752" s="11" t="s">
        <v>16</v>
      </c>
      <c r="D3752" s="18">
        <f>VLOOKUP(C3752,'DISTRIBUIÇÃO NF4267'!$E$3:$FQ$75,MATCH(B3752,'DISTRIBUIÇÃO NF4267'!$E$3:$FQ$3,0)+1,0)</f>
        <v>0</v>
      </c>
      <c r="F3752" s="28">
        <f t="shared" si="185"/>
        <v>3</v>
      </c>
    </row>
    <row r="3753" spans="1:6" x14ac:dyDescent="0.35">
      <c r="A3753">
        <f t="shared" si="186"/>
        <v>0</v>
      </c>
      <c r="B3753" t="str">
        <f t="shared" si="187"/>
        <v>Q4</v>
      </c>
      <c r="C3753" s="11" t="s">
        <v>17</v>
      </c>
      <c r="D3753" s="18">
        <f>VLOOKUP(C3753,'DISTRIBUIÇÃO NF4267'!$E$3:$FQ$75,MATCH(B3753,'DISTRIBUIÇÃO NF4267'!$E$3:$FQ$3,0)+1,0)</f>
        <v>9</v>
      </c>
      <c r="F3753" s="28">
        <f t="shared" si="185"/>
        <v>3</v>
      </c>
    </row>
    <row r="3754" spans="1:6" x14ac:dyDescent="0.35">
      <c r="A3754">
        <f t="shared" si="186"/>
        <v>0</v>
      </c>
      <c r="B3754" t="str">
        <f t="shared" si="187"/>
        <v>Q4</v>
      </c>
      <c r="C3754" s="11" t="s">
        <v>18</v>
      </c>
      <c r="D3754" s="18">
        <f>VLOOKUP(C3754,'DISTRIBUIÇÃO NF4267'!$E$3:$FQ$75,MATCH(B3754,'DISTRIBUIÇÃO NF4267'!$E$3:$FQ$3,0)+1,0)</f>
        <v>3</v>
      </c>
      <c r="F3754" s="28">
        <f t="shared" si="185"/>
        <v>3</v>
      </c>
    </row>
    <row r="3755" spans="1:6" x14ac:dyDescent="0.35">
      <c r="A3755">
        <f t="shared" si="186"/>
        <v>0</v>
      </c>
      <c r="B3755" t="str">
        <f t="shared" si="187"/>
        <v>Q4</v>
      </c>
      <c r="C3755" s="11" t="s">
        <v>19</v>
      </c>
      <c r="D3755" s="18">
        <f>VLOOKUP(C3755,'DISTRIBUIÇÃO NF4267'!$E$3:$FQ$75,MATCH(B3755,'DISTRIBUIÇÃO NF4267'!$E$3:$FQ$3,0)+1,0)</f>
        <v>3</v>
      </c>
      <c r="F3755" s="28">
        <f t="shared" si="185"/>
        <v>3</v>
      </c>
    </row>
    <row r="3756" spans="1:6" x14ac:dyDescent="0.35">
      <c r="A3756">
        <f t="shared" si="186"/>
        <v>0</v>
      </c>
      <c r="B3756" t="str">
        <f t="shared" si="187"/>
        <v>Q4</v>
      </c>
      <c r="C3756" s="11" t="s">
        <v>20</v>
      </c>
      <c r="D3756" s="18">
        <f>VLOOKUP(C3756,'DISTRIBUIÇÃO NF4267'!$E$3:$FQ$75,MATCH(B3756,'DISTRIBUIÇÃO NF4267'!$E$3:$FQ$3,0)+1,0)</f>
        <v>15</v>
      </c>
      <c r="F3756" s="28">
        <f t="shared" si="185"/>
        <v>3</v>
      </c>
    </row>
    <row r="3757" spans="1:6" x14ac:dyDescent="0.35">
      <c r="A3757">
        <f t="shared" si="186"/>
        <v>0</v>
      </c>
      <c r="B3757" t="str">
        <f t="shared" si="187"/>
        <v>Q4</v>
      </c>
      <c r="C3757" s="11" t="s">
        <v>21</v>
      </c>
      <c r="D3757" s="18">
        <f>VLOOKUP(C3757,'DISTRIBUIÇÃO NF4267'!$E$3:$FQ$75,MATCH(B3757,'DISTRIBUIÇÃO NF4267'!$E$3:$FQ$3,0)+1,0)</f>
        <v>0</v>
      </c>
      <c r="F3757" s="28">
        <f t="shared" si="185"/>
        <v>3</v>
      </c>
    </row>
    <row r="3758" spans="1:6" x14ac:dyDescent="0.35">
      <c r="A3758">
        <f t="shared" si="186"/>
        <v>0</v>
      </c>
      <c r="B3758" t="str">
        <f t="shared" si="187"/>
        <v>Q4</v>
      </c>
      <c r="C3758" s="12" t="s">
        <v>130</v>
      </c>
      <c r="D3758" s="18">
        <f>VLOOKUP(C3758,'DISTRIBUIÇÃO NF4267'!$E$3:$FQ$75,MATCH(B3758,'DISTRIBUIÇÃO NF4267'!$E$3:$FQ$3,0)+1,0)</f>
        <v>0</v>
      </c>
      <c r="F3758" s="28">
        <f t="shared" si="185"/>
        <v>3</v>
      </c>
    </row>
    <row r="3759" spans="1:6" x14ac:dyDescent="0.35">
      <c r="A3759">
        <f t="shared" si="186"/>
        <v>0</v>
      </c>
      <c r="B3759" t="str">
        <f t="shared" si="187"/>
        <v>Q4</v>
      </c>
      <c r="C3759" s="12" t="s">
        <v>131</v>
      </c>
      <c r="D3759" s="18">
        <f>VLOOKUP(C3759,'DISTRIBUIÇÃO NF4267'!$E$3:$FQ$75,MATCH(B3759,'DISTRIBUIÇÃO NF4267'!$E$3:$FQ$3,0)+1,0)</f>
        <v>0</v>
      </c>
      <c r="F3759" s="28">
        <f t="shared" si="185"/>
        <v>3</v>
      </c>
    </row>
    <row r="3760" spans="1:6" x14ac:dyDescent="0.35">
      <c r="A3760">
        <f t="shared" si="186"/>
        <v>0</v>
      </c>
      <c r="B3760" t="str">
        <f t="shared" si="187"/>
        <v>Q4</v>
      </c>
      <c r="C3760" s="12" t="s">
        <v>132</v>
      </c>
      <c r="D3760" s="18">
        <f>VLOOKUP(C3760,'DISTRIBUIÇÃO NF4267'!$E$3:$FQ$75,MATCH(B3760,'DISTRIBUIÇÃO NF4267'!$E$3:$FQ$3,0)+1,0)</f>
        <v>0</v>
      </c>
      <c r="F3760" s="28">
        <f t="shared" si="185"/>
        <v>3</v>
      </c>
    </row>
    <row r="3761" spans="1:6" x14ac:dyDescent="0.35">
      <c r="A3761">
        <f t="shared" si="186"/>
        <v>0</v>
      </c>
      <c r="B3761" t="str">
        <f t="shared" si="187"/>
        <v>Q4</v>
      </c>
      <c r="C3761" s="12" t="s">
        <v>133</v>
      </c>
      <c r="D3761" s="18">
        <f>VLOOKUP(C3761,'DISTRIBUIÇÃO NF4267'!$E$3:$FQ$75,MATCH(B3761,'DISTRIBUIÇÃO NF4267'!$E$3:$FQ$3,0)+1,0)</f>
        <v>0</v>
      </c>
      <c r="F3761" s="28">
        <f t="shared" si="185"/>
        <v>3</v>
      </c>
    </row>
    <row r="3762" spans="1:6" x14ac:dyDescent="0.35">
      <c r="A3762">
        <f t="shared" si="186"/>
        <v>0</v>
      </c>
      <c r="B3762" t="str">
        <f t="shared" si="187"/>
        <v>Q4</v>
      </c>
      <c r="C3762" s="12" t="s">
        <v>134</v>
      </c>
      <c r="D3762" s="18">
        <f>VLOOKUP(C3762,'DISTRIBUIÇÃO NF4267'!$E$3:$FQ$75,MATCH(B3762,'DISTRIBUIÇÃO NF4267'!$E$3:$FQ$3,0)+1,0)</f>
        <v>0</v>
      </c>
      <c r="F3762" s="28">
        <f t="shared" si="185"/>
        <v>3</v>
      </c>
    </row>
    <row r="3763" spans="1:6" x14ac:dyDescent="0.35">
      <c r="A3763">
        <f t="shared" si="186"/>
        <v>0</v>
      </c>
      <c r="B3763" t="str">
        <f t="shared" si="187"/>
        <v>Q4</v>
      </c>
      <c r="C3763" s="12" t="s">
        <v>135</v>
      </c>
      <c r="D3763" s="18">
        <f>VLOOKUP(C3763,'DISTRIBUIÇÃO NF4267'!$E$3:$FQ$75,MATCH(B3763,'DISTRIBUIÇÃO NF4267'!$E$3:$FQ$3,0)+1,0)</f>
        <v>0</v>
      </c>
      <c r="F3763" s="28">
        <f t="shared" si="185"/>
        <v>3</v>
      </c>
    </row>
    <row r="3764" spans="1:6" x14ac:dyDescent="0.35">
      <c r="A3764">
        <f t="shared" si="186"/>
        <v>0</v>
      </c>
      <c r="B3764" t="str">
        <f t="shared" si="187"/>
        <v>Q4</v>
      </c>
      <c r="C3764" s="13" t="s">
        <v>22</v>
      </c>
      <c r="D3764" s="18">
        <f>VLOOKUP(C3764,'DISTRIBUIÇÃO NF4267'!$E$3:$FQ$75,MATCH(B3764,'DISTRIBUIÇÃO NF4267'!$E$3:$FQ$3,0)+1,0)</f>
        <v>0</v>
      </c>
      <c r="F3764" s="28">
        <f t="shared" si="185"/>
        <v>3</v>
      </c>
    </row>
    <row r="3765" spans="1:6" x14ac:dyDescent="0.35">
      <c r="A3765">
        <f t="shared" si="186"/>
        <v>0</v>
      </c>
      <c r="B3765" t="str">
        <f t="shared" si="187"/>
        <v>Q4</v>
      </c>
      <c r="C3765" s="13" t="s">
        <v>23</v>
      </c>
      <c r="D3765" s="18">
        <f>VLOOKUP(C3765,'DISTRIBUIÇÃO NF4267'!$E$3:$FQ$75,MATCH(B3765,'DISTRIBUIÇÃO NF4267'!$E$3:$FQ$3,0)+1,0)</f>
        <v>0</v>
      </c>
      <c r="F3765" s="28">
        <f t="shared" si="185"/>
        <v>3</v>
      </c>
    </row>
    <row r="3766" spans="1:6" x14ac:dyDescent="0.35">
      <c r="A3766">
        <f t="shared" si="186"/>
        <v>0</v>
      </c>
      <c r="B3766" t="str">
        <f t="shared" si="187"/>
        <v>Q4</v>
      </c>
      <c r="C3766" s="13" t="s">
        <v>24</v>
      </c>
      <c r="D3766" s="18">
        <f>VLOOKUP(C3766,'DISTRIBUIÇÃO NF4267'!$E$3:$FQ$75,MATCH(B3766,'DISTRIBUIÇÃO NF4267'!$E$3:$FQ$3,0)+1,0)</f>
        <v>0</v>
      </c>
      <c r="F3766" s="28">
        <f t="shared" si="185"/>
        <v>3</v>
      </c>
    </row>
    <row r="3767" spans="1:6" x14ac:dyDescent="0.35">
      <c r="A3767">
        <f t="shared" si="186"/>
        <v>0</v>
      </c>
      <c r="B3767" t="str">
        <f t="shared" si="187"/>
        <v>Q4</v>
      </c>
      <c r="C3767" s="13" t="s">
        <v>25</v>
      </c>
      <c r="D3767" s="18">
        <f>VLOOKUP(C3767,'DISTRIBUIÇÃO NF4267'!$E$3:$FQ$75,MATCH(B3767,'DISTRIBUIÇÃO NF4267'!$E$3:$FQ$3,0)+1,0)</f>
        <v>0</v>
      </c>
      <c r="F3767" s="28">
        <f t="shared" si="185"/>
        <v>3</v>
      </c>
    </row>
    <row r="3768" spans="1:6" x14ac:dyDescent="0.35">
      <c r="A3768">
        <f t="shared" si="186"/>
        <v>0</v>
      </c>
      <c r="B3768" t="str">
        <f t="shared" si="187"/>
        <v>Q4</v>
      </c>
      <c r="C3768" s="13" t="s">
        <v>26</v>
      </c>
      <c r="D3768" s="18">
        <f>VLOOKUP(C3768,'DISTRIBUIÇÃO NF4267'!$E$3:$FQ$75,MATCH(B3768,'DISTRIBUIÇÃO NF4267'!$E$3:$FQ$3,0)+1,0)</f>
        <v>0</v>
      </c>
      <c r="F3768" s="28">
        <f t="shared" ref="F3768:F3831" si="188">ROUNDUP(SUMIFS(D:D,B:B,B3768)/80,0)</f>
        <v>3</v>
      </c>
    </row>
    <row r="3769" spans="1:6" x14ac:dyDescent="0.35">
      <c r="A3769">
        <f t="shared" si="186"/>
        <v>0</v>
      </c>
      <c r="B3769" t="str">
        <f t="shared" si="187"/>
        <v>Q4</v>
      </c>
      <c r="C3769" s="13" t="s">
        <v>27</v>
      </c>
      <c r="D3769" s="18">
        <f>VLOOKUP(C3769,'DISTRIBUIÇÃO NF4267'!$E$3:$FQ$75,MATCH(B3769,'DISTRIBUIÇÃO NF4267'!$E$3:$FQ$3,0)+1,0)</f>
        <v>0</v>
      </c>
      <c r="F3769" s="28">
        <f t="shared" si="188"/>
        <v>3</v>
      </c>
    </row>
    <row r="3770" spans="1:6" x14ac:dyDescent="0.35">
      <c r="A3770">
        <f t="shared" si="186"/>
        <v>0</v>
      </c>
      <c r="B3770" t="str">
        <f t="shared" si="187"/>
        <v>Q4</v>
      </c>
      <c r="C3770" s="14" t="s">
        <v>138</v>
      </c>
      <c r="D3770" s="18">
        <f>VLOOKUP(C3770,'DISTRIBUIÇÃO NF4267'!$E$3:$FQ$75,MATCH(B3770,'DISTRIBUIÇÃO NF4267'!$E$3:$FQ$3,0)+1,0)</f>
        <v>0</v>
      </c>
      <c r="F3770" s="28">
        <f t="shared" si="188"/>
        <v>3</v>
      </c>
    </row>
    <row r="3771" spans="1:6" x14ac:dyDescent="0.35">
      <c r="A3771">
        <f t="shared" si="186"/>
        <v>0</v>
      </c>
      <c r="B3771" t="str">
        <f t="shared" si="187"/>
        <v>Q4</v>
      </c>
      <c r="C3771" s="14" t="s">
        <v>139</v>
      </c>
      <c r="D3771" s="18">
        <f>VLOOKUP(C3771,'DISTRIBUIÇÃO NF4267'!$E$3:$FQ$75,MATCH(B3771,'DISTRIBUIÇÃO NF4267'!$E$3:$FQ$3,0)+1,0)</f>
        <v>2</v>
      </c>
      <c r="F3771" s="28">
        <f t="shared" si="188"/>
        <v>3</v>
      </c>
    </row>
    <row r="3772" spans="1:6" x14ac:dyDescent="0.35">
      <c r="A3772">
        <f t="shared" si="186"/>
        <v>0</v>
      </c>
      <c r="B3772" t="str">
        <f t="shared" si="187"/>
        <v>Q4</v>
      </c>
      <c r="C3772" s="14" t="s">
        <v>140</v>
      </c>
      <c r="D3772" s="18">
        <f>VLOOKUP(C3772,'DISTRIBUIÇÃO NF4267'!$E$3:$FQ$75,MATCH(B3772,'DISTRIBUIÇÃO NF4267'!$E$3:$FQ$3,0)+1,0)</f>
        <v>4</v>
      </c>
      <c r="F3772" s="28">
        <f t="shared" si="188"/>
        <v>3</v>
      </c>
    </row>
    <row r="3773" spans="1:6" x14ac:dyDescent="0.35">
      <c r="A3773">
        <f t="shared" si="186"/>
        <v>0</v>
      </c>
      <c r="B3773" t="str">
        <f t="shared" si="187"/>
        <v>Q4</v>
      </c>
      <c r="C3773" s="14" t="s">
        <v>141</v>
      </c>
      <c r="D3773" s="18">
        <f>VLOOKUP(C3773,'DISTRIBUIÇÃO NF4267'!$E$3:$FQ$75,MATCH(B3773,'DISTRIBUIÇÃO NF4267'!$E$3:$FQ$3,0)+1,0)</f>
        <v>2</v>
      </c>
      <c r="F3773" s="28">
        <f t="shared" si="188"/>
        <v>3</v>
      </c>
    </row>
    <row r="3774" spans="1:6" x14ac:dyDescent="0.35">
      <c r="A3774">
        <f t="shared" si="186"/>
        <v>0</v>
      </c>
      <c r="B3774" t="str">
        <f t="shared" si="187"/>
        <v>Q4</v>
      </c>
      <c r="C3774" s="14" t="s">
        <v>142</v>
      </c>
      <c r="D3774" s="18">
        <f>VLOOKUP(C3774,'DISTRIBUIÇÃO NF4267'!$E$3:$FQ$75,MATCH(B3774,'DISTRIBUIÇÃO NF4267'!$E$3:$FQ$3,0)+1,0)</f>
        <v>2</v>
      </c>
      <c r="F3774" s="28">
        <f t="shared" si="188"/>
        <v>3</v>
      </c>
    </row>
    <row r="3775" spans="1:6" x14ac:dyDescent="0.35">
      <c r="A3775">
        <f t="shared" si="186"/>
        <v>0</v>
      </c>
      <c r="B3775" t="str">
        <f t="shared" si="187"/>
        <v>Q4</v>
      </c>
      <c r="C3775" s="14" t="s">
        <v>143</v>
      </c>
      <c r="D3775" s="18">
        <f>VLOOKUP(C3775,'DISTRIBUIÇÃO NF4267'!$E$3:$FQ$75,MATCH(B3775,'DISTRIBUIÇÃO NF4267'!$E$3:$FQ$3,0)+1,0)</f>
        <v>0</v>
      </c>
      <c r="F3775" s="28">
        <f t="shared" si="188"/>
        <v>3</v>
      </c>
    </row>
    <row r="3776" spans="1:6" x14ac:dyDescent="0.35">
      <c r="A3776">
        <f t="shared" si="186"/>
        <v>0</v>
      </c>
      <c r="B3776" t="str">
        <f t="shared" si="187"/>
        <v>Q4</v>
      </c>
      <c r="C3776" s="15" t="s">
        <v>145</v>
      </c>
      <c r="D3776" s="18">
        <f>VLOOKUP(C3776,'DISTRIBUIÇÃO NF4267'!$E$3:$FQ$75,MATCH(B3776,'DISTRIBUIÇÃO NF4267'!$E$3:$FQ$3,0)+1,0)</f>
        <v>0</v>
      </c>
      <c r="F3776" s="28">
        <f t="shared" si="188"/>
        <v>3</v>
      </c>
    </row>
    <row r="3777" spans="1:6" x14ac:dyDescent="0.35">
      <c r="A3777">
        <f t="shared" si="186"/>
        <v>0</v>
      </c>
      <c r="B3777" t="str">
        <f t="shared" si="187"/>
        <v>Q4</v>
      </c>
      <c r="C3777" s="15" t="s">
        <v>146</v>
      </c>
      <c r="D3777" s="18">
        <f>VLOOKUP(C3777,'DISTRIBUIÇÃO NF4267'!$E$3:$FQ$75,MATCH(B3777,'DISTRIBUIÇÃO NF4267'!$E$3:$FQ$3,0)+1,0)</f>
        <v>2</v>
      </c>
      <c r="F3777" s="28">
        <f t="shared" si="188"/>
        <v>3</v>
      </c>
    </row>
    <row r="3778" spans="1:6" x14ac:dyDescent="0.35">
      <c r="A3778">
        <f t="shared" ref="A3778:A3841" si="189">IF(ISERROR(VLOOKUP(C3778,I:I,1,0)),0,1)</f>
        <v>0</v>
      </c>
      <c r="B3778" t="str">
        <f t="shared" si="187"/>
        <v>Q4</v>
      </c>
      <c r="C3778" s="15" t="s">
        <v>147</v>
      </c>
      <c r="D3778" s="18">
        <f>VLOOKUP(C3778,'DISTRIBUIÇÃO NF4267'!$E$3:$FQ$75,MATCH(B3778,'DISTRIBUIÇÃO NF4267'!$E$3:$FQ$3,0)+1,0)</f>
        <v>4</v>
      </c>
      <c r="F3778" s="28">
        <f t="shared" si="188"/>
        <v>3</v>
      </c>
    </row>
    <row r="3779" spans="1:6" x14ac:dyDescent="0.35">
      <c r="A3779">
        <f t="shared" si="189"/>
        <v>0</v>
      </c>
      <c r="B3779" t="str">
        <f t="shared" si="187"/>
        <v>Q4</v>
      </c>
      <c r="C3779" s="15" t="s">
        <v>148</v>
      </c>
      <c r="D3779" s="18">
        <f>VLOOKUP(C3779,'DISTRIBUIÇÃO NF4267'!$E$3:$FQ$75,MATCH(B3779,'DISTRIBUIÇÃO NF4267'!$E$3:$FQ$3,0)+1,0)</f>
        <v>2</v>
      </c>
      <c r="F3779" s="28">
        <f t="shared" si="188"/>
        <v>3</v>
      </c>
    </row>
    <row r="3780" spans="1:6" x14ac:dyDescent="0.35">
      <c r="A3780">
        <f t="shared" si="189"/>
        <v>0</v>
      </c>
      <c r="B3780" t="str">
        <f t="shared" si="187"/>
        <v>Q4</v>
      </c>
      <c r="C3780" s="15" t="s">
        <v>149</v>
      </c>
      <c r="D3780" s="18">
        <f>VLOOKUP(C3780,'DISTRIBUIÇÃO NF4267'!$E$3:$FQ$75,MATCH(B3780,'DISTRIBUIÇÃO NF4267'!$E$3:$FQ$3,0)+1,0)</f>
        <v>2</v>
      </c>
      <c r="F3780" s="28">
        <f t="shared" si="188"/>
        <v>3</v>
      </c>
    </row>
    <row r="3781" spans="1:6" x14ac:dyDescent="0.35">
      <c r="A3781">
        <f t="shared" si="189"/>
        <v>0</v>
      </c>
      <c r="B3781" t="str">
        <f t="shared" si="187"/>
        <v>Q4</v>
      </c>
      <c r="C3781" s="15" t="s">
        <v>150</v>
      </c>
      <c r="D3781" s="18">
        <f>VLOOKUP(C3781,'DISTRIBUIÇÃO NF4267'!$E$3:$FQ$75,MATCH(B3781,'DISTRIBUIÇÃO NF4267'!$E$3:$FQ$3,0)+1,0)</f>
        <v>0</v>
      </c>
      <c r="F3781" s="28">
        <f t="shared" si="188"/>
        <v>3</v>
      </c>
    </row>
    <row r="3782" spans="1:6" x14ac:dyDescent="0.35">
      <c r="A3782">
        <f t="shared" si="189"/>
        <v>0</v>
      </c>
      <c r="B3782" t="s">
        <v>79</v>
      </c>
      <c r="C3782" s="7" t="s">
        <v>98</v>
      </c>
      <c r="D3782" s="18">
        <f>VLOOKUP(C3782,'DISTRIBUIÇÃO NF4267'!$E$3:$FQ$75,MATCH(B3782,'DISTRIBUIÇÃO NF4267'!$E$3:$FQ$3,0)+1,0)</f>
        <v>0</v>
      </c>
      <c r="F3782" s="28">
        <f t="shared" si="188"/>
        <v>3</v>
      </c>
    </row>
    <row r="3783" spans="1:6" x14ac:dyDescent="0.35">
      <c r="A3783">
        <f t="shared" si="189"/>
        <v>0</v>
      </c>
      <c r="B3783" t="str">
        <f>B3782</f>
        <v>GX</v>
      </c>
      <c r="C3783" s="7" t="s">
        <v>99</v>
      </c>
      <c r="D3783" s="18">
        <f>VLOOKUP(C3783,'DISTRIBUIÇÃO NF4267'!$E$3:$FQ$75,MATCH(B3783,'DISTRIBUIÇÃO NF4267'!$E$3:$FQ$3,0)+1,0)</f>
        <v>4</v>
      </c>
      <c r="F3783" s="28">
        <f t="shared" si="188"/>
        <v>3</v>
      </c>
    </row>
    <row r="3784" spans="1:6" x14ac:dyDescent="0.35">
      <c r="A3784">
        <f t="shared" si="189"/>
        <v>0</v>
      </c>
      <c r="B3784" t="str">
        <f t="shared" ref="B3784:B3835" si="190">B3783</f>
        <v>GX</v>
      </c>
      <c r="C3784" s="7" t="s">
        <v>100</v>
      </c>
      <c r="D3784" s="18">
        <f>VLOOKUP(C3784,'DISTRIBUIÇÃO NF4267'!$E$3:$FQ$75,MATCH(B3784,'DISTRIBUIÇÃO NF4267'!$E$3:$FQ$3,0)+1,0)</f>
        <v>8</v>
      </c>
      <c r="F3784" s="28">
        <f t="shared" si="188"/>
        <v>3</v>
      </c>
    </row>
    <row r="3785" spans="1:6" x14ac:dyDescent="0.35">
      <c r="A3785">
        <f t="shared" si="189"/>
        <v>0</v>
      </c>
      <c r="B3785" t="str">
        <f t="shared" si="190"/>
        <v>GX</v>
      </c>
      <c r="C3785" s="7" t="s">
        <v>101</v>
      </c>
      <c r="D3785" s="18">
        <f>VLOOKUP(C3785,'DISTRIBUIÇÃO NF4267'!$E$3:$FQ$75,MATCH(B3785,'DISTRIBUIÇÃO NF4267'!$E$3:$FQ$3,0)+1,0)</f>
        <v>4</v>
      </c>
      <c r="F3785" s="28">
        <f t="shared" si="188"/>
        <v>3</v>
      </c>
    </row>
    <row r="3786" spans="1:6" x14ac:dyDescent="0.35">
      <c r="A3786">
        <f t="shared" si="189"/>
        <v>0</v>
      </c>
      <c r="B3786" t="str">
        <f t="shared" si="190"/>
        <v>GX</v>
      </c>
      <c r="C3786" s="7" t="s">
        <v>102</v>
      </c>
      <c r="D3786" s="18">
        <f>VLOOKUP(C3786,'DISTRIBUIÇÃO NF4267'!$E$3:$FQ$75,MATCH(B3786,'DISTRIBUIÇÃO NF4267'!$E$3:$FQ$3,0)+1,0)</f>
        <v>4</v>
      </c>
      <c r="F3786" s="28">
        <f t="shared" si="188"/>
        <v>3</v>
      </c>
    </row>
    <row r="3787" spans="1:6" x14ac:dyDescent="0.35">
      <c r="A3787">
        <f t="shared" si="189"/>
        <v>0</v>
      </c>
      <c r="B3787" t="str">
        <f t="shared" si="190"/>
        <v>GX</v>
      </c>
      <c r="C3787" s="7" t="s">
        <v>103</v>
      </c>
      <c r="D3787" s="18">
        <f>VLOOKUP(C3787,'DISTRIBUIÇÃO NF4267'!$E$3:$FQ$75,MATCH(B3787,'DISTRIBUIÇÃO NF4267'!$E$3:$FQ$3,0)+1,0)</f>
        <v>0</v>
      </c>
      <c r="F3787" s="28">
        <f t="shared" si="188"/>
        <v>3</v>
      </c>
    </row>
    <row r="3788" spans="1:6" x14ac:dyDescent="0.35">
      <c r="A3788">
        <f t="shared" si="189"/>
        <v>0</v>
      </c>
      <c r="B3788" t="str">
        <f t="shared" si="190"/>
        <v>GX</v>
      </c>
      <c r="C3788" s="8" t="s">
        <v>107</v>
      </c>
      <c r="D3788" s="18">
        <f>VLOOKUP(C3788,'DISTRIBUIÇÃO NF4267'!$E$3:$FQ$75,MATCH(B3788,'DISTRIBUIÇÃO NF4267'!$E$3:$FQ$3,0)+1,0)</f>
        <v>0</v>
      </c>
      <c r="F3788" s="28">
        <f t="shared" si="188"/>
        <v>3</v>
      </c>
    </row>
    <row r="3789" spans="1:6" x14ac:dyDescent="0.35">
      <c r="A3789">
        <f t="shared" si="189"/>
        <v>0</v>
      </c>
      <c r="B3789" t="str">
        <f t="shared" si="190"/>
        <v>GX</v>
      </c>
      <c r="C3789" s="8" t="s">
        <v>108</v>
      </c>
      <c r="D3789" s="18">
        <f>VLOOKUP(C3789,'DISTRIBUIÇÃO NF4267'!$E$3:$FQ$75,MATCH(B3789,'DISTRIBUIÇÃO NF4267'!$E$3:$FQ$3,0)+1,0)</f>
        <v>2</v>
      </c>
      <c r="F3789" s="28">
        <f t="shared" si="188"/>
        <v>3</v>
      </c>
    </row>
    <row r="3790" spans="1:6" x14ac:dyDescent="0.35">
      <c r="A3790">
        <f t="shared" si="189"/>
        <v>0</v>
      </c>
      <c r="B3790" t="str">
        <f t="shared" si="190"/>
        <v>GX</v>
      </c>
      <c r="C3790" s="8" t="s">
        <v>109</v>
      </c>
      <c r="D3790" s="18">
        <f>VLOOKUP(C3790,'DISTRIBUIÇÃO NF4267'!$E$3:$FQ$75,MATCH(B3790,'DISTRIBUIÇÃO NF4267'!$E$3:$FQ$3,0)+1,0)</f>
        <v>4</v>
      </c>
      <c r="F3790" s="28">
        <f t="shared" si="188"/>
        <v>3</v>
      </c>
    </row>
    <row r="3791" spans="1:6" x14ac:dyDescent="0.35">
      <c r="A3791">
        <f t="shared" si="189"/>
        <v>0</v>
      </c>
      <c r="B3791" t="str">
        <f t="shared" si="190"/>
        <v>GX</v>
      </c>
      <c r="C3791" s="8" t="s">
        <v>110</v>
      </c>
      <c r="D3791" s="18">
        <f>VLOOKUP(C3791,'DISTRIBUIÇÃO NF4267'!$E$3:$FQ$75,MATCH(B3791,'DISTRIBUIÇÃO NF4267'!$E$3:$FQ$3,0)+1,0)</f>
        <v>2</v>
      </c>
      <c r="F3791" s="28">
        <f t="shared" si="188"/>
        <v>3</v>
      </c>
    </row>
    <row r="3792" spans="1:6" x14ac:dyDescent="0.35">
      <c r="A3792">
        <f t="shared" si="189"/>
        <v>0</v>
      </c>
      <c r="B3792" t="str">
        <f t="shared" si="190"/>
        <v>GX</v>
      </c>
      <c r="C3792" s="8" t="s">
        <v>111</v>
      </c>
      <c r="D3792" s="18">
        <f>VLOOKUP(C3792,'DISTRIBUIÇÃO NF4267'!$E$3:$FQ$75,MATCH(B3792,'DISTRIBUIÇÃO NF4267'!$E$3:$FQ$3,0)+1,0)</f>
        <v>2</v>
      </c>
      <c r="F3792" s="28">
        <f t="shared" si="188"/>
        <v>3</v>
      </c>
    </row>
    <row r="3793" spans="1:6" x14ac:dyDescent="0.35">
      <c r="A3793">
        <f t="shared" si="189"/>
        <v>0</v>
      </c>
      <c r="B3793" t="str">
        <f t="shared" si="190"/>
        <v>GX</v>
      </c>
      <c r="C3793" s="8" t="s">
        <v>112</v>
      </c>
      <c r="D3793" s="18">
        <f>VLOOKUP(C3793,'DISTRIBUIÇÃO NF4267'!$E$3:$FQ$75,MATCH(B3793,'DISTRIBUIÇÃO NF4267'!$E$3:$FQ$3,0)+1,0)</f>
        <v>0</v>
      </c>
      <c r="F3793" s="28">
        <f t="shared" si="188"/>
        <v>3</v>
      </c>
    </row>
    <row r="3794" spans="1:6" x14ac:dyDescent="0.35">
      <c r="A3794">
        <f t="shared" si="189"/>
        <v>0</v>
      </c>
      <c r="B3794" t="str">
        <f t="shared" si="190"/>
        <v>GX</v>
      </c>
      <c r="C3794" s="9" t="s">
        <v>113</v>
      </c>
      <c r="D3794" s="18">
        <f>VLOOKUP(C3794,'DISTRIBUIÇÃO NF4267'!$E$3:$FQ$75,MATCH(B3794,'DISTRIBUIÇÃO NF4267'!$E$3:$FQ$3,0)+1,0)</f>
        <v>0</v>
      </c>
      <c r="F3794" s="28">
        <f t="shared" si="188"/>
        <v>3</v>
      </c>
    </row>
    <row r="3795" spans="1:6" x14ac:dyDescent="0.35">
      <c r="A3795">
        <f t="shared" si="189"/>
        <v>0</v>
      </c>
      <c r="B3795" t="str">
        <f t="shared" si="190"/>
        <v>GX</v>
      </c>
      <c r="C3795" s="9" t="s">
        <v>114</v>
      </c>
      <c r="D3795" s="18">
        <f>VLOOKUP(C3795,'DISTRIBUIÇÃO NF4267'!$E$3:$FQ$75,MATCH(B3795,'DISTRIBUIÇÃO NF4267'!$E$3:$FQ$3,0)+1,0)</f>
        <v>3</v>
      </c>
      <c r="F3795" s="28">
        <f t="shared" si="188"/>
        <v>3</v>
      </c>
    </row>
    <row r="3796" spans="1:6" x14ac:dyDescent="0.35">
      <c r="A3796">
        <f t="shared" si="189"/>
        <v>0</v>
      </c>
      <c r="B3796" t="str">
        <f t="shared" si="190"/>
        <v>GX</v>
      </c>
      <c r="C3796" s="9" t="s">
        <v>115</v>
      </c>
      <c r="D3796" s="18">
        <f>VLOOKUP(C3796,'DISTRIBUIÇÃO NF4267'!$E$3:$FQ$75,MATCH(B3796,'DISTRIBUIÇÃO NF4267'!$E$3:$FQ$3,0)+1,0)</f>
        <v>4</v>
      </c>
      <c r="F3796" s="28">
        <f t="shared" si="188"/>
        <v>3</v>
      </c>
    </row>
    <row r="3797" spans="1:6" x14ac:dyDescent="0.35">
      <c r="A3797">
        <f t="shared" si="189"/>
        <v>0</v>
      </c>
      <c r="B3797" t="str">
        <f t="shared" si="190"/>
        <v>GX</v>
      </c>
      <c r="C3797" s="9" t="s">
        <v>116</v>
      </c>
      <c r="D3797" s="18">
        <f>VLOOKUP(C3797,'DISTRIBUIÇÃO NF4267'!$E$3:$FQ$75,MATCH(B3797,'DISTRIBUIÇÃO NF4267'!$E$3:$FQ$3,0)+1,0)</f>
        <v>2</v>
      </c>
      <c r="F3797" s="28">
        <f t="shared" si="188"/>
        <v>3</v>
      </c>
    </row>
    <row r="3798" spans="1:6" x14ac:dyDescent="0.35">
      <c r="A3798">
        <f t="shared" si="189"/>
        <v>0</v>
      </c>
      <c r="B3798" t="str">
        <f t="shared" si="190"/>
        <v>GX</v>
      </c>
      <c r="C3798" s="9" t="s">
        <v>117</v>
      </c>
      <c r="D3798" s="18">
        <f>VLOOKUP(C3798,'DISTRIBUIÇÃO NF4267'!$E$3:$FQ$75,MATCH(B3798,'DISTRIBUIÇÃO NF4267'!$E$3:$FQ$3,0)+1,0)</f>
        <v>1</v>
      </c>
      <c r="F3798" s="28">
        <f t="shared" si="188"/>
        <v>3</v>
      </c>
    </row>
    <row r="3799" spans="1:6" x14ac:dyDescent="0.35">
      <c r="A3799">
        <f t="shared" si="189"/>
        <v>0</v>
      </c>
      <c r="B3799" t="str">
        <f t="shared" si="190"/>
        <v>GX</v>
      </c>
      <c r="C3799" s="9" t="s">
        <v>118</v>
      </c>
      <c r="D3799" s="18">
        <f>VLOOKUP(C3799,'DISTRIBUIÇÃO NF4267'!$E$3:$FQ$75,MATCH(B3799,'DISTRIBUIÇÃO NF4267'!$E$3:$FQ$3,0)+1,0)</f>
        <v>0</v>
      </c>
      <c r="F3799" s="28">
        <f t="shared" si="188"/>
        <v>3</v>
      </c>
    </row>
    <row r="3800" spans="1:6" x14ac:dyDescent="0.35">
      <c r="A3800">
        <f t="shared" si="189"/>
        <v>0</v>
      </c>
      <c r="B3800" t="str">
        <f t="shared" si="190"/>
        <v>GX</v>
      </c>
      <c r="C3800" s="10" t="s">
        <v>119</v>
      </c>
      <c r="D3800" s="18">
        <f>VLOOKUP(C3800,'DISTRIBUIÇÃO NF4267'!$E$3:$FQ$75,MATCH(B3800,'DISTRIBUIÇÃO NF4267'!$E$3:$FQ$3,0)+1,0)</f>
        <v>0</v>
      </c>
      <c r="F3800" s="28">
        <f t="shared" si="188"/>
        <v>3</v>
      </c>
    </row>
    <row r="3801" spans="1:6" x14ac:dyDescent="0.35">
      <c r="A3801">
        <f t="shared" si="189"/>
        <v>0</v>
      </c>
      <c r="B3801" t="str">
        <f t="shared" si="190"/>
        <v>GX</v>
      </c>
      <c r="C3801" s="10" t="s">
        <v>120</v>
      </c>
      <c r="D3801" s="18">
        <f>VLOOKUP(C3801,'DISTRIBUIÇÃO NF4267'!$E$3:$FQ$75,MATCH(B3801,'DISTRIBUIÇÃO NF4267'!$E$3:$FQ$3,0)+1,0)</f>
        <v>48</v>
      </c>
      <c r="F3801" s="28">
        <f t="shared" si="188"/>
        <v>3</v>
      </c>
    </row>
    <row r="3802" spans="1:6" x14ac:dyDescent="0.35">
      <c r="A3802">
        <f t="shared" si="189"/>
        <v>0</v>
      </c>
      <c r="B3802" t="str">
        <f t="shared" si="190"/>
        <v>GX</v>
      </c>
      <c r="C3802" s="10" t="s">
        <v>121</v>
      </c>
      <c r="D3802" s="18">
        <f>VLOOKUP(C3802,'DISTRIBUIÇÃO NF4267'!$E$3:$FQ$75,MATCH(B3802,'DISTRIBUIÇÃO NF4267'!$E$3:$FQ$3,0)+1,0)</f>
        <v>16</v>
      </c>
      <c r="F3802" s="28">
        <f t="shared" si="188"/>
        <v>3</v>
      </c>
    </row>
    <row r="3803" spans="1:6" x14ac:dyDescent="0.35">
      <c r="A3803">
        <f t="shared" si="189"/>
        <v>0</v>
      </c>
      <c r="B3803" t="str">
        <f t="shared" si="190"/>
        <v>GX</v>
      </c>
      <c r="C3803" s="10" t="s">
        <v>122</v>
      </c>
      <c r="D3803" s="18">
        <f>VLOOKUP(C3803,'DISTRIBUIÇÃO NF4267'!$E$3:$FQ$75,MATCH(B3803,'DISTRIBUIÇÃO NF4267'!$E$3:$FQ$3,0)+1,0)</f>
        <v>16</v>
      </c>
      <c r="F3803" s="28">
        <f t="shared" si="188"/>
        <v>3</v>
      </c>
    </row>
    <row r="3804" spans="1:6" x14ac:dyDescent="0.35">
      <c r="A3804">
        <f t="shared" si="189"/>
        <v>0</v>
      </c>
      <c r="B3804" t="str">
        <f t="shared" si="190"/>
        <v>GX</v>
      </c>
      <c r="C3804" s="10" t="s">
        <v>123</v>
      </c>
      <c r="D3804" s="18">
        <f>VLOOKUP(C3804,'DISTRIBUIÇÃO NF4267'!$E$3:$FQ$75,MATCH(B3804,'DISTRIBUIÇÃO NF4267'!$E$3:$FQ$3,0)+1,0)</f>
        <v>0</v>
      </c>
      <c r="F3804" s="28">
        <f t="shared" si="188"/>
        <v>3</v>
      </c>
    </row>
    <row r="3805" spans="1:6" x14ac:dyDescent="0.35">
      <c r="A3805">
        <f t="shared" si="189"/>
        <v>0</v>
      </c>
      <c r="B3805" t="str">
        <f t="shared" si="190"/>
        <v>GX</v>
      </c>
      <c r="C3805" s="10" t="s">
        <v>124</v>
      </c>
      <c r="D3805" s="18">
        <f>VLOOKUP(C3805,'DISTRIBUIÇÃO NF4267'!$E$3:$FQ$75,MATCH(B3805,'DISTRIBUIÇÃO NF4267'!$E$3:$FQ$3,0)+1,0)</f>
        <v>0</v>
      </c>
      <c r="F3805" s="28">
        <f t="shared" si="188"/>
        <v>3</v>
      </c>
    </row>
    <row r="3806" spans="1:6" x14ac:dyDescent="0.35">
      <c r="A3806">
        <f t="shared" si="189"/>
        <v>0</v>
      </c>
      <c r="B3806" t="str">
        <f t="shared" si="190"/>
        <v>GX</v>
      </c>
      <c r="C3806" s="11" t="s">
        <v>16</v>
      </c>
      <c r="D3806" s="18">
        <f>VLOOKUP(C3806,'DISTRIBUIÇÃO NF4267'!$E$3:$FQ$75,MATCH(B3806,'DISTRIBUIÇÃO NF4267'!$E$3:$FQ$3,0)+1,0)</f>
        <v>0</v>
      </c>
      <c r="F3806" s="28">
        <f t="shared" si="188"/>
        <v>3</v>
      </c>
    </row>
    <row r="3807" spans="1:6" x14ac:dyDescent="0.35">
      <c r="A3807">
        <f t="shared" si="189"/>
        <v>0</v>
      </c>
      <c r="B3807" t="str">
        <f t="shared" si="190"/>
        <v>GX</v>
      </c>
      <c r="C3807" s="11" t="s">
        <v>17</v>
      </c>
      <c r="D3807" s="18">
        <f>VLOOKUP(C3807,'DISTRIBUIÇÃO NF4267'!$E$3:$FQ$75,MATCH(B3807,'DISTRIBUIÇÃO NF4267'!$E$3:$FQ$3,0)+1,0)</f>
        <v>9</v>
      </c>
      <c r="F3807" s="28">
        <f t="shared" si="188"/>
        <v>3</v>
      </c>
    </row>
    <row r="3808" spans="1:6" x14ac:dyDescent="0.35">
      <c r="A3808">
        <f t="shared" si="189"/>
        <v>0</v>
      </c>
      <c r="B3808" t="str">
        <f t="shared" si="190"/>
        <v>GX</v>
      </c>
      <c r="C3808" s="11" t="s">
        <v>18</v>
      </c>
      <c r="D3808" s="18">
        <f>VLOOKUP(C3808,'DISTRIBUIÇÃO NF4267'!$E$3:$FQ$75,MATCH(B3808,'DISTRIBUIÇÃO NF4267'!$E$3:$FQ$3,0)+1,0)</f>
        <v>3</v>
      </c>
      <c r="F3808" s="28">
        <f t="shared" si="188"/>
        <v>3</v>
      </c>
    </row>
    <row r="3809" spans="1:6" x14ac:dyDescent="0.35">
      <c r="A3809">
        <f t="shared" si="189"/>
        <v>0</v>
      </c>
      <c r="B3809" t="str">
        <f t="shared" si="190"/>
        <v>GX</v>
      </c>
      <c r="C3809" s="11" t="s">
        <v>19</v>
      </c>
      <c r="D3809" s="18">
        <f>VLOOKUP(C3809,'DISTRIBUIÇÃO NF4267'!$E$3:$FQ$75,MATCH(B3809,'DISTRIBUIÇÃO NF4267'!$E$3:$FQ$3,0)+1,0)</f>
        <v>3</v>
      </c>
      <c r="F3809" s="28">
        <f t="shared" si="188"/>
        <v>3</v>
      </c>
    </row>
    <row r="3810" spans="1:6" x14ac:dyDescent="0.35">
      <c r="A3810">
        <f t="shared" si="189"/>
        <v>0</v>
      </c>
      <c r="B3810" t="str">
        <f t="shared" si="190"/>
        <v>GX</v>
      </c>
      <c r="C3810" s="11" t="s">
        <v>20</v>
      </c>
      <c r="D3810" s="18">
        <f>VLOOKUP(C3810,'DISTRIBUIÇÃO NF4267'!$E$3:$FQ$75,MATCH(B3810,'DISTRIBUIÇÃO NF4267'!$E$3:$FQ$3,0)+1,0)</f>
        <v>15</v>
      </c>
      <c r="F3810" s="28">
        <f t="shared" si="188"/>
        <v>3</v>
      </c>
    </row>
    <row r="3811" spans="1:6" x14ac:dyDescent="0.35">
      <c r="A3811">
        <f t="shared" si="189"/>
        <v>0</v>
      </c>
      <c r="B3811" t="str">
        <f t="shared" si="190"/>
        <v>GX</v>
      </c>
      <c r="C3811" s="11" t="s">
        <v>21</v>
      </c>
      <c r="D3811" s="18">
        <f>VLOOKUP(C3811,'DISTRIBUIÇÃO NF4267'!$E$3:$FQ$75,MATCH(B3811,'DISTRIBUIÇÃO NF4267'!$E$3:$FQ$3,0)+1,0)</f>
        <v>0</v>
      </c>
      <c r="F3811" s="28">
        <f t="shared" si="188"/>
        <v>3</v>
      </c>
    </row>
    <row r="3812" spans="1:6" x14ac:dyDescent="0.35">
      <c r="A3812">
        <f t="shared" si="189"/>
        <v>0</v>
      </c>
      <c r="B3812" t="str">
        <f t="shared" si="190"/>
        <v>GX</v>
      </c>
      <c r="C3812" s="12" t="s">
        <v>130</v>
      </c>
      <c r="D3812" s="18">
        <f>VLOOKUP(C3812,'DISTRIBUIÇÃO NF4267'!$E$3:$FQ$75,MATCH(B3812,'DISTRIBUIÇÃO NF4267'!$E$3:$FQ$3,0)+1,0)</f>
        <v>0</v>
      </c>
      <c r="F3812" s="28">
        <f t="shared" si="188"/>
        <v>3</v>
      </c>
    </row>
    <row r="3813" spans="1:6" x14ac:dyDescent="0.35">
      <c r="A3813">
        <f t="shared" si="189"/>
        <v>0</v>
      </c>
      <c r="B3813" t="str">
        <f t="shared" si="190"/>
        <v>GX</v>
      </c>
      <c r="C3813" s="12" t="s">
        <v>131</v>
      </c>
      <c r="D3813" s="18">
        <f>VLOOKUP(C3813,'DISTRIBUIÇÃO NF4267'!$E$3:$FQ$75,MATCH(B3813,'DISTRIBUIÇÃO NF4267'!$E$3:$FQ$3,0)+1,0)</f>
        <v>0</v>
      </c>
      <c r="F3813" s="28">
        <f t="shared" si="188"/>
        <v>3</v>
      </c>
    </row>
    <row r="3814" spans="1:6" x14ac:dyDescent="0.35">
      <c r="A3814">
        <f t="shared" si="189"/>
        <v>0</v>
      </c>
      <c r="B3814" t="str">
        <f t="shared" si="190"/>
        <v>GX</v>
      </c>
      <c r="C3814" s="12" t="s">
        <v>132</v>
      </c>
      <c r="D3814" s="18">
        <f>VLOOKUP(C3814,'DISTRIBUIÇÃO NF4267'!$E$3:$FQ$75,MATCH(B3814,'DISTRIBUIÇÃO NF4267'!$E$3:$FQ$3,0)+1,0)</f>
        <v>0</v>
      </c>
      <c r="F3814" s="28">
        <f t="shared" si="188"/>
        <v>3</v>
      </c>
    </row>
    <row r="3815" spans="1:6" x14ac:dyDescent="0.35">
      <c r="A3815">
        <f t="shared" si="189"/>
        <v>0</v>
      </c>
      <c r="B3815" t="str">
        <f t="shared" si="190"/>
        <v>GX</v>
      </c>
      <c r="C3815" s="12" t="s">
        <v>133</v>
      </c>
      <c r="D3815" s="18">
        <f>VLOOKUP(C3815,'DISTRIBUIÇÃO NF4267'!$E$3:$FQ$75,MATCH(B3815,'DISTRIBUIÇÃO NF4267'!$E$3:$FQ$3,0)+1,0)</f>
        <v>0</v>
      </c>
      <c r="F3815" s="28">
        <f t="shared" si="188"/>
        <v>3</v>
      </c>
    </row>
    <row r="3816" spans="1:6" x14ac:dyDescent="0.35">
      <c r="A3816">
        <f t="shared" si="189"/>
        <v>0</v>
      </c>
      <c r="B3816" t="str">
        <f t="shared" si="190"/>
        <v>GX</v>
      </c>
      <c r="C3816" s="12" t="s">
        <v>134</v>
      </c>
      <c r="D3816" s="18">
        <f>VLOOKUP(C3816,'DISTRIBUIÇÃO NF4267'!$E$3:$FQ$75,MATCH(B3816,'DISTRIBUIÇÃO NF4267'!$E$3:$FQ$3,0)+1,0)</f>
        <v>0</v>
      </c>
      <c r="F3816" s="28">
        <f t="shared" si="188"/>
        <v>3</v>
      </c>
    </row>
    <row r="3817" spans="1:6" x14ac:dyDescent="0.35">
      <c r="A3817">
        <f t="shared" si="189"/>
        <v>0</v>
      </c>
      <c r="B3817" t="str">
        <f t="shared" si="190"/>
        <v>GX</v>
      </c>
      <c r="C3817" s="12" t="s">
        <v>135</v>
      </c>
      <c r="D3817" s="18">
        <f>VLOOKUP(C3817,'DISTRIBUIÇÃO NF4267'!$E$3:$FQ$75,MATCH(B3817,'DISTRIBUIÇÃO NF4267'!$E$3:$FQ$3,0)+1,0)</f>
        <v>0</v>
      </c>
      <c r="F3817" s="28">
        <f t="shared" si="188"/>
        <v>3</v>
      </c>
    </row>
    <row r="3818" spans="1:6" x14ac:dyDescent="0.35">
      <c r="A3818">
        <f t="shared" si="189"/>
        <v>0</v>
      </c>
      <c r="B3818" t="str">
        <f t="shared" si="190"/>
        <v>GX</v>
      </c>
      <c r="C3818" s="13" t="s">
        <v>22</v>
      </c>
      <c r="D3818" s="18">
        <f>VLOOKUP(C3818,'DISTRIBUIÇÃO NF4267'!$E$3:$FQ$75,MATCH(B3818,'DISTRIBUIÇÃO NF4267'!$E$3:$FQ$3,0)+1,0)</f>
        <v>0</v>
      </c>
      <c r="F3818" s="28">
        <f t="shared" si="188"/>
        <v>3</v>
      </c>
    </row>
    <row r="3819" spans="1:6" x14ac:dyDescent="0.35">
      <c r="A3819">
        <f t="shared" si="189"/>
        <v>0</v>
      </c>
      <c r="B3819" t="str">
        <f t="shared" si="190"/>
        <v>GX</v>
      </c>
      <c r="C3819" s="13" t="s">
        <v>23</v>
      </c>
      <c r="D3819" s="18">
        <f>VLOOKUP(C3819,'DISTRIBUIÇÃO NF4267'!$E$3:$FQ$75,MATCH(B3819,'DISTRIBUIÇÃO NF4267'!$E$3:$FQ$3,0)+1,0)</f>
        <v>0</v>
      </c>
      <c r="F3819" s="28">
        <f t="shared" si="188"/>
        <v>3</v>
      </c>
    </row>
    <row r="3820" spans="1:6" x14ac:dyDescent="0.35">
      <c r="A3820">
        <f t="shared" si="189"/>
        <v>0</v>
      </c>
      <c r="B3820" t="str">
        <f t="shared" si="190"/>
        <v>GX</v>
      </c>
      <c r="C3820" s="13" t="s">
        <v>24</v>
      </c>
      <c r="D3820" s="18">
        <f>VLOOKUP(C3820,'DISTRIBUIÇÃO NF4267'!$E$3:$FQ$75,MATCH(B3820,'DISTRIBUIÇÃO NF4267'!$E$3:$FQ$3,0)+1,0)</f>
        <v>0</v>
      </c>
      <c r="F3820" s="28">
        <f t="shared" si="188"/>
        <v>3</v>
      </c>
    </row>
    <row r="3821" spans="1:6" x14ac:dyDescent="0.35">
      <c r="A3821">
        <f t="shared" si="189"/>
        <v>0</v>
      </c>
      <c r="B3821" t="str">
        <f t="shared" si="190"/>
        <v>GX</v>
      </c>
      <c r="C3821" s="13" t="s">
        <v>25</v>
      </c>
      <c r="D3821" s="18">
        <f>VLOOKUP(C3821,'DISTRIBUIÇÃO NF4267'!$E$3:$FQ$75,MATCH(B3821,'DISTRIBUIÇÃO NF4267'!$E$3:$FQ$3,0)+1,0)</f>
        <v>0</v>
      </c>
      <c r="F3821" s="28">
        <f t="shared" si="188"/>
        <v>3</v>
      </c>
    </row>
    <row r="3822" spans="1:6" x14ac:dyDescent="0.35">
      <c r="A3822">
        <f t="shared" si="189"/>
        <v>0</v>
      </c>
      <c r="B3822" t="str">
        <f t="shared" si="190"/>
        <v>GX</v>
      </c>
      <c r="C3822" s="13" t="s">
        <v>26</v>
      </c>
      <c r="D3822" s="18">
        <f>VLOOKUP(C3822,'DISTRIBUIÇÃO NF4267'!$E$3:$FQ$75,MATCH(B3822,'DISTRIBUIÇÃO NF4267'!$E$3:$FQ$3,0)+1,0)</f>
        <v>0</v>
      </c>
      <c r="F3822" s="28">
        <f t="shared" si="188"/>
        <v>3</v>
      </c>
    </row>
    <row r="3823" spans="1:6" x14ac:dyDescent="0.35">
      <c r="A3823">
        <f t="shared" si="189"/>
        <v>0</v>
      </c>
      <c r="B3823" t="str">
        <f t="shared" si="190"/>
        <v>GX</v>
      </c>
      <c r="C3823" s="13" t="s">
        <v>27</v>
      </c>
      <c r="D3823" s="18">
        <f>VLOOKUP(C3823,'DISTRIBUIÇÃO NF4267'!$E$3:$FQ$75,MATCH(B3823,'DISTRIBUIÇÃO NF4267'!$E$3:$FQ$3,0)+1,0)</f>
        <v>0</v>
      </c>
      <c r="F3823" s="28">
        <f t="shared" si="188"/>
        <v>3</v>
      </c>
    </row>
    <row r="3824" spans="1:6" x14ac:dyDescent="0.35">
      <c r="A3824">
        <f t="shared" si="189"/>
        <v>0</v>
      </c>
      <c r="B3824" t="str">
        <f t="shared" si="190"/>
        <v>GX</v>
      </c>
      <c r="C3824" s="14" t="s">
        <v>138</v>
      </c>
      <c r="D3824" s="18">
        <f>VLOOKUP(C3824,'DISTRIBUIÇÃO NF4267'!$E$3:$FQ$75,MATCH(B3824,'DISTRIBUIÇÃO NF4267'!$E$3:$FQ$3,0)+1,0)</f>
        <v>0</v>
      </c>
      <c r="F3824" s="28">
        <f t="shared" si="188"/>
        <v>3</v>
      </c>
    </row>
    <row r="3825" spans="1:6" x14ac:dyDescent="0.35">
      <c r="A3825">
        <f t="shared" si="189"/>
        <v>0</v>
      </c>
      <c r="B3825" t="str">
        <f t="shared" si="190"/>
        <v>GX</v>
      </c>
      <c r="C3825" s="14" t="s">
        <v>139</v>
      </c>
      <c r="D3825" s="18">
        <f>VLOOKUP(C3825,'DISTRIBUIÇÃO NF4267'!$E$3:$FQ$75,MATCH(B3825,'DISTRIBUIÇÃO NF4267'!$E$3:$FQ$3,0)+1,0)</f>
        <v>2</v>
      </c>
      <c r="F3825" s="28">
        <f t="shared" si="188"/>
        <v>3</v>
      </c>
    </row>
    <row r="3826" spans="1:6" x14ac:dyDescent="0.35">
      <c r="A3826">
        <f t="shared" si="189"/>
        <v>0</v>
      </c>
      <c r="B3826" t="str">
        <f t="shared" si="190"/>
        <v>GX</v>
      </c>
      <c r="C3826" s="14" t="s">
        <v>140</v>
      </c>
      <c r="D3826" s="18">
        <f>VLOOKUP(C3826,'DISTRIBUIÇÃO NF4267'!$E$3:$FQ$75,MATCH(B3826,'DISTRIBUIÇÃO NF4267'!$E$3:$FQ$3,0)+1,0)</f>
        <v>4</v>
      </c>
      <c r="F3826" s="28">
        <f t="shared" si="188"/>
        <v>3</v>
      </c>
    </row>
    <row r="3827" spans="1:6" x14ac:dyDescent="0.35">
      <c r="A3827">
        <f t="shared" si="189"/>
        <v>0</v>
      </c>
      <c r="B3827" t="str">
        <f t="shared" si="190"/>
        <v>GX</v>
      </c>
      <c r="C3827" s="14" t="s">
        <v>141</v>
      </c>
      <c r="D3827" s="18">
        <f>VLOOKUP(C3827,'DISTRIBUIÇÃO NF4267'!$E$3:$FQ$75,MATCH(B3827,'DISTRIBUIÇÃO NF4267'!$E$3:$FQ$3,0)+1,0)</f>
        <v>2</v>
      </c>
      <c r="F3827" s="28">
        <f t="shared" si="188"/>
        <v>3</v>
      </c>
    </row>
    <row r="3828" spans="1:6" x14ac:dyDescent="0.35">
      <c r="A3828">
        <f t="shared" si="189"/>
        <v>0</v>
      </c>
      <c r="B3828" t="str">
        <f t="shared" si="190"/>
        <v>GX</v>
      </c>
      <c r="C3828" s="14" t="s">
        <v>142</v>
      </c>
      <c r="D3828" s="18">
        <f>VLOOKUP(C3828,'DISTRIBUIÇÃO NF4267'!$E$3:$FQ$75,MATCH(B3828,'DISTRIBUIÇÃO NF4267'!$E$3:$FQ$3,0)+1,0)</f>
        <v>2</v>
      </c>
      <c r="F3828" s="28">
        <f t="shared" si="188"/>
        <v>3</v>
      </c>
    </row>
    <row r="3829" spans="1:6" x14ac:dyDescent="0.35">
      <c r="A3829">
        <f t="shared" si="189"/>
        <v>0</v>
      </c>
      <c r="B3829" t="str">
        <f t="shared" si="190"/>
        <v>GX</v>
      </c>
      <c r="C3829" s="14" t="s">
        <v>143</v>
      </c>
      <c r="D3829" s="18">
        <f>VLOOKUP(C3829,'DISTRIBUIÇÃO NF4267'!$E$3:$FQ$75,MATCH(B3829,'DISTRIBUIÇÃO NF4267'!$E$3:$FQ$3,0)+1,0)</f>
        <v>0</v>
      </c>
      <c r="F3829" s="28">
        <f t="shared" si="188"/>
        <v>3</v>
      </c>
    </row>
    <row r="3830" spans="1:6" x14ac:dyDescent="0.35">
      <c r="A3830">
        <f t="shared" si="189"/>
        <v>0</v>
      </c>
      <c r="B3830" t="str">
        <f t="shared" si="190"/>
        <v>GX</v>
      </c>
      <c r="C3830" s="15" t="s">
        <v>145</v>
      </c>
      <c r="D3830" s="18">
        <f>VLOOKUP(C3830,'DISTRIBUIÇÃO NF4267'!$E$3:$FQ$75,MATCH(B3830,'DISTRIBUIÇÃO NF4267'!$E$3:$FQ$3,0)+1,0)</f>
        <v>0</v>
      </c>
      <c r="F3830" s="28">
        <f t="shared" si="188"/>
        <v>3</v>
      </c>
    </row>
    <row r="3831" spans="1:6" x14ac:dyDescent="0.35">
      <c r="A3831">
        <f t="shared" si="189"/>
        <v>0</v>
      </c>
      <c r="B3831" t="str">
        <f t="shared" si="190"/>
        <v>GX</v>
      </c>
      <c r="C3831" s="15" t="s">
        <v>146</v>
      </c>
      <c r="D3831" s="18">
        <f>VLOOKUP(C3831,'DISTRIBUIÇÃO NF4267'!$E$3:$FQ$75,MATCH(B3831,'DISTRIBUIÇÃO NF4267'!$E$3:$FQ$3,0)+1,0)</f>
        <v>2</v>
      </c>
      <c r="F3831" s="28">
        <f t="shared" si="188"/>
        <v>3</v>
      </c>
    </row>
    <row r="3832" spans="1:6" x14ac:dyDescent="0.35">
      <c r="A3832">
        <f t="shared" si="189"/>
        <v>0</v>
      </c>
      <c r="B3832" t="str">
        <f t="shared" si="190"/>
        <v>GX</v>
      </c>
      <c r="C3832" s="15" t="s">
        <v>147</v>
      </c>
      <c r="D3832" s="18">
        <f>VLOOKUP(C3832,'DISTRIBUIÇÃO NF4267'!$E$3:$FQ$75,MATCH(B3832,'DISTRIBUIÇÃO NF4267'!$E$3:$FQ$3,0)+1,0)</f>
        <v>4</v>
      </c>
      <c r="F3832" s="28">
        <f t="shared" ref="F3832:F3895" si="191">ROUNDUP(SUMIFS(D:D,B:B,B3832)/80,0)</f>
        <v>3</v>
      </c>
    </row>
    <row r="3833" spans="1:6" x14ac:dyDescent="0.35">
      <c r="A3833">
        <f t="shared" si="189"/>
        <v>0</v>
      </c>
      <c r="B3833" t="str">
        <f t="shared" si="190"/>
        <v>GX</v>
      </c>
      <c r="C3833" s="15" t="s">
        <v>148</v>
      </c>
      <c r="D3833" s="18">
        <f>VLOOKUP(C3833,'DISTRIBUIÇÃO NF4267'!$E$3:$FQ$75,MATCH(B3833,'DISTRIBUIÇÃO NF4267'!$E$3:$FQ$3,0)+1,0)</f>
        <v>2</v>
      </c>
      <c r="F3833" s="28">
        <f t="shared" si="191"/>
        <v>3</v>
      </c>
    </row>
    <row r="3834" spans="1:6" x14ac:dyDescent="0.35">
      <c r="A3834">
        <f t="shared" si="189"/>
        <v>0</v>
      </c>
      <c r="B3834" t="str">
        <f t="shared" si="190"/>
        <v>GX</v>
      </c>
      <c r="C3834" s="15" t="s">
        <v>149</v>
      </c>
      <c r="D3834" s="18">
        <f>VLOOKUP(C3834,'DISTRIBUIÇÃO NF4267'!$E$3:$FQ$75,MATCH(B3834,'DISTRIBUIÇÃO NF4267'!$E$3:$FQ$3,0)+1,0)</f>
        <v>2</v>
      </c>
      <c r="F3834" s="28">
        <f t="shared" si="191"/>
        <v>3</v>
      </c>
    </row>
    <row r="3835" spans="1:6" x14ac:dyDescent="0.35">
      <c r="A3835">
        <f t="shared" si="189"/>
        <v>0</v>
      </c>
      <c r="B3835" t="str">
        <f t="shared" si="190"/>
        <v>GX</v>
      </c>
      <c r="C3835" s="15" t="s">
        <v>150</v>
      </c>
      <c r="D3835" s="18">
        <f>VLOOKUP(C3835,'DISTRIBUIÇÃO NF4267'!$E$3:$FQ$75,MATCH(B3835,'DISTRIBUIÇÃO NF4267'!$E$3:$FQ$3,0)+1,0)</f>
        <v>0</v>
      </c>
      <c r="F3835" s="28">
        <f t="shared" si="191"/>
        <v>3</v>
      </c>
    </row>
    <row r="3836" spans="1:6" x14ac:dyDescent="0.35">
      <c r="A3836">
        <f t="shared" si="189"/>
        <v>0</v>
      </c>
      <c r="B3836">
        <v>93</v>
      </c>
      <c r="C3836" s="7" t="s">
        <v>98</v>
      </c>
      <c r="D3836" s="18">
        <f>VLOOKUP(C3836,'DISTRIBUIÇÃO NF4267'!$E$3:$FQ$75,MATCH(B3836,'DISTRIBUIÇÃO NF4267'!$E$3:$FQ$3,0)+1,0)</f>
        <v>0</v>
      </c>
      <c r="F3836" s="28">
        <f t="shared" si="191"/>
        <v>3</v>
      </c>
    </row>
    <row r="3837" spans="1:6" x14ac:dyDescent="0.35">
      <c r="A3837">
        <f t="shared" si="189"/>
        <v>0</v>
      </c>
      <c r="B3837">
        <f>B3836</f>
        <v>93</v>
      </c>
      <c r="C3837" s="7" t="s">
        <v>99</v>
      </c>
      <c r="D3837" s="18">
        <f>VLOOKUP(C3837,'DISTRIBUIÇÃO NF4267'!$E$3:$FQ$75,MATCH(B3837,'DISTRIBUIÇÃO NF4267'!$E$3:$FQ$3,0)+1,0)</f>
        <v>4</v>
      </c>
      <c r="F3837" s="28">
        <f t="shared" si="191"/>
        <v>3</v>
      </c>
    </row>
    <row r="3838" spans="1:6" x14ac:dyDescent="0.35">
      <c r="A3838">
        <f t="shared" si="189"/>
        <v>0</v>
      </c>
      <c r="B3838">
        <f t="shared" ref="B3838:B3889" si="192">B3837</f>
        <v>93</v>
      </c>
      <c r="C3838" s="7" t="s">
        <v>100</v>
      </c>
      <c r="D3838" s="18">
        <f>VLOOKUP(C3838,'DISTRIBUIÇÃO NF4267'!$E$3:$FQ$75,MATCH(B3838,'DISTRIBUIÇÃO NF4267'!$E$3:$FQ$3,0)+1,0)</f>
        <v>8</v>
      </c>
      <c r="F3838" s="28">
        <f t="shared" si="191"/>
        <v>3</v>
      </c>
    </row>
    <row r="3839" spans="1:6" x14ac:dyDescent="0.35">
      <c r="A3839">
        <f t="shared" si="189"/>
        <v>0</v>
      </c>
      <c r="B3839">
        <f t="shared" si="192"/>
        <v>93</v>
      </c>
      <c r="C3839" s="7" t="s">
        <v>101</v>
      </c>
      <c r="D3839" s="18">
        <f>VLOOKUP(C3839,'DISTRIBUIÇÃO NF4267'!$E$3:$FQ$75,MATCH(B3839,'DISTRIBUIÇÃO NF4267'!$E$3:$FQ$3,0)+1,0)</f>
        <v>4</v>
      </c>
      <c r="F3839" s="28">
        <f t="shared" si="191"/>
        <v>3</v>
      </c>
    </row>
    <row r="3840" spans="1:6" x14ac:dyDescent="0.35">
      <c r="A3840">
        <f t="shared" si="189"/>
        <v>0</v>
      </c>
      <c r="B3840">
        <f t="shared" si="192"/>
        <v>93</v>
      </c>
      <c r="C3840" s="7" t="s">
        <v>102</v>
      </c>
      <c r="D3840" s="18">
        <f>VLOOKUP(C3840,'DISTRIBUIÇÃO NF4267'!$E$3:$FQ$75,MATCH(B3840,'DISTRIBUIÇÃO NF4267'!$E$3:$FQ$3,0)+1,0)</f>
        <v>4</v>
      </c>
      <c r="F3840" s="28">
        <f t="shared" si="191"/>
        <v>3</v>
      </c>
    </row>
    <row r="3841" spans="1:6" x14ac:dyDescent="0.35">
      <c r="A3841">
        <f t="shared" si="189"/>
        <v>0</v>
      </c>
      <c r="B3841">
        <f t="shared" si="192"/>
        <v>93</v>
      </c>
      <c r="C3841" s="7" t="s">
        <v>103</v>
      </c>
      <c r="D3841" s="18">
        <f>VLOOKUP(C3841,'DISTRIBUIÇÃO NF4267'!$E$3:$FQ$75,MATCH(B3841,'DISTRIBUIÇÃO NF4267'!$E$3:$FQ$3,0)+1,0)</f>
        <v>0</v>
      </c>
      <c r="F3841" s="28">
        <f t="shared" si="191"/>
        <v>3</v>
      </c>
    </row>
    <row r="3842" spans="1:6" x14ac:dyDescent="0.35">
      <c r="A3842">
        <f t="shared" ref="A3842:A3905" si="193">IF(ISERROR(VLOOKUP(C3842,I:I,1,0)),0,1)</f>
        <v>0</v>
      </c>
      <c r="B3842">
        <f t="shared" si="192"/>
        <v>93</v>
      </c>
      <c r="C3842" s="8" t="s">
        <v>107</v>
      </c>
      <c r="D3842" s="18">
        <f>VLOOKUP(C3842,'DISTRIBUIÇÃO NF4267'!$E$3:$FQ$75,MATCH(B3842,'DISTRIBUIÇÃO NF4267'!$E$3:$FQ$3,0)+1,0)</f>
        <v>0</v>
      </c>
      <c r="F3842" s="28">
        <f t="shared" si="191"/>
        <v>3</v>
      </c>
    </row>
    <row r="3843" spans="1:6" x14ac:dyDescent="0.35">
      <c r="A3843">
        <f t="shared" si="193"/>
        <v>0</v>
      </c>
      <c r="B3843">
        <f t="shared" si="192"/>
        <v>93</v>
      </c>
      <c r="C3843" s="8" t="s">
        <v>108</v>
      </c>
      <c r="D3843" s="18">
        <f>VLOOKUP(C3843,'DISTRIBUIÇÃO NF4267'!$E$3:$FQ$75,MATCH(B3843,'DISTRIBUIÇÃO NF4267'!$E$3:$FQ$3,0)+1,0)</f>
        <v>2</v>
      </c>
      <c r="F3843" s="28">
        <f t="shared" si="191"/>
        <v>3</v>
      </c>
    </row>
    <row r="3844" spans="1:6" x14ac:dyDescent="0.35">
      <c r="A3844">
        <f t="shared" si="193"/>
        <v>0</v>
      </c>
      <c r="B3844">
        <f t="shared" si="192"/>
        <v>93</v>
      </c>
      <c r="C3844" s="8" t="s">
        <v>109</v>
      </c>
      <c r="D3844" s="18">
        <f>VLOOKUP(C3844,'DISTRIBUIÇÃO NF4267'!$E$3:$FQ$75,MATCH(B3844,'DISTRIBUIÇÃO NF4267'!$E$3:$FQ$3,0)+1,0)</f>
        <v>4</v>
      </c>
      <c r="F3844" s="28">
        <f t="shared" si="191"/>
        <v>3</v>
      </c>
    </row>
    <row r="3845" spans="1:6" x14ac:dyDescent="0.35">
      <c r="A3845">
        <f t="shared" si="193"/>
        <v>0</v>
      </c>
      <c r="B3845">
        <f t="shared" si="192"/>
        <v>93</v>
      </c>
      <c r="C3845" s="8" t="s">
        <v>110</v>
      </c>
      <c r="D3845" s="18">
        <f>VLOOKUP(C3845,'DISTRIBUIÇÃO NF4267'!$E$3:$FQ$75,MATCH(B3845,'DISTRIBUIÇÃO NF4267'!$E$3:$FQ$3,0)+1,0)</f>
        <v>2</v>
      </c>
      <c r="F3845" s="28">
        <f t="shared" si="191"/>
        <v>3</v>
      </c>
    </row>
    <row r="3846" spans="1:6" x14ac:dyDescent="0.35">
      <c r="A3846">
        <f t="shared" si="193"/>
        <v>0</v>
      </c>
      <c r="B3846">
        <f t="shared" si="192"/>
        <v>93</v>
      </c>
      <c r="C3846" s="8" t="s">
        <v>111</v>
      </c>
      <c r="D3846" s="18">
        <f>VLOOKUP(C3846,'DISTRIBUIÇÃO NF4267'!$E$3:$FQ$75,MATCH(B3846,'DISTRIBUIÇÃO NF4267'!$E$3:$FQ$3,0)+1,0)</f>
        <v>2</v>
      </c>
      <c r="F3846" s="28">
        <f t="shared" si="191"/>
        <v>3</v>
      </c>
    </row>
    <row r="3847" spans="1:6" x14ac:dyDescent="0.35">
      <c r="A3847">
        <f t="shared" si="193"/>
        <v>0</v>
      </c>
      <c r="B3847">
        <f t="shared" si="192"/>
        <v>93</v>
      </c>
      <c r="C3847" s="8" t="s">
        <v>112</v>
      </c>
      <c r="D3847" s="18">
        <f>VLOOKUP(C3847,'DISTRIBUIÇÃO NF4267'!$E$3:$FQ$75,MATCH(B3847,'DISTRIBUIÇÃO NF4267'!$E$3:$FQ$3,0)+1,0)</f>
        <v>0</v>
      </c>
      <c r="F3847" s="28">
        <f t="shared" si="191"/>
        <v>3</v>
      </c>
    </row>
    <row r="3848" spans="1:6" x14ac:dyDescent="0.35">
      <c r="A3848">
        <f t="shared" si="193"/>
        <v>0</v>
      </c>
      <c r="B3848">
        <f t="shared" si="192"/>
        <v>93</v>
      </c>
      <c r="C3848" s="9" t="s">
        <v>113</v>
      </c>
      <c r="D3848" s="18">
        <f>VLOOKUP(C3848,'DISTRIBUIÇÃO NF4267'!$E$3:$FQ$75,MATCH(B3848,'DISTRIBUIÇÃO NF4267'!$E$3:$FQ$3,0)+1,0)</f>
        <v>0</v>
      </c>
      <c r="F3848" s="28">
        <f t="shared" si="191"/>
        <v>3</v>
      </c>
    </row>
    <row r="3849" spans="1:6" x14ac:dyDescent="0.35">
      <c r="A3849">
        <f t="shared" si="193"/>
        <v>0</v>
      </c>
      <c r="B3849">
        <f t="shared" si="192"/>
        <v>93</v>
      </c>
      <c r="C3849" s="9" t="s">
        <v>114</v>
      </c>
      <c r="D3849" s="18">
        <f>VLOOKUP(C3849,'DISTRIBUIÇÃO NF4267'!$E$3:$FQ$75,MATCH(B3849,'DISTRIBUIÇÃO NF4267'!$E$3:$FQ$3,0)+1,0)</f>
        <v>3</v>
      </c>
      <c r="F3849" s="28">
        <f t="shared" si="191"/>
        <v>3</v>
      </c>
    </row>
    <row r="3850" spans="1:6" x14ac:dyDescent="0.35">
      <c r="A3850">
        <f t="shared" si="193"/>
        <v>0</v>
      </c>
      <c r="B3850">
        <f t="shared" si="192"/>
        <v>93</v>
      </c>
      <c r="C3850" s="9" t="s">
        <v>115</v>
      </c>
      <c r="D3850" s="18">
        <f>VLOOKUP(C3850,'DISTRIBUIÇÃO NF4267'!$E$3:$FQ$75,MATCH(B3850,'DISTRIBUIÇÃO NF4267'!$E$3:$FQ$3,0)+1,0)</f>
        <v>4</v>
      </c>
      <c r="F3850" s="28">
        <f t="shared" si="191"/>
        <v>3</v>
      </c>
    </row>
    <row r="3851" spans="1:6" x14ac:dyDescent="0.35">
      <c r="A3851">
        <f t="shared" si="193"/>
        <v>0</v>
      </c>
      <c r="B3851">
        <f t="shared" si="192"/>
        <v>93</v>
      </c>
      <c r="C3851" s="9" t="s">
        <v>116</v>
      </c>
      <c r="D3851" s="18">
        <f>VLOOKUP(C3851,'DISTRIBUIÇÃO NF4267'!$E$3:$FQ$75,MATCH(B3851,'DISTRIBUIÇÃO NF4267'!$E$3:$FQ$3,0)+1,0)</f>
        <v>2</v>
      </c>
      <c r="F3851" s="28">
        <f t="shared" si="191"/>
        <v>3</v>
      </c>
    </row>
    <row r="3852" spans="1:6" x14ac:dyDescent="0.35">
      <c r="A3852">
        <f t="shared" si="193"/>
        <v>0</v>
      </c>
      <c r="B3852">
        <f t="shared" si="192"/>
        <v>93</v>
      </c>
      <c r="C3852" s="9" t="s">
        <v>117</v>
      </c>
      <c r="D3852" s="18">
        <f>VLOOKUP(C3852,'DISTRIBUIÇÃO NF4267'!$E$3:$FQ$75,MATCH(B3852,'DISTRIBUIÇÃO NF4267'!$E$3:$FQ$3,0)+1,0)</f>
        <v>1</v>
      </c>
      <c r="F3852" s="28">
        <f t="shared" si="191"/>
        <v>3</v>
      </c>
    </row>
    <row r="3853" spans="1:6" x14ac:dyDescent="0.35">
      <c r="A3853">
        <f t="shared" si="193"/>
        <v>0</v>
      </c>
      <c r="B3853">
        <f t="shared" si="192"/>
        <v>93</v>
      </c>
      <c r="C3853" s="9" t="s">
        <v>118</v>
      </c>
      <c r="D3853" s="18">
        <f>VLOOKUP(C3853,'DISTRIBUIÇÃO NF4267'!$E$3:$FQ$75,MATCH(B3853,'DISTRIBUIÇÃO NF4267'!$E$3:$FQ$3,0)+1,0)</f>
        <v>0</v>
      </c>
      <c r="F3853" s="28">
        <f t="shared" si="191"/>
        <v>3</v>
      </c>
    </row>
    <row r="3854" spans="1:6" x14ac:dyDescent="0.35">
      <c r="A3854">
        <f t="shared" si="193"/>
        <v>0</v>
      </c>
      <c r="B3854">
        <f t="shared" si="192"/>
        <v>93</v>
      </c>
      <c r="C3854" s="10" t="s">
        <v>119</v>
      </c>
      <c r="D3854" s="18">
        <f>VLOOKUP(C3854,'DISTRIBUIÇÃO NF4267'!$E$3:$FQ$75,MATCH(B3854,'DISTRIBUIÇÃO NF4267'!$E$3:$FQ$3,0)+1,0)</f>
        <v>0</v>
      </c>
      <c r="F3854" s="28">
        <f t="shared" si="191"/>
        <v>3</v>
      </c>
    </row>
    <row r="3855" spans="1:6" x14ac:dyDescent="0.35">
      <c r="A3855">
        <f t="shared" si="193"/>
        <v>0</v>
      </c>
      <c r="B3855">
        <f t="shared" si="192"/>
        <v>93</v>
      </c>
      <c r="C3855" s="10" t="s">
        <v>120</v>
      </c>
      <c r="D3855" s="18">
        <f>VLOOKUP(C3855,'DISTRIBUIÇÃO NF4267'!$E$3:$FQ$75,MATCH(B3855,'DISTRIBUIÇÃO NF4267'!$E$3:$FQ$3,0)+1,0)</f>
        <v>48</v>
      </c>
      <c r="F3855" s="28">
        <f t="shared" si="191"/>
        <v>3</v>
      </c>
    </row>
    <row r="3856" spans="1:6" x14ac:dyDescent="0.35">
      <c r="A3856">
        <f t="shared" si="193"/>
        <v>0</v>
      </c>
      <c r="B3856">
        <f t="shared" si="192"/>
        <v>93</v>
      </c>
      <c r="C3856" s="10" t="s">
        <v>121</v>
      </c>
      <c r="D3856" s="18">
        <f>VLOOKUP(C3856,'DISTRIBUIÇÃO NF4267'!$E$3:$FQ$75,MATCH(B3856,'DISTRIBUIÇÃO NF4267'!$E$3:$FQ$3,0)+1,0)</f>
        <v>16</v>
      </c>
      <c r="F3856" s="28">
        <f t="shared" si="191"/>
        <v>3</v>
      </c>
    </row>
    <row r="3857" spans="1:6" x14ac:dyDescent="0.35">
      <c r="A3857">
        <f t="shared" si="193"/>
        <v>0</v>
      </c>
      <c r="B3857">
        <f t="shared" si="192"/>
        <v>93</v>
      </c>
      <c r="C3857" s="10" t="s">
        <v>122</v>
      </c>
      <c r="D3857" s="18">
        <f>VLOOKUP(C3857,'DISTRIBUIÇÃO NF4267'!$E$3:$FQ$75,MATCH(B3857,'DISTRIBUIÇÃO NF4267'!$E$3:$FQ$3,0)+1,0)</f>
        <v>16</v>
      </c>
      <c r="F3857" s="28">
        <f t="shared" si="191"/>
        <v>3</v>
      </c>
    </row>
    <row r="3858" spans="1:6" x14ac:dyDescent="0.35">
      <c r="A3858">
        <f t="shared" si="193"/>
        <v>0</v>
      </c>
      <c r="B3858">
        <f t="shared" si="192"/>
        <v>93</v>
      </c>
      <c r="C3858" s="10" t="s">
        <v>123</v>
      </c>
      <c r="D3858" s="18">
        <f>VLOOKUP(C3858,'DISTRIBUIÇÃO NF4267'!$E$3:$FQ$75,MATCH(B3858,'DISTRIBUIÇÃO NF4267'!$E$3:$FQ$3,0)+1,0)</f>
        <v>0</v>
      </c>
      <c r="F3858" s="28">
        <f t="shared" si="191"/>
        <v>3</v>
      </c>
    </row>
    <row r="3859" spans="1:6" x14ac:dyDescent="0.35">
      <c r="A3859">
        <f t="shared" si="193"/>
        <v>0</v>
      </c>
      <c r="B3859">
        <f t="shared" si="192"/>
        <v>93</v>
      </c>
      <c r="C3859" s="10" t="s">
        <v>124</v>
      </c>
      <c r="D3859" s="18">
        <f>VLOOKUP(C3859,'DISTRIBUIÇÃO NF4267'!$E$3:$FQ$75,MATCH(B3859,'DISTRIBUIÇÃO NF4267'!$E$3:$FQ$3,0)+1,0)</f>
        <v>0</v>
      </c>
      <c r="F3859" s="28">
        <f t="shared" si="191"/>
        <v>3</v>
      </c>
    </row>
    <row r="3860" spans="1:6" x14ac:dyDescent="0.35">
      <c r="A3860">
        <f t="shared" si="193"/>
        <v>0</v>
      </c>
      <c r="B3860">
        <f t="shared" si="192"/>
        <v>93</v>
      </c>
      <c r="C3860" s="11" t="s">
        <v>16</v>
      </c>
      <c r="D3860" s="18">
        <f>VLOOKUP(C3860,'DISTRIBUIÇÃO NF4267'!$E$3:$FQ$75,MATCH(B3860,'DISTRIBUIÇÃO NF4267'!$E$3:$FQ$3,0)+1,0)</f>
        <v>0</v>
      </c>
      <c r="F3860" s="28">
        <f t="shared" si="191"/>
        <v>3</v>
      </c>
    </row>
    <row r="3861" spans="1:6" x14ac:dyDescent="0.35">
      <c r="A3861">
        <f t="shared" si="193"/>
        <v>0</v>
      </c>
      <c r="B3861">
        <f t="shared" si="192"/>
        <v>93</v>
      </c>
      <c r="C3861" s="11" t="s">
        <v>17</v>
      </c>
      <c r="D3861" s="18">
        <f>VLOOKUP(C3861,'DISTRIBUIÇÃO NF4267'!$E$3:$FQ$75,MATCH(B3861,'DISTRIBUIÇÃO NF4267'!$E$3:$FQ$3,0)+1,0)</f>
        <v>9</v>
      </c>
      <c r="F3861" s="28">
        <f t="shared" si="191"/>
        <v>3</v>
      </c>
    </row>
    <row r="3862" spans="1:6" x14ac:dyDescent="0.35">
      <c r="A3862">
        <f t="shared" si="193"/>
        <v>0</v>
      </c>
      <c r="B3862">
        <f t="shared" si="192"/>
        <v>93</v>
      </c>
      <c r="C3862" s="11" t="s">
        <v>18</v>
      </c>
      <c r="D3862" s="18">
        <f>VLOOKUP(C3862,'DISTRIBUIÇÃO NF4267'!$E$3:$FQ$75,MATCH(B3862,'DISTRIBUIÇÃO NF4267'!$E$3:$FQ$3,0)+1,0)</f>
        <v>3</v>
      </c>
      <c r="F3862" s="28">
        <f t="shared" si="191"/>
        <v>3</v>
      </c>
    </row>
    <row r="3863" spans="1:6" x14ac:dyDescent="0.35">
      <c r="A3863">
        <f t="shared" si="193"/>
        <v>0</v>
      </c>
      <c r="B3863">
        <f t="shared" si="192"/>
        <v>93</v>
      </c>
      <c r="C3863" s="11" t="s">
        <v>19</v>
      </c>
      <c r="D3863" s="18">
        <f>VLOOKUP(C3863,'DISTRIBUIÇÃO NF4267'!$E$3:$FQ$75,MATCH(B3863,'DISTRIBUIÇÃO NF4267'!$E$3:$FQ$3,0)+1,0)</f>
        <v>3</v>
      </c>
      <c r="F3863" s="28">
        <f t="shared" si="191"/>
        <v>3</v>
      </c>
    </row>
    <row r="3864" spans="1:6" x14ac:dyDescent="0.35">
      <c r="A3864">
        <f t="shared" si="193"/>
        <v>0</v>
      </c>
      <c r="B3864">
        <f t="shared" si="192"/>
        <v>93</v>
      </c>
      <c r="C3864" s="11" t="s">
        <v>20</v>
      </c>
      <c r="D3864" s="18">
        <f>VLOOKUP(C3864,'DISTRIBUIÇÃO NF4267'!$E$3:$FQ$75,MATCH(B3864,'DISTRIBUIÇÃO NF4267'!$E$3:$FQ$3,0)+1,0)</f>
        <v>15</v>
      </c>
      <c r="F3864" s="28">
        <f t="shared" si="191"/>
        <v>3</v>
      </c>
    </row>
    <row r="3865" spans="1:6" x14ac:dyDescent="0.35">
      <c r="A3865">
        <f t="shared" si="193"/>
        <v>0</v>
      </c>
      <c r="B3865">
        <f t="shared" si="192"/>
        <v>93</v>
      </c>
      <c r="C3865" s="11" t="s">
        <v>21</v>
      </c>
      <c r="D3865" s="18">
        <f>VLOOKUP(C3865,'DISTRIBUIÇÃO NF4267'!$E$3:$FQ$75,MATCH(B3865,'DISTRIBUIÇÃO NF4267'!$E$3:$FQ$3,0)+1,0)</f>
        <v>0</v>
      </c>
      <c r="F3865" s="28">
        <f t="shared" si="191"/>
        <v>3</v>
      </c>
    </row>
    <row r="3866" spans="1:6" x14ac:dyDescent="0.35">
      <c r="A3866">
        <f t="shared" si="193"/>
        <v>0</v>
      </c>
      <c r="B3866">
        <f t="shared" si="192"/>
        <v>93</v>
      </c>
      <c r="C3866" s="12" t="s">
        <v>130</v>
      </c>
      <c r="D3866" s="18">
        <f>VLOOKUP(C3866,'DISTRIBUIÇÃO NF4267'!$E$3:$FQ$75,MATCH(B3866,'DISTRIBUIÇÃO NF4267'!$E$3:$FQ$3,0)+1,0)</f>
        <v>0</v>
      </c>
      <c r="F3866" s="28">
        <f t="shared" si="191"/>
        <v>3</v>
      </c>
    </row>
    <row r="3867" spans="1:6" x14ac:dyDescent="0.35">
      <c r="A3867">
        <f t="shared" si="193"/>
        <v>0</v>
      </c>
      <c r="B3867">
        <f t="shared" si="192"/>
        <v>93</v>
      </c>
      <c r="C3867" s="12" t="s">
        <v>131</v>
      </c>
      <c r="D3867" s="18">
        <f>VLOOKUP(C3867,'DISTRIBUIÇÃO NF4267'!$E$3:$FQ$75,MATCH(B3867,'DISTRIBUIÇÃO NF4267'!$E$3:$FQ$3,0)+1,0)</f>
        <v>0</v>
      </c>
      <c r="F3867" s="28">
        <f t="shared" si="191"/>
        <v>3</v>
      </c>
    </row>
    <row r="3868" spans="1:6" x14ac:dyDescent="0.35">
      <c r="A3868">
        <f t="shared" si="193"/>
        <v>0</v>
      </c>
      <c r="B3868">
        <f t="shared" si="192"/>
        <v>93</v>
      </c>
      <c r="C3868" s="12" t="s">
        <v>132</v>
      </c>
      <c r="D3868" s="18">
        <f>VLOOKUP(C3868,'DISTRIBUIÇÃO NF4267'!$E$3:$FQ$75,MATCH(B3868,'DISTRIBUIÇÃO NF4267'!$E$3:$FQ$3,0)+1,0)</f>
        <v>0</v>
      </c>
      <c r="F3868" s="28">
        <f t="shared" si="191"/>
        <v>3</v>
      </c>
    </row>
    <row r="3869" spans="1:6" x14ac:dyDescent="0.35">
      <c r="A3869">
        <f t="shared" si="193"/>
        <v>0</v>
      </c>
      <c r="B3869">
        <f t="shared" si="192"/>
        <v>93</v>
      </c>
      <c r="C3869" s="12" t="s">
        <v>133</v>
      </c>
      <c r="D3869" s="18">
        <f>VLOOKUP(C3869,'DISTRIBUIÇÃO NF4267'!$E$3:$FQ$75,MATCH(B3869,'DISTRIBUIÇÃO NF4267'!$E$3:$FQ$3,0)+1,0)</f>
        <v>0</v>
      </c>
      <c r="F3869" s="28">
        <f t="shared" si="191"/>
        <v>3</v>
      </c>
    </row>
    <row r="3870" spans="1:6" x14ac:dyDescent="0.35">
      <c r="A3870">
        <f t="shared" si="193"/>
        <v>0</v>
      </c>
      <c r="B3870">
        <f t="shared" si="192"/>
        <v>93</v>
      </c>
      <c r="C3870" s="12" t="s">
        <v>134</v>
      </c>
      <c r="D3870" s="18">
        <f>VLOOKUP(C3870,'DISTRIBUIÇÃO NF4267'!$E$3:$FQ$75,MATCH(B3870,'DISTRIBUIÇÃO NF4267'!$E$3:$FQ$3,0)+1,0)</f>
        <v>0</v>
      </c>
      <c r="F3870" s="28">
        <f t="shared" si="191"/>
        <v>3</v>
      </c>
    </row>
    <row r="3871" spans="1:6" x14ac:dyDescent="0.35">
      <c r="A3871">
        <f t="shared" si="193"/>
        <v>0</v>
      </c>
      <c r="B3871">
        <f t="shared" si="192"/>
        <v>93</v>
      </c>
      <c r="C3871" s="12" t="s">
        <v>135</v>
      </c>
      <c r="D3871" s="18">
        <f>VLOOKUP(C3871,'DISTRIBUIÇÃO NF4267'!$E$3:$FQ$75,MATCH(B3871,'DISTRIBUIÇÃO NF4267'!$E$3:$FQ$3,0)+1,0)</f>
        <v>0</v>
      </c>
      <c r="F3871" s="28">
        <f t="shared" si="191"/>
        <v>3</v>
      </c>
    </row>
    <row r="3872" spans="1:6" x14ac:dyDescent="0.35">
      <c r="A3872">
        <f t="shared" si="193"/>
        <v>0</v>
      </c>
      <c r="B3872">
        <f t="shared" si="192"/>
        <v>93</v>
      </c>
      <c r="C3872" s="13" t="s">
        <v>22</v>
      </c>
      <c r="D3872" s="18">
        <f>VLOOKUP(C3872,'DISTRIBUIÇÃO NF4267'!$E$3:$FQ$75,MATCH(B3872,'DISTRIBUIÇÃO NF4267'!$E$3:$FQ$3,0)+1,0)</f>
        <v>0</v>
      </c>
      <c r="F3872" s="28">
        <f t="shared" si="191"/>
        <v>3</v>
      </c>
    </row>
    <row r="3873" spans="1:6" x14ac:dyDescent="0.35">
      <c r="A3873">
        <f t="shared" si="193"/>
        <v>0</v>
      </c>
      <c r="B3873">
        <f t="shared" si="192"/>
        <v>93</v>
      </c>
      <c r="C3873" s="13" t="s">
        <v>23</v>
      </c>
      <c r="D3873" s="18">
        <f>VLOOKUP(C3873,'DISTRIBUIÇÃO NF4267'!$E$3:$FQ$75,MATCH(B3873,'DISTRIBUIÇÃO NF4267'!$E$3:$FQ$3,0)+1,0)</f>
        <v>0</v>
      </c>
      <c r="F3873" s="28">
        <f t="shared" si="191"/>
        <v>3</v>
      </c>
    </row>
    <row r="3874" spans="1:6" x14ac:dyDescent="0.35">
      <c r="A3874">
        <f t="shared" si="193"/>
        <v>0</v>
      </c>
      <c r="B3874">
        <f t="shared" si="192"/>
        <v>93</v>
      </c>
      <c r="C3874" s="13" t="s">
        <v>24</v>
      </c>
      <c r="D3874" s="18">
        <f>VLOOKUP(C3874,'DISTRIBUIÇÃO NF4267'!$E$3:$FQ$75,MATCH(B3874,'DISTRIBUIÇÃO NF4267'!$E$3:$FQ$3,0)+1,0)</f>
        <v>0</v>
      </c>
      <c r="F3874" s="28">
        <f t="shared" si="191"/>
        <v>3</v>
      </c>
    </row>
    <row r="3875" spans="1:6" x14ac:dyDescent="0.35">
      <c r="A3875">
        <f t="shared" si="193"/>
        <v>0</v>
      </c>
      <c r="B3875">
        <f t="shared" si="192"/>
        <v>93</v>
      </c>
      <c r="C3875" s="13" t="s">
        <v>25</v>
      </c>
      <c r="D3875" s="18">
        <f>VLOOKUP(C3875,'DISTRIBUIÇÃO NF4267'!$E$3:$FQ$75,MATCH(B3875,'DISTRIBUIÇÃO NF4267'!$E$3:$FQ$3,0)+1,0)</f>
        <v>0</v>
      </c>
      <c r="F3875" s="28">
        <f t="shared" si="191"/>
        <v>3</v>
      </c>
    </row>
    <row r="3876" spans="1:6" x14ac:dyDescent="0.35">
      <c r="A3876">
        <f t="shared" si="193"/>
        <v>0</v>
      </c>
      <c r="B3876">
        <f t="shared" si="192"/>
        <v>93</v>
      </c>
      <c r="C3876" s="13" t="s">
        <v>26</v>
      </c>
      <c r="D3876" s="18">
        <f>VLOOKUP(C3876,'DISTRIBUIÇÃO NF4267'!$E$3:$FQ$75,MATCH(B3876,'DISTRIBUIÇÃO NF4267'!$E$3:$FQ$3,0)+1,0)</f>
        <v>0</v>
      </c>
      <c r="F3876" s="28">
        <f t="shared" si="191"/>
        <v>3</v>
      </c>
    </row>
    <row r="3877" spans="1:6" x14ac:dyDescent="0.35">
      <c r="A3877">
        <f t="shared" si="193"/>
        <v>0</v>
      </c>
      <c r="B3877">
        <f t="shared" si="192"/>
        <v>93</v>
      </c>
      <c r="C3877" s="13" t="s">
        <v>27</v>
      </c>
      <c r="D3877" s="18">
        <f>VLOOKUP(C3877,'DISTRIBUIÇÃO NF4267'!$E$3:$FQ$75,MATCH(B3877,'DISTRIBUIÇÃO NF4267'!$E$3:$FQ$3,0)+1,0)</f>
        <v>0</v>
      </c>
      <c r="F3877" s="28">
        <f t="shared" si="191"/>
        <v>3</v>
      </c>
    </row>
    <row r="3878" spans="1:6" x14ac:dyDescent="0.35">
      <c r="A3878">
        <f t="shared" si="193"/>
        <v>0</v>
      </c>
      <c r="B3878">
        <f t="shared" si="192"/>
        <v>93</v>
      </c>
      <c r="C3878" s="14" t="s">
        <v>138</v>
      </c>
      <c r="D3878" s="18">
        <f>VLOOKUP(C3878,'DISTRIBUIÇÃO NF4267'!$E$3:$FQ$75,MATCH(B3878,'DISTRIBUIÇÃO NF4267'!$E$3:$FQ$3,0)+1,0)</f>
        <v>0</v>
      </c>
      <c r="F3878" s="28">
        <f t="shared" si="191"/>
        <v>3</v>
      </c>
    </row>
    <row r="3879" spans="1:6" x14ac:dyDescent="0.35">
      <c r="A3879">
        <f t="shared" si="193"/>
        <v>0</v>
      </c>
      <c r="B3879">
        <f t="shared" si="192"/>
        <v>93</v>
      </c>
      <c r="C3879" s="14" t="s">
        <v>139</v>
      </c>
      <c r="D3879" s="18">
        <f>VLOOKUP(C3879,'DISTRIBUIÇÃO NF4267'!$E$3:$FQ$75,MATCH(B3879,'DISTRIBUIÇÃO NF4267'!$E$3:$FQ$3,0)+1,0)</f>
        <v>2</v>
      </c>
      <c r="F3879" s="28">
        <f t="shared" si="191"/>
        <v>3</v>
      </c>
    </row>
    <row r="3880" spans="1:6" x14ac:dyDescent="0.35">
      <c r="A3880">
        <f t="shared" si="193"/>
        <v>0</v>
      </c>
      <c r="B3880">
        <f t="shared" si="192"/>
        <v>93</v>
      </c>
      <c r="C3880" s="14" t="s">
        <v>140</v>
      </c>
      <c r="D3880" s="18">
        <f>VLOOKUP(C3880,'DISTRIBUIÇÃO NF4267'!$E$3:$FQ$75,MATCH(B3880,'DISTRIBUIÇÃO NF4267'!$E$3:$FQ$3,0)+1,0)</f>
        <v>4</v>
      </c>
      <c r="F3880" s="28">
        <f t="shared" si="191"/>
        <v>3</v>
      </c>
    </row>
    <row r="3881" spans="1:6" x14ac:dyDescent="0.35">
      <c r="A3881">
        <f t="shared" si="193"/>
        <v>0</v>
      </c>
      <c r="B3881">
        <f t="shared" si="192"/>
        <v>93</v>
      </c>
      <c r="C3881" s="14" t="s">
        <v>141</v>
      </c>
      <c r="D3881" s="18">
        <f>VLOOKUP(C3881,'DISTRIBUIÇÃO NF4267'!$E$3:$FQ$75,MATCH(B3881,'DISTRIBUIÇÃO NF4267'!$E$3:$FQ$3,0)+1,0)</f>
        <v>2</v>
      </c>
      <c r="F3881" s="28">
        <f t="shared" si="191"/>
        <v>3</v>
      </c>
    </row>
    <row r="3882" spans="1:6" x14ac:dyDescent="0.35">
      <c r="A3882">
        <f t="shared" si="193"/>
        <v>0</v>
      </c>
      <c r="B3882">
        <f t="shared" si="192"/>
        <v>93</v>
      </c>
      <c r="C3882" s="14" t="s">
        <v>142</v>
      </c>
      <c r="D3882" s="18">
        <f>VLOOKUP(C3882,'DISTRIBUIÇÃO NF4267'!$E$3:$FQ$75,MATCH(B3882,'DISTRIBUIÇÃO NF4267'!$E$3:$FQ$3,0)+1,0)</f>
        <v>2</v>
      </c>
      <c r="F3882" s="28">
        <f t="shared" si="191"/>
        <v>3</v>
      </c>
    </row>
    <row r="3883" spans="1:6" x14ac:dyDescent="0.35">
      <c r="A3883">
        <f t="shared" si="193"/>
        <v>0</v>
      </c>
      <c r="B3883">
        <f t="shared" si="192"/>
        <v>93</v>
      </c>
      <c r="C3883" s="14" t="s">
        <v>143</v>
      </c>
      <c r="D3883" s="18">
        <f>VLOOKUP(C3883,'DISTRIBUIÇÃO NF4267'!$E$3:$FQ$75,MATCH(B3883,'DISTRIBUIÇÃO NF4267'!$E$3:$FQ$3,0)+1,0)</f>
        <v>0</v>
      </c>
      <c r="F3883" s="28">
        <f t="shared" si="191"/>
        <v>3</v>
      </c>
    </row>
    <row r="3884" spans="1:6" x14ac:dyDescent="0.35">
      <c r="A3884">
        <f t="shared" si="193"/>
        <v>0</v>
      </c>
      <c r="B3884">
        <f t="shared" si="192"/>
        <v>93</v>
      </c>
      <c r="C3884" s="15" t="s">
        <v>145</v>
      </c>
      <c r="D3884" s="18">
        <f>VLOOKUP(C3884,'DISTRIBUIÇÃO NF4267'!$E$3:$FQ$75,MATCH(B3884,'DISTRIBUIÇÃO NF4267'!$E$3:$FQ$3,0)+1,0)</f>
        <v>0</v>
      </c>
      <c r="F3884" s="28">
        <f t="shared" si="191"/>
        <v>3</v>
      </c>
    </row>
    <row r="3885" spans="1:6" x14ac:dyDescent="0.35">
      <c r="A3885">
        <f t="shared" si="193"/>
        <v>0</v>
      </c>
      <c r="B3885">
        <f t="shared" si="192"/>
        <v>93</v>
      </c>
      <c r="C3885" s="15" t="s">
        <v>146</v>
      </c>
      <c r="D3885" s="18">
        <f>VLOOKUP(C3885,'DISTRIBUIÇÃO NF4267'!$E$3:$FQ$75,MATCH(B3885,'DISTRIBUIÇÃO NF4267'!$E$3:$FQ$3,0)+1,0)</f>
        <v>2</v>
      </c>
      <c r="F3885" s="28">
        <f t="shared" si="191"/>
        <v>3</v>
      </c>
    </row>
    <row r="3886" spans="1:6" x14ac:dyDescent="0.35">
      <c r="A3886">
        <f t="shared" si="193"/>
        <v>0</v>
      </c>
      <c r="B3886">
        <f t="shared" si="192"/>
        <v>93</v>
      </c>
      <c r="C3886" s="15" t="s">
        <v>147</v>
      </c>
      <c r="D3886" s="18">
        <f>VLOOKUP(C3886,'DISTRIBUIÇÃO NF4267'!$E$3:$FQ$75,MATCH(B3886,'DISTRIBUIÇÃO NF4267'!$E$3:$FQ$3,0)+1,0)</f>
        <v>4</v>
      </c>
      <c r="F3886" s="28">
        <f t="shared" si="191"/>
        <v>3</v>
      </c>
    </row>
    <row r="3887" spans="1:6" x14ac:dyDescent="0.35">
      <c r="A3887">
        <f t="shared" si="193"/>
        <v>0</v>
      </c>
      <c r="B3887">
        <f t="shared" si="192"/>
        <v>93</v>
      </c>
      <c r="C3887" s="15" t="s">
        <v>148</v>
      </c>
      <c r="D3887" s="18">
        <f>VLOOKUP(C3887,'DISTRIBUIÇÃO NF4267'!$E$3:$FQ$75,MATCH(B3887,'DISTRIBUIÇÃO NF4267'!$E$3:$FQ$3,0)+1,0)</f>
        <v>2</v>
      </c>
      <c r="F3887" s="28">
        <f t="shared" si="191"/>
        <v>3</v>
      </c>
    </row>
    <row r="3888" spans="1:6" x14ac:dyDescent="0.35">
      <c r="A3888">
        <f t="shared" si="193"/>
        <v>0</v>
      </c>
      <c r="B3888">
        <f t="shared" si="192"/>
        <v>93</v>
      </c>
      <c r="C3888" s="15" t="s">
        <v>149</v>
      </c>
      <c r="D3888" s="18">
        <f>VLOOKUP(C3888,'DISTRIBUIÇÃO NF4267'!$E$3:$FQ$75,MATCH(B3888,'DISTRIBUIÇÃO NF4267'!$E$3:$FQ$3,0)+1,0)</f>
        <v>2</v>
      </c>
      <c r="F3888" s="28">
        <f t="shared" si="191"/>
        <v>3</v>
      </c>
    </row>
    <row r="3889" spans="1:6" x14ac:dyDescent="0.35">
      <c r="A3889">
        <f t="shared" si="193"/>
        <v>0</v>
      </c>
      <c r="B3889">
        <f t="shared" si="192"/>
        <v>93</v>
      </c>
      <c r="C3889" s="15" t="s">
        <v>150</v>
      </c>
      <c r="D3889" s="18">
        <f>VLOOKUP(C3889,'DISTRIBUIÇÃO NF4267'!$E$3:$FQ$75,MATCH(B3889,'DISTRIBUIÇÃO NF4267'!$E$3:$FQ$3,0)+1,0)</f>
        <v>0</v>
      </c>
      <c r="F3889" s="28">
        <f t="shared" si="191"/>
        <v>3</v>
      </c>
    </row>
    <row r="3890" spans="1:6" x14ac:dyDescent="0.35">
      <c r="A3890">
        <f t="shared" si="193"/>
        <v>0</v>
      </c>
      <c r="B3890" t="s">
        <v>80</v>
      </c>
      <c r="C3890" s="7" t="s">
        <v>98</v>
      </c>
      <c r="D3890" s="18">
        <f>VLOOKUP(C3890,'DISTRIBUIÇÃO NF4267'!$E$3:$FQ$75,MATCH(B3890,'DISTRIBUIÇÃO NF4267'!$E$3:$FQ$3,0)+1,0)</f>
        <v>0</v>
      </c>
      <c r="F3890" s="28">
        <f t="shared" si="191"/>
        <v>3</v>
      </c>
    </row>
    <row r="3891" spans="1:6" x14ac:dyDescent="0.35">
      <c r="A3891">
        <f t="shared" si="193"/>
        <v>0</v>
      </c>
      <c r="B3891" t="str">
        <f>B3890</f>
        <v>R1</v>
      </c>
      <c r="C3891" s="7" t="s">
        <v>99</v>
      </c>
      <c r="D3891" s="18">
        <f>VLOOKUP(C3891,'DISTRIBUIÇÃO NF4267'!$E$3:$FQ$75,MATCH(B3891,'DISTRIBUIÇÃO NF4267'!$E$3:$FQ$3,0)+1,0)</f>
        <v>4</v>
      </c>
      <c r="F3891" s="28">
        <f t="shared" si="191"/>
        <v>3</v>
      </c>
    </row>
    <row r="3892" spans="1:6" x14ac:dyDescent="0.35">
      <c r="A3892">
        <f t="shared" si="193"/>
        <v>0</v>
      </c>
      <c r="B3892" t="str">
        <f t="shared" ref="B3892:B3943" si="194">B3891</f>
        <v>R1</v>
      </c>
      <c r="C3892" s="7" t="s">
        <v>100</v>
      </c>
      <c r="D3892" s="18">
        <f>VLOOKUP(C3892,'DISTRIBUIÇÃO NF4267'!$E$3:$FQ$75,MATCH(B3892,'DISTRIBUIÇÃO NF4267'!$E$3:$FQ$3,0)+1,0)</f>
        <v>8</v>
      </c>
      <c r="F3892" s="28">
        <f t="shared" si="191"/>
        <v>3</v>
      </c>
    </row>
    <row r="3893" spans="1:6" x14ac:dyDescent="0.35">
      <c r="A3893">
        <f t="shared" si="193"/>
        <v>0</v>
      </c>
      <c r="B3893" t="str">
        <f t="shared" si="194"/>
        <v>R1</v>
      </c>
      <c r="C3893" s="7" t="s">
        <v>101</v>
      </c>
      <c r="D3893" s="18">
        <f>VLOOKUP(C3893,'DISTRIBUIÇÃO NF4267'!$E$3:$FQ$75,MATCH(B3893,'DISTRIBUIÇÃO NF4267'!$E$3:$FQ$3,0)+1,0)</f>
        <v>4</v>
      </c>
      <c r="F3893" s="28">
        <f t="shared" si="191"/>
        <v>3</v>
      </c>
    </row>
    <row r="3894" spans="1:6" x14ac:dyDescent="0.35">
      <c r="A3894">
        <f t="shared" si="193"/>
        <v>0</v>
      </c>
      <c r="B3894" t="str">
        <f t="shared" si="194"/>
        <v>R1</v>
      </c>
      <c r="C3894" s="7" t="s">
        <v>102</v>
      </c>
      <c r="D3894" s="18">
        <f>VLOOKUP(C3894,'DISTRIBUIÇÃO NF4267'!$E$3:$FQ$75,MATCH(B3894,'DISTRIBUIÇÃO NF4267'!$E$3:$FQ$3,0)+1,0)</f>
        <v>4</v>
      </c>
      <c r="F3894" s="28">
        <f t="shared" si="191"/>
        <v>3</v>
      </c>
    </row>
    <row r="3895" spans="1:6" x14ac:dyDescent="0.35">
      <c r="A3895">
        <f t="shared" si="193"/>
        <v>0</v>
      </c>
      <c r="B3895" t="str">
        <f t="shared" si="194"/>
        <v>R1</v>
      </c>
      <c r="C3895" s="7" t="s">
        <v>103</v>
      </c>
      <c r="D3895" s="18">
        <f>VLOOKUP(C3895,'DISTRIBUIÇÃO NF4267'!$E$3:$FQ$75,MATCH(B3895,'DISTRIBUIÇÃO NF4267'!$E$3:$FQ$3,0)+1,0)</f>
        <v>0</v>
      </c>
      <c r="F3895" s="28">
        <f t="shared" si="191"/>
        <v>3</v>
      </c>
    </row>
    <row r="3896" spans="1:6" x14ac:dyDescent="0.35">
      <c r="A3896">
        <f t="shared" si="193"/>
        <v>0</v>
      </c>
      <c r="B3896" t="str">
        <f t="shared" si="194"/>
        <v>R1</v>
      </c>
      <c r="C3896" s="8" t="s">
        <v>107</v>
      </c>
      <c r="D3896" s="18">
        <f>VLOOKUP(C3896,'DISTRIBUIÇÃO NF4267'!$E$3:$FQ$75,MATCH(B3896,'DISTRIBUIÇÃO NF4267'!$E$3:$FQ$3,0)+1,0)</f>
        <v>0</v>
      </c>
      <c r="F3896" s="28">
        <f t="shared" ref="F3896:F3959" si="195">ROUNDUP(SUMIFS(D:D,B:B,B3896)/80,0)</f>
        <v>3</v>
      </c>
    </row>
    <row r="3897" spans="1:6" x14ac:dyDescent="0.35">
      <c r="A3897">
        <f t="shared" si="193"/>
        <v>0</v>
      </c>
      <c r="B3897" t="str">
        <f t="shared" si="194"/>
        <v>R1</v>
      </c>
      <c r="C3897" s="8" t="s">
        <v>108</v>
      </c>
      <c r="D3897" s="18">
        <f>VLOOKUP(C3897,'DISTRIBUIÇÃO NF4267'!$E$3:$FQ$75,MATCH(B3897,'DISTRIBUIÇÃO NF4267'!$E$3:$FQ$3,0)+1,0)</f>
        <v>2</v>
      </c>
      <c r="F3897" s="28">
        <f t="shared" si="195"/>
        <v>3</v>
      </c>
    </row>
    <row r="3898" spans="1:6" x14ac:dyDescent="0.35">
      <c r="A3898">
        <f t="shared" si="193"/>
        <v>0</v>
      </c>
      <c r="B3898" t="str">
        <f t="shared" si="194"/>
        <v>R1</v>
      </c>
      <c r="C3898" s="8" t="s">
        <v>109</v>
      </c>
      <c r="D3898" s="18">
        <f>VLOOKUP(C3898,'DISTRIBUIÇÃO NF4267'!$E$3:$FQ$75,MATCH(B3898,'DISTRIBUIÇÃO NF4267'!$E$3:$FQ$3,0)+1,0)</f>
        <v>4</v>
      </c>
      <c r="F3898" s="28">
        <f t="shared" si="195"/>
        <v>3</v>
      </c>
    </row>
    <row r="3899" spans="1:6" x14ac:dyDescent="0.35">
      <c r="A3899">
        <f t="shared" si="193"/>
        <v>0</v>
      </c>
      <c r="B3899" t="str">
        <f t="shared" si="194"/>
        <v>R1</v>
      </c>
      <c r="C3899" s="8" t="s">
        <v>110</v>
      </c>
      <c r="D3899" s="18">
        <f>VLOOKUP(C3899,'DISTRIBUIÇÃO NF4267'!$E$3:$FQ$75,MATCH(B3899,'DISTRIBUIÇÃO NF4267'!$E$3:$FQ$3,0)+1,0)</f>
        <v>2</v>
      </c>
      <c r="F3899" s="28">
        <f t="shared" si="195"/>
        <v>3</v>
      </c>
    </row>
    <row r="3900" spans="1:6" x14ac:dyDescent="0.35">
      <c r="A3900">
        <f t="shared" si="193"/>
        <v>0</v>
      </c>
      <c r="B3900" t="str">
        <f t="shared" si="194"/>
        <v>R1</v>
      </c>
      <c r="C3900" s="8" t="s">
        <v>111</v>
      </c>
      <c r="D3900" s="18">
        <f>VLOOKUP(C3900,'DISTRIBUIÇÃO NF4267'!$E$3:$FQ$75,MATCH(B3900,'DISTRIBUIÇÃO NF4267'!$E$3:$FQ$3,0)+1,0)</f>
        <v>2</v>
      </c>
      <c r="F3900" s="28">
        <f t="shared" si="195"/>
        <v>3</v>
      </c>
    </row>
    <row r="3901" spans="1:6" x14ac:dyDescent="0.35">
      <c r="A3901">
        <f t="shared" si="193"/>
        <v>0</v>
      </c>
      <c r="B3901" t="str">
        <f t="shared" si="194"/>
        <v>R1</v>
      </c>
      <c r="C3901" s="8" t="s">
        <v>112</v>
      </c>
      <c r="D3901" s="18">
        <f>VLOOKUP(C3901,'DISTRIBUIÇÃO NF4267'!$E$3:$FQ$75,MATCH(B3901,'DISTRIBUIÇÃO NF4267'!$E$3:$FQ$3,0)+1,0)</f>
        <v>0</v>
      </c>
      <c r="F3901" s="28">
        <f t="shared" si="195"/>
        <v>3</v>
      </c>
    </row>
    <row r="3902" spans="1:6" x14ac:dyDescent="0.35">
      <c r="A3902">
        <f t="shared" si="193"/>
        <v>0</v>
      </c>
      <c r="B3902" t="str">
        <f t="shared" si="194"/>
        <v>R1</v>
      </c>
      <c r="C3902" s="9" t="s">
        <v>113</v>
      </c>
      <c r="D3902" s="18">
        <f>VLOOKUP(C3902,'DISTRIBUIÇÃO NF4267'!$E$3:$FQ$75,MATCH(B3902,'DISTRIBUIÇÃO NF4267'!$E$3:$FQ$3,0)+1,0)</f>
        <v>0</v>
      </c>
      <c r="F3902" s="28">
        <f t="shared" si="195"/>
        <v>3</v>
      </c>
    </row>
    <row r="3903" spans="1:6" x14ac:dyDescent="0.35">
      <c r="A3903">
        <f t="shared" si="193"/>
        <v>0</v>
      </c>
      <c r="B3903" t="str">
        <f t="shared" si="194"/>
        <v>R1</v>
      </c>
      <c r="C3903" s="9" t="s">
        <v>114</v>
      </c>
      <c r="D3903" s="18">
        <f>VLOOKUP(C3903,'DISTRIBUIÇÃO NF4267'!$E$3:$FQ$75,MATCH(B3903,'DISTRIBUIÇÃO NF4267'!$E$3:$FQ$3,0)+1,0)</f>
        <v>3</v>
      </c>
      <c r="F3903" s="28">
        <f t="shared" si="195"/>
        <v>3</v>
      </c>
    </row>
    <row r="3904" spans="1:6" x14ac:dyDescent="0.35">
      <c r="A3904">
        <f t="shared" si="193"/>
        <v>0</v>
      </c>
      <c r="B3904" t="str">
        <f t="shared" si="194"/>
        <v>R1</v>
      </c>
      <c r="C3904" s="9" t="s">
        <v>115</v>
      </c>
      <c r="D3904" s="18">
        <f>VLOOKUP(C3904,'DISTRIBUIÇÃO NF4267'!$E$3:$FQ$75,MATCH(B3904,'DISTRIBUIÇÃO NF4267'!$E$3:$FQ$3,0)+1,0)</f>
        <v>4</v>
      </c>
      <c r="F3904" s="28">
        <f t="shared" si="195"/>
        <v>3</v>
      </c>
    </row>
    <row r="3905" spans="1:6" x14ac:dyDescent="0.35">
      <c r="A3905">
        <f t="shared" si="193"/>
        <v>0</v>
      </c>
      <c r="B3905" t="str">
        <f t="shared" si="194"/>
        <v>R1</v>
      </c>
      <c r="C3905" s="9" t="s">
        <v>116</v>
      </c>
      <c r="D3905" s="18">
        <f>VLOOKUP(C3905,'DISTRIBUIÇÃO NF4267'!$E$3:$FQ$75,MATCH(B3905,'DISTRIBUIÇÃO NF4267'!$E$3:$FQ$3,0)+1,0)</f>
        <v>2</v>
      </c>
      <c r="F3905" s="28">
        <f t="shared" si="195"/>
        <v>3</v>
      </c>
    </row>
    <row r="3906" spans="1:6" x14ac:dyDescent="0.35">
      <c r="A3906">
        <f t="shared" ref="A3906:A3969" si="196">IF(ISERROR(VLOOKUP(C3906,I:I,1,0)),0,1)</f>
        <v>0</v>
      </c>
      <c r="B3906" t="str">
        <f t="shared" si="194"/>
        <v>R1</v>
      </c>
      <c r="C3906" s="9" t="s">
        <v>117</v>
      </c>
      <c r="D3906" s="18">
        <f>VLOOKUP(C3906,'DISTRIBUIÇÃO NF4267'!$E$3:$FQ$75,MATCH(B3906,'DISTRIBUIÇÃO NF4267'!$E$3:$FQ$3,0)+1,0)</f>
        <v>1</v>
      </c>
      <c r="F3906" s="28">
        <f t="shared" si="195"/>
        <v>3</v>
      </c>
    </row>
    <row r="3907" spans="1:6" x14ac:dyDescent="0.35">
      <c r="A3907">
        <f t="shared" si="196"/>
        <v>0</v>
      </c>
      <c r="B3907" t="str">
        <f t="shared" si="194"/>
        <v>R1</v>
      </c>
      <c r="C3907" s="9" t="s">
        <v>118</v>
      </c>
      <c r="D3907" s="18">
        <f>VLOOKUP(C3907,'DISTRIBUIÇÃO NF4267'!$E$3:$FQ$75,MATCH(B3907,'DISTRIBUIÇÃO NF4267'!$E$3:$FQ$3,0)+1,0)</f>
        <v>0</v>
      </c>
      <c r="F3907" s="28">
        <f t="shared" si="195"/>
        <v>3</v>
      </c>
    </row>
    <row r="3908" spans="1:6" x14ac:dyDescent="0.35">
      <c r="A3908">
        <f t="shared" si="196"/>
        <v>0</v>
      </c>
      <c r="B3908" t="str">
        <f t="shared" si="194"/>
        <v>R1</v>
      </c>
      <c r="C3908" s="10" t="s">
        <v>119</v>
      </c>
      <c r="D3908" s="18">
        <f>VLOOKUP(C3908,'DISTRIBUIÇÃO NF4267'!$E$3:$FQ$75,MATCH(B3908,'DISTRIBUIÇÃO NF4267'!$E$3:$FQ$3,0)+1,0)</f>
        <v>0</v>
      </c>
      <c r="F3908" s="28">
        <f t="shared" si="195"/>
        <v>3</v>
      </c>
    </row>
    <row r="3909" spans="1:6" x14ac:dyDescent="0.35">
      <c r="A3909">
        <f t="shared" si="196"/>
        <v>0</v>
      </c>
      <c r="B3909" t="str">
        <f t="shared" si="194"/>
        <v>R1</v>
      </c>
      <c r="C3909" s="10" t="s">
        <v>120</v>
      </c>
      <c r="D3909" s="18">
        <f>VLOOKUP(C3909,'DISTRIBUIÇÃO NF4267'!$E$3:$FQ$75,MATCH(B3909,'DISTRIBUIÇÃO NF4267'!$E$3:$FQ$3,0)+1,0)</f>
        <v>48</v>
      </c>
      <c r="F3909" s="28">
        <f t="shared" si="195"/>
        <v>3</v>
      </c>
    </row>
    <row r="3910" spans="1:6" x14ac:dyDescent="0.35">
      <c r="A3910">
        <f t="shared" si="196"/>
        <v>0</v>
      </c>
      <c r="B3910" t="str">
        <f t="shared" si="194"/>
        <v>R1</v>
      </c>
      <c r="C3910" s="10" t="s">
        <v>121</v>
      </c>
      <c r="D3910" s="18">
        <f>VLOOKUP(C3910,'DISTRIBUIÇÃO NF4267'!$E$3:$FQ$75,MATCH(B3910,'DISTRIBUIÇÃO NF4267'!$E$3:$FQ$3,0)+1,0)</f>
        <v>16</v>
      </c>
      <c r="F3910" s="28">
        <f t="shared" si="195"/>
        <v>3</v>
      </c>
    </row>
    <row r="3911" spans="1:6" x14ac:dyDescent="0.35">
      <c r="A3911">
        <f t="shared" si="196"/>
        <v>0</v>
      </c>
      <c r="B3911" t="str">
        <f t="shared" si="194"/>
        <v>R1</v>
      </c>
      <c r="C3911" s="10" t="s">
        <v>122</v>
      </c>
      <c r="D3911" s="18">
        <f>VLOOKUP(C3911,'DISTRIBUIÇÃO NF4267'!$E$3:$FQ$75,MATCH(B3911,'DISTRIBUIÇÃO NF4267'!$E$3:$FQ$3,0)+1,0)</f>
        <v>16</v>
      </c>
      <c r="F3911" s="28">
        <f t="shared" si="195"/>
        <v>3</v>
      </c>
    </row>
    <row r="3912" spans="1:6" x14ac:dyDescent="0.35">
      <c r="A3912">
        <f t="shared" si="196"/>
        <v>0</v>
      </c>
      <c r="B3912" t="str">
        <f t="shared" si="194"/>
        <v>R1</v>
      </c>
      <c r="C3912" s="10" t="s">
        <v>123</v>
      </c>
      <c r="D3912" s="18">
        <f>VLOOKUP(C3912,'DISTRIBUIÇÃO NF4267'!$E$3:$FQ$75,MATCH(B3912,'DISTRIBUIÇÃO NF4267'!$E$3:$FQ$3,0)+1,0)</f>
        <v>0</v>
      </c>
      <c r="F3912" s="28">
        <f t="shared" si="195"/>
        <v>3</v>
      </c>
    </row>
    <row r="3913" spans="1:6" x14ac:dyDescent="0.35">
      <c r="A3913">
        <f t="shared" si="196"/>
        <v>0</v>
      </c>
      <c r="B3913" t="str">
        <f t="shared" si="194"/>
        <v>R1</v>
      </c>
      <c r="C3913" s="10" t="s">
        <v>124</v>
      </c>
      <c r="D3913" s="18">
        <f>VLOOKUP(C3913,'DISTRIBUIÇÃO NF4267'!$E$3:$FQ$75,MATCH(B3913,'DISTRIBUIÇÃO NF4267'!$E$3:$FQ$3,0)+1,0)</f>
        <v>0</v>
      </c>
      <c r="F3913" s="28">
        <f t="shared" si="195"/>
        <v>3</v>
      </c>
    </row>
    <row r="3914" spans="1:6" x14ac:dyDescent="0.35">
      <c r="A3914">
        <f t="shared" si="196"/>
        <v>0</v>
      </c>
      <c r="B3914" t="str">
        <f t="shared" si="194"/>
        <v>R1</v>
      </c>
      <c r="C3914" s="11" t="s">
        <v>16</v>
      </c>
      <c r="D3914" s="18">
        <f>VLOOKUP(C3914,'DISTRIBUIÇÃO NF4267'!$E$3:$FQ$75,MATCH(B3914,'DISTRIBUIÇÃO NF4267'!$E$3:$FQ$3,0)+1,0)</f>
        <v>0</v>
      </c>
      <c r="F3914" s="28">
        <f t="shared" si="195"/>
        <v>3</v>
      </c>
    </row>
    <row r="3915" spans="1:6" x14ac:dyDescent="0.35">
      <c r="A3915">
        <f t="shared" si="196"/>
        <v>0</v>
      </c>
      <c r="B3915" t="str">
        <f t="shared" si="194"/>
        <v>R1</v>
      </c>
      <c r="C3915" s="11" t="s">
        <v>17</v>
      </c>
      <c r="D3915" s="18">
        <f>VLOOKUP(C3915,'DISTRIBUIÇÃO NF4267'!$E$3:$FQ$75,MATCH(B3915,'DISTRIBUIÇÃO NF4267'!$E$3:$FQ$3,0)+1,0)</f>
        <v>9</v>
      </c>
      <c r="F3915" s="28">
        <f t="shared" si="195"/>
        <v>3</v>
      </c>
    </row>
    <row r="3916" spans="1:6" x14ac:dyDescent="0.35">
      <c r="A3916">
        <f t="shared" si="196"/>
        <v>0</v>
      </c>
      <c r="B3916" t="str">
        <f t="shared" si="194"/>
        <v>R1</v>
      </c>
      <c r="C3916" s="11" t="s">
        <v>18</v>
      </c>
      <c r="D3916" s="18">
        <f>VLOOKUP(C3916,'DISTRIBUIÇÃO NF4267'!$E$3:$FQ$75,MATCH(B3916,'DISTRIBUIÇÃO NF4267'!$E$3:$FQ$3,0)+1,0)</f>
        <v>3</v>
      </c>
      <c r="F3916" s="28">
        <f t="shared" si="195"/>
        <v>3</v>
      </c>
    </row>
    <row r="3917" spans="1:6" x14ac:dyDescent="0.35">
      <c r="A3917">
        <f t="shared" si="196"/>
        <v>0</v>
      </c>
      <c r="B3917" t="str">
        <f t="shared" si="194"/>
        <v>R1</v>
      </c>
      <c r="C3917" s="11" t="s">
        <v>19</v>
      </c>
      <c r="D3917" s="18">
        <f>VLOOKUP(C3917,'DISTRIBUIÇÃO NF4267'!$E$3:$FQ$75,MATCH(B3917,'DISTRIBUIÇÃO NF4267'!$E$3:$FQ$3,0)+1,0)</f>
        <v>3</v>
      </c>
      <c r="F3917" s="28">
        <f t="shared" si="195"/>
        <v>3</v>
      </c>
    </row>
    <row r="3918" spans="1:6" x14ac:dyDescent="0.35">
      <c r="A3918">
        <f t="shared" si="196"/>
        <v>0</v>
      </c>
      <c r="B3918" t="str">
        <f t="shared" si="194"/>
        <v>R1</v>
      </c>
      <c r="C3918" s="11" t="s">
        <v>20</v>
      </c>
      <c r="D3918" s="18">
        <f>VLOOKUP(C3918,'DISTRIBUIÇÃO NF4267'!$E$3:$FQ$75,MATCH(B3918,'DISTRIBUIÇÃO NF4267'!$E$3:$FQ$3,0)+1,0)</f>
        <v>15</v>
      </c>
      <c r="F3918" s="28">
        <f t="shared" si="195"/>
        <v>3</v>
      </c>
    </row>
    <row r="3919" spans="1:6" x14ac:dyDescent="0.35">
      <c r="A3919">
        <f t="shared" si="196"/>
        <v>0</v>
      </c>
      <c r="B3919" t="str">
        <f t="shared" si="194"/>
        <v>R1</v>
      </c>
      <c r="C3919" s="11" t="s">
        <v>21</v>
      </c>
      <c r="D3919" s="18">
        <f>VLOOKUP(C3919,'DISTRIBUIÇÃO NF4267'!$E$3:$FQ$75,MATCH(B3919,'DISTRIBUIÇÃO NF4267'!$E$3:$FQ$3,0)+1,0)</f>
        <v>0</v>
      </c>
      <c r="F3919" s="28">
        <f t="shared" si="195"/>
        <v>3</v>
      </c>
    </row>
    <row r="3920" spans="1:6" x14ac:dyDescent="0.35">
      <c r="A3920">
        <f t="shared" si="196"/>
        <v>0</v>
      </c>
      <c r="B3920" t="str">
        <f t="shared" si="194"/>
        <v>R1</v>
      </c>
      <c r="C3920" s="12" t="s">
        <v>130</v>
      </c>
      <c r="D3920" s="18">
        <f>VLOOKUP(C3920,'DISTRIBUIÇÃO NF4267'!$E$3:$FQ$75,MATCH(B3920,'DISTRIBUIÇÃO NF4267'!$E$3:$FQ$3,0)+1,0)</f>
        <v>0</v>
      </c>
      <c r="F3920" s="28">
        <f t="shared" si="195"/>
        <v>3</v>
      </c>
    </row>
    <row r="3921" spans="1:6" x14ac:dyDescent="0.35">
      <c r="A3921">
        <f t="shared" si="196"/>
        <v>0</v>
      </c>
      <c r="B3921" t="str">
        <f t="shared" si="194"/>
        <v>R1</v>
      </c>
      <c r="C3921" s="12" t="s">
        <v>131</v>
      </c>
      <c r="D3921" s="18">
        <f>VLOOKUP(C3921,'DISTRIBUIÇÃO NF4267'!$E$3:$FQ$75,MATCH(B3921,'DISTRIBUIÇÃO NF4267'!$E$3:$FQ$3,0)+1,0)</f>
        <v>0</v>
      </c>
      <c r="F3921" s="28">
        <f t="shared" si="195"/>
        <v>3</v>
      </c>
    </row>
    <row r="3922" spans="1:6" x14ac:dyDescent="0.35">
      <c r="A3922">
        <f t="shared" si="196"/>
        <v>0</v>
      </c>
      <c r="B3922" t="str">
        <f t="shared" si="194"/>
        <v>R1</v>
      </c>
      <c r="C3922" s="12" t="s">
        <v>132</v>
      </c>
      <c r="D3922" s="18">
        <f>VLOOKUP(C3922,'DISTRIBUIÇÃO NF4267'!$E$3:$FQ$75,MATCH(B3922,'DISTRIBUIÇÃO NF4267'!$E$3:$FQ$3,0)+1,0)</f>
        <v>0</v>
      </c>
      <c r="F3922" s="28">
        <f t="shared" si="195"/>
        <v>3</v>
      </c>
    </row>
    <row r="3923" spans="1:6" x14ac:dyDescent="0.35">
      <c r="A3923">
        <f t="shared" si="196"/>
        <v>0</v>
      </c>
      <c r="B3923" t="str">
        <f t="shared" si="194"/>
        <v>R1</v>
      </c>
      <c r="C3923" s="12" t="s">
        <v>133</v>
      </c>
      <c r="D3923" s="18">
        <f>VLOOKUP(C3923,'DISTRIBUIÇÃO NF4267'!$E$3:$FQ$75,MATCH(B3923,'DISTRIBUIÇÃO NF4267'!$E$3:$FQ$3,0)+1,0)</f>
        <v>0</v>
      </c>
      <c r="F3923" s="28">
        <f t="shared" si="195"/>
        <v>3</v>
      </c>
    </row>
    <row r="3924" spans="1:6" x14ac:dyDescent="0.35">
      <c r="A3924">
        <f t="shared" si="196"/>
        <v>0</v>
      </c>
      <c r="B3924" t="str">
        <f t="shared" si="194"/>
        <v>R1</v>
      </c>
      <c r="C3924" s="12" t="s">
        <v>134</v>
      </c>
      <c r="D3924" s="18">
        <f>VLOOKUP(C3924,'DISTRIBUIÇÃO NF4267'!$E$3:$FQ$75,MATCH(B3924,'DISTRIBUIÇÃO NF4267'!$E$3:$FQ$3,0)+1,0)</f>
        <v>0</v>
      </c>
      <c r="F3924" s="28">
        <f t="shared" si="195"/>
        <v>3</v>
      </c>
    </row>
    <row r="3925" spans="1:6" x14ac:dyDescent="0.35">
      <c r="A3925">
        <f t="shared" si="196"/>
        <v>0</v>
      </c>
      <c r="B3925" t="str">
        <f t="shared" si="194"/>
        <v>R1</v>
      </c>
      <c r="C3925" s="12" t="s">
        <v>135</v>
      </c>
      <c r="D3925" s="18">
        <f>VLOOKUP(C3925,'DISTRIBUIÇÃO NF4267'!$E$3:$FQ$75,MATCH(B3925,'DISTRIBUIÇÃO NF4267'!$E$3:$FQ$3,0)+1,0)</f>
        <v>0</v>
      </c>
      <c r="F3925" s="28">
        <f t="shared" si="195"/>
        <v>3</v>
      </c>
    </row>
    <row r="3926" spans="1:6" x14ac:dyDescent="0.35">
      <c r="A3926">
        <f t="shared" si="196"/>
        <v>0</v>
      </c>
      <c r="B3926" t="str">
        <f t="shared" si="194"/>
        <v>R1</v>
      </c>
      <c r="C3926" s="13" t="s">
        <v>22</v>
      </c>
      <c r="D3926" s="18">
        <f>VLOOKUP(C3926,'DISTRIBUIÇÃO NF4267'!$E$3:$FQ$75,MATCH(B3926,'DISTRIBUIÇÃO NF4267'!$E$3:$FQ$3,0)+1,0)</f>
        <v>0</v>
      </c>
      <c r="F3926" s="28">
        <f t="shared" si="195"/>
        <v>3</v>
      </c>
    </row>
    <row r="3927" spans="1:6" x14ac:dyDescent="0.35">
      <c r="A3927">
        <f t="shared" si="196"/>
        <v>0</v>
      </c>
      <c r="B3927" t="str">
        <f t="shared" si="194"/>
        <v>R1</v>
      </c>
      <c r="C3927" s="13" t="s">
        <v>23</v>
      </c>
      <c r="D3927" s="18">
        <f>VLOOKUP(C3927,'DISTRIBUIÇÃO NF4267'!$E$3:$FQ$75,MATCH(B3927,'DISTRIBUIÇÃO NF4267'!$E$3:$FQ$3,0)+1,0)</f>
        <v>0</v>
      </c>
      <c r="F3927" s="28">
        <f t="shared" si="195"/>
        <v>3</v>
      </c>
    </row>
    <row r="3928" spans="1:6" x14ac:dyDescent="0.35">
      <c r="A3928">
        <f t="shared" si="196"/>
        <v>0</v>
      </c>
      <c r="B3928" t="str">
        <f t="shared" si="194"/>
        <v>R1</v>
      </c>
      <c r="C3928" s="13" t="s">
        <v>24</v>
      </c>
      <c r="D3928" s="18">
        <f>VLOOKUP(C3928,'DISTRIBUIÇÃO NF4267'!$E$3:$FQ$75,MATCH(B3928,'DISTRIBUIÇÃO NF4267'!$E$3:$FQ$3,0)+1,0)</f>
        <v>0</v>
      </c>
      <c r="F3928" s="28">
        <f t="shared" si="195"/>
        <v>3</v>
      </c>
    </row>
    <row r="3929" spans="1:6" x14ac:dyDescent="0.35">
      <c r="A3929">
        <f t="shared" si="196"/>
        <v>0</v>
      </c>
      <c r="B3929" t="str">
        <f t="shared" si="194"/>
        <v>R1</v>
      </c>
      <c r="C3929" s="13" t="s">
        <v>25</v>
      </c>
      <c r="D3929" s="18">
        <f>VLOOKUP(C3929,'DISTRIBUIÇÃO NF4267'!$E$3:$FQ$75,MATCH(B3929,'DISTRIBUIÇÃO NF4267'!$E$3:$FQ$3,0)+1,0)</f>
        <v>0</v>
      </c>
      <c r="F3929" s="28">
        <f t="shared" si="195"/>
        <v>3</v>
      </c>
    </row>
    <row r="3930" spans="1:6" x14ac:dyDescent="0.35">
      <c r="A3930">
        <f t="shared" si="196"/>
        <v>0</v>
      </c>
      <c r="B3930" t="str">
        <f t="shared" si="194"/>
        <v>R1</v>
      </c>
      <c r="C3930" s="13" t="s">
        <v>26</v>
      </c>
      <c r="D3930" s="18">
        <f>VLOOKUP(C3930,'DISTRIBUIÇÃO NF4267'!$E$3:$FQ$75,MATCH(B3930,'DISTRIBUIÇÃO NF4267'!$E$3:$FQ$3,0)+1,0)</f>
        <v>0</v>
      </c>
      <c r="F3930" s="28">
        <f t="shared" si="195"/>
        <v>3</v>
      </c>
    </row>
    <row r="3931" spans="1:6" x14ac:dyDescent="0.35">
      <c r="A3931">
        <f t="shared" si="196"/>
        <v>0</v>
      </c>
      <c r="B3931" t="str">
        <f t="shared" si="194"/>
        <v>R1</v>
      </c>
      <c r="C3931" s="13" t="s">
        <v>27</v>
      </c>
      <c r="D3931" s="18">
        <f>VLOOKUP(C3931,'DISTRIBUIÇÃO NF4267'!$E$3:$FQ$75,MATCH(B3931,'DISTRIBUIÇÃO NF4267'!$E$3:$FQ$3,0)+1,0)</f>
        <v>0</v>
      </c>
      <c r="F3931" s="28">
        <f t="shared" si="195"/>
        <v>3</v>
      </c>
    </row>
    <row r="3932" spans="1:6" x14ac:dyDescent="0.35">
      <c r="A3932">
        <f t="shared" si="196"/>
        <v>0</v>
      </c>
      <c r="B3932" t="str">
        <f t="shared" si="194"/>
        <v>R1</v>
      </c>
      <c r="C3932" s="14" t="s">
        <v>138</v>
      </c>
      <c r="D3932" s="18">
        <f>VLOOKUP(C3932,'DISTRIBUIÇÃO NF4267'!$E$3:$FQ$75,MATCH(B3932,'DISTRIBUIÇÃO NF4267'!$E$3:$FQ$3,0)+1,0)</f>
        <v>0</v>
      </c>
      <c r="F3932" s="28">
        <f t="shared" si="195"/>
        <v>3</v>
      </c>
    </row>
    <row r="3933" spans="1:6" x14ac:dyDescent="0.35">
      <c r="A3933">
        <f t="shared" si="196"/>
        <v>0</v>
      </c>
      <c r="B3933" t="str">
        <f t="shared" si="194"/>
        <v>R1</v>
      </c>
      <c r="C3933" s="14" t="s">
        <v>139</v>
      </c>
      <c r="D3933" s="18">
        <f>VLOOKUP(C3933,'DISTRIBUIÇÃO NF4267'!$E$3:$FQ$75,MATCH(B3933,'DISTRIBUIÇÃO NF4267'!$E$3:$FQ$3,0)+1,0)</f>
        <v>2</v>
      </c>
      <c r="F3933" s="28">
        <f t="shared" si="195"/>
        <v>3</v>
      </c>
    </row>
    <row r="3934" spans="1:6" x14ac:dyDescent="0.35">
      <c r="A3934">
        <f t="shared" si="196"/>
        <v>0</v>
      </c>
      <c r="B3934" t="str">
        <f t="shared" si="194"/>
        <v>R1</v>
      </c>
      <c r="C3934" s="14" t="s">
        <v>140</v>
      </c>
      <c r="D3934" s="18">
        <f>VLOOKUP(C3934,'DISTRIBUIÇÃO NF4267'!$E$3:$FQ$75,MATCH(B3934,'DISTRIBUIÇÃO NF4267'!$E$3:$FQ$3,0)+1,0)</f>
        <v>4</v>
      </c>
      <c r="F3934" s="28">
        <f t="shared" si="195"/>
        <v>3</v>
      </c>
    </row>
    <row r="3935" spans="1:6" x14ac:dyDescent="0.35">
      <c r="A3935">
        <f t="shared" si="196"/>
        <v>0</v>
      </c>
      <c r="B3935" t="str">
        <f t="shared" si="194"/>
        <v>R1</v>
      </c>
      <c r="C3935" s="14" t="s">
        <v>141</v>
      </c>
      <c r="D3935" s="18">
        <f>VLOOKUP(C3935,'DISTRIBUIÇÃO NF4267'!$E$3:$FQ$75,MATCH(B3935,'DISTRIBUIÇÃO NF4267'!$E$3:$FQ$3,0)+1,0)</f>
        <v>2</v>
      </c>
      <c r="F3935" s="28">
        <f t="shared" si="195"/>
        <v>3</v>
      </c>
    </row>
    <row r="3936" spans="1:6" x14ac:dyDescent="0.35">
      <c r="A3936">
        <f t="shared" si="196"/>
        <v>0</v>
      </c>
      <c r="B3936" t="str">
        <f t="shared" si="194"/>
        <v>R1</v>
      </c>
      <c r="C3936" s="14" t="s">
        <v>142</v>
      </c>
      <c r="D3936" s="18">
        <f>VLOOKUP(C3936,'DISTRIBUIÇÃO NF4267'!$E$3:$FQ$75,MATCH(B3936,'DISTRIBUIÇÃO NF4267'!$E$3:$FQ$3,0)+1,0)</f>
        <v>2</v>
      </c>
      <c r="F3936" s="28">
        <f t="shared" si="195"/>
        <v>3</v>
      </c>
    </row>
    <row r="3937" spans="1:6" x14ac:dyDescent="0.35">
      <c r="A3937">
        <f t="shared" si="196"/>
        <v>0</v>
      </c>
      <c r="B3937" t="str">
        <f t="shared" si="194"/>
        <v>R1</v>
      </c>
      <c r="C3937" s="14" t="s">
        <v>143</v>
      </c>
      <c r="D3937" s="18">
        <f>VLOOKUP(C3937,'DISTRIBUIÇÃO NF4267'!$E$3:$FQ$75,MATCH(B3937,'DISTRIBUIÇÃO NF4267'!$E$3:$FQ$3,0)+1,0)</f>
        <v>0</v>
      </c>
      <c r="F3937" s="28">
        <f t="shared" si="195"/>
        <v>3</v>
      </c>
    </row>
    <row r="3938" spans="1:6" x14ac:dyDescent="0.35">
      <c r="A3938">
        <f t="shared" si="196"/>
        <v>0</v>
      </c>
      <c r="B3938" t="str">
        <f t="shared" si="194"/>
        <v>R1</v>
      </c>
      <c r="C3938" s="15" t="s">
        <v>145</v>
      </c>
      <c r="D3938" s="18">
        <f>VLOOKUP(C3938,'DISTRIBUIÇÃO NF4267'!$E$3:$FQ$75,MATCH(B3938,'DISTRIBUIÇÃO NF4267'!$E$3:$FQ$3,0)+1,0)</f>
        <v>0</v>
      </c>
      <c r="F3938" s="28">
        <f t="shared" si="195"/>
        <v>3</v>
      </c>
    </row>
    <row r="3939" spans="1:6" x14ac:dyDescent="0.35">
      <c r="A3939">
        <f t="shared" si="196"/>
        <v>0</v>
      </c>
      <c r="B3939" t="str">
        <f t="shared" si="194"/>
        <v>R1</v>
      </c>
      <c r="C3939" s="15" t="s">
        <v>146</v>
      </c>
      <c r="D3939" s="18">
        <f>VLOOKUP(C3939,'DISTRIBUIÇÃO NF4267'!$E$3:$FQ$75,MATCH(B3939,'DISTRIBUIÇÃO NF4267'!$E$3:$FQ$3,0)+1,0)</f>
        <v>2</v>
      </c>
      <c r="F3939" s="28">
        <f t="shared" si="195"/>
        <v>3</v>
      </c>
    </row>
    <row r="3940" spans="1:6" x14ac:dyDescent="0.35">
      <c r="A3940">
        <f t="shared" si="196"/>
        <v>0</v>
      </c>
      <c r="B3940" t="str">
        <f t="shared" si="194"/>
        <v>R1</v>
      </c>
      <c r="C3940" s="15" t="s">
        <v>147</v>
      </c>
      <c r="D3940" s="18">
        <f>VLOOKUP(C3940,'DISTRIBUIÇÃO NF4267'!$E$3:$FQ$75,MATCH(B3940,'DISTRIBUIÇÃO NF4267'!$E$3:$FQ$3,0)+1,0)</f>
        <v>4</v>
      </c>
      <c r="F3940" s="28">
        <f t="shared" si="195"/>
        <v>3</v>
      </c>
    </row>
    <row r="3941" spans="1:6" x14ac:dyDescent="0.35">
      <c r="A3941">
        <f t="shared" si="196"/>
        <v>0</v>
      </c>
      <c r="B3941" t="str">
        <f t="shared" si="194"/>
        <v>R1</v>
      </c>
      <c r="C3941" s="15" t="s">
        <v>148</v>
      </c>
      <c r="D3941" s="18">
        <f>VLOOKUP(C3941,'DISTRIBUIÇÃO NF4267'!$E$3:$FQ$75,MATCH(B3941,'DISTRIBUIÇÃO NF4267'!$E$3:$FQ$3,0)+1,0)</f>
        <v>2</v>
      </c>
      <c r="F3941" s="28">
        <f t="shared" si="195"/>
        <v>3</v>
      </c>
    </row>
    <row r="3942" spans="1:6" x14ac:dyDescent="0.35">
      <c r="A3942">
        <f t="shared" si="196"/>
        <v>0</v>
      </c>
      <c r="B3942" t="str">
        <f t="shared" si="194"/>
        <v>R1</v>
      </c>
      <c r="C3942" s="15" t="s">
        <v>149</v>
      </c>
      <c r="D3942" s="18">
        <f>VLOOKUP(C3942,'DISTRIBUIÇÃO NF4267'!$E$3:$FQ$75,MATCH(B3942,'DISTRIBUIÇÃO NF4267'!$E$3:$FQ$3,0)+1,0)</f>
        <v>2</v>
      </c>
      <c r="F3942" s="28">
        <f t="shared" si="195"/>
        <v>3</v>
      </c>
    </row>
    <row r="3943" spans="1:6" x14ac:dyDescent="0.35">
      <c r="A3943">
        <f t="shared" si="196"/>
        <v>0</v>
      </c>
      <c r="B3943" t="str">
        <f t="shared" si="194"/>
        <v>R1</v>
      </c>
      <c r="C3943" s="15" t="s">
        <v>150</v>
      </c>
      <c r="D3943" s="18">
        <f>VLOOKUP(C3943,'DISTRIBUIÇÃO NF4267'!$E$3:$FQ$75,MATCH(B3943,'DISTRIBUIÇÃO NF4267'!$E$3:$FQ$3,0)+1,0)</f>
        <v>0</v>
      </c>
      <c r="F3943" s="28">
        <f t="shared" si="195"/>
        <v>3</v>
      </c>
    </row>
    <row r="3944" spans="1:6" x14ac:dyDescent="0.35">
      <c r="A3944">
        <f t="shared" si="196"/>
        <v>0</v>
      </c>
      <c r="B3944" t="s">
        <v>81</v>
      </c>
      <c r="C3944" s="7" t="s">
        <v>98</v>
      </c>
      <c r="D3944" s="18">
        <f>VLOOKUP(C3944,'DISTRIBUIÇÃO NF4267'!$E$3:$FQ$75,MATCH(B3944,'DISTRIBUIÇÃO NF4267'!$E$3:$FQ$3,0)+1,0)</f>
        <v>0</v>
      </c>
      <c r="F3944" s="28">
        <f t="shared" si="195"/>
        <v>3</v>
      </c>
    </row>
    <row r="3945" spans="1:6" x14ac:dyDescent="0.35">
      <c r="A3945">
        <f t="shared" si="196"/>
        <v>0</v>
      </c>
      <c r="B3945" t="str">
        <f>B3944</f>
        <v>X6</v>
      </c>
      <c r="C3945" s="7" t="s">
        <v>99</v>
      </c>
      <c r="D3945" s="18">
        <f>VLOOKUP(C3945,'DISTRIBUIÇÃO NF4267'!$E$3:$FQ$75,MATCH(B3945,'DISTRIBUIÇÃO NF4267'!$E$3:$FQ$3,0)+1,0)</f>
        <v>4</v>
      </c>
      <c r="F3945" s="28">
        <f t="shared" si="195"/>
        <v>3</v>
      </c>
    </row>
    <row r="3946" spans="1:6" x14ac:dyDescent="0.35">
      <c r="A3946">
        <f t="shared" si="196"/>
        <v>0</v>
      </c>
      <c r="B3946" t="str">
        <f t="shared" ref="B3946:B3997" si="197">B3945</f>
        <v>X6</v>
      </c>
      <c r="C3946" s="7" t="s">
        <v>100</v>
      </c>
      <c r="D3946" s="18">
        <f>VLOOKUP(C3946,'DISTRIBUIÇÃO NF4267'!$E$3:$FQ$75,MATCH(B3946,'DISTRIBUIÇÃO NF4267'!$E$3:$FQ$3,0)+1,0)</f>
        <v>8</v>
      </c>
      <c r="F3946" s="28">
        <f t="shared" si="195"/>
        <v>3</v>
      </c>
    </row>
    <row r="3947" spans="1:6" x14ac:dyDescent="0.35">
      <c r="A3947">
        <f t="shared" si="196"/>
        <v>0</v>
      </c>
      <c r="B3947" t="str">
        <f t="shared" si="197"/>
        <v>X6</v>
      </c>
      <c r="C3947" s="7" t="s">
        <v>101</v>
      </c>
      <c r="D3947" s="18">
        <f>VLOOKUP(C3947,'DISTRIBUIÇÃO NF4267'!$E$3:$FQ$75,MATCH(B3947,'DISTRIBUIÇÃO NF4267'!$E$3:$FQ$3,0)+1,0)</f>
        <v>4</v>
      </c>
      <c r="F3947" s="28">
        <f t="shared" si="195"/>
        <v>3</v>
      </c>
    </row>
    <row r="3948" spans="1:6" x14ac:dyDescent="0.35">
      <c r="A3948">
        <f t="shared" si="196"/>
        <v>0</v>
      </c>
      <c r="B3948" t="str">
        <f t="shared" si="197"/>
        <v>X6</v>
      </c>
      <c r="C3948" s="7" t="s">
        <v>102</v>
      </c>
      <c r="D3948" s="18">
        <f>VLOOKUP(C3948,'DISTRIBUIÇÃO NF4267'!$E$3:$FQ$75,MATCH(B3948,'DISTRIBUIÇÃO NF4267'!$E$3:$FQ$3,0)+1,0)</f>
        <v>4</v>
      </c>
      <c r="F3948" s="28">
        <f t="shared" si="195"/>
        <v>3</v>
      </c>
    </row>
    <row r="3949" spans="1:6" x14ac:dyDescent="0.35">
      <c r="A3949">
        <f t="shared" si="196"/>
        <v>0</v>
      </c>
      <c r="B3949" t="str">
        <f t="shared" si="197"/>
        <v>X6</v>
      </c>
      <c r="C3949" s="7" t="s">
        <v>103</v>
      </c>
      <c r="D3949" s="18">
        <f>VLOOKUP(C3949,'DISTRIBUIÇÃO NF4267'!$E$3:$FQ$75,MATCH(B3949,'DISTRIBUIÇÃO NF4267'!$E$3:$FQ$3,0)+1,0)</f>
        <v>0</v>
      </c>
      <c r="F3949" s="28">
        <f t="shared" si="195"/>
        <v>3</v>
      </c>
    </row>
    <row r="3950" spans="1:6" x14ac:dyDescent="0.35">
      <c r="A3950">
        <f t="shared" si="196"/>
        <v>0</v>
      </c>
      <c r="B3950" t="str">
        <f t="shared" si="197"/>
        <v>X6</v>
      </c>
      <c r="C3950" s="8" t="s">
        <v>107</v>
      </c>
      <c r="D3950" s="18">
        <f>VLOOKUP(C3950,'DISTRIBUIÇÃO NF4267'!$E$3:$FQ$75,MATCH(B3950,'DISTRIBUIÇÃO NF4267'!$E$3:$FQ$3,0)+1,0)</f>
        <v>0</v>
      </c>
      <c r="F3950" s="28">
        <f t="shared" si="195"/>
        <v>3</v>
      </c>
    </row>
    <row r="3951" spans="1:6" x14ac:dyDescent="0.35">
      <c r="A3951">
        <f t="shared" si="196"/>
        <v>0</v>
      </c>
      <c r="B3951" t="str">
        <f t="shared" si="197"/>
        <v>X6</v>
      </c>
      <c r="C3951" s="8" t="s">
        <v>108</v>
      </c>
      <c r="D3951" s="18">
        <f>VLOOKUP(C3951,'DISTRIBUIÇÃO NF4267'!$E$3:$FQ$75,MATCH(B3951,'DISTRIBUIÇÃO NF4267'!$E$3:$FQ$3,0)+1,0)</f>
        <v>2</v>
      </c>
      <c r="F3951" s="28">
        <f t="shared" si="195"/>
        <v>3</v>
      </c>
    </row>
    <row r="3952" spans="1:6" x14ac:dyDescent="0.35">
      <c r="A3952">
        <f t="shared" si="196"/>
        <v>0</v>
      </c>
      <c r="B3952" t="str">
        <f t="shared" si="197"/>
        <v>X6</v>
      </c>
      <c r="C3952" s="8" t="s">
        <v>109</v>
      </c>
      <c r="D3952" s="18">
        <f>VLOOKUP(C3952,'DISTRIBUIÇÃO NF4267'!$E$3:$FQ$75,MATCH(B3952,'DISTRIBUIÇÃO NF4267'!$E$3:$FQ$3,0)+1,0)</f>
        <v>4</v>
      </c>
      <c r="F3952" s="28">
        <f t="shared" si="195"/>
        <v>3</v>
      </c>
    </row>
    <row r="3953" spans="1:6" x14ac:dyDescent="0.35">
      <c r="A3953">
        <f t="shared" si="196"/>
        <v>0</v>
      </c>
      <c r="B3953" t="str">
        <f t="shared" si="197"/>
        <v>X6</v>
      </c>
      <c r="C3953" s="8" t="s">
        <v>110</v>
      </c>
      <c r="D3953" s="18">
        <f>VLOOKUP(C3953,'DISTRIBUIÇÃO NF4267'!$E$3:$FQ$75,MATCH(B3953,'DISTRIBUIÇÃO NF4267'!$E$3:$FQ$3,0)+1,0)</f>
        <v>2</v>
      </c>
      <c r="F3953" s="28">
        <f t="shared" si="195"/>
        <v>3</v>
      </c>
    </row>
    <row r="3954" spans="1:6" x14ac:dyDescent="0.35">
      <c r="A3954">
        <f t="shared" si="196"/>
        <v>0</v>
      </c>
      <c r="B3954" t="str">
        <f t="shared" si="197"/>
        <v>X6</v>
      </c>
      <c r="C3954" s="8" t="s">
        <v>111</v>
      </c>
      <c r="D3954" s="18">
        <f>VLOOKUP(C3954,'DISTRIBUIÇÃO NF4267'!$E$3:$FQ$75,MATCH(B3954,'DISTRIBUIÇÃO NF4267'!$E$3:$FQ$3,0)+1,0)</f>
        <v>2</v>
      </c>
      <c r="F3954" s="28">
        <f t="shared" si="195"/>
        <v>3</v>
      </c>
    </row>
    <row r="3955" spans="1:6" x14ac:dyDescent="0.35">
      <c r="A3955">
        <f t="shared" si="196"/>
        <v>0</v>
      </c>
      <c r="B3955" t="str">
        <f t="shared" si="197"/>
        <v>X6</v>
      </c>
      <c r="C3955" s="8" t="s">
        <v>112</v>
      </c>
      <c r="D3955" s="18">
        <f>VLOOKUP(C3955,'DISTRIBUIÇÃO NF4267'!$E$3:$FQ$75,MATCH(B3955,'DISTRIBUIÇÃO NF4267'!$E$3:$FQ$3,0)+1,0)</f>
        <v>0</v>
      </c>
      <c r="F3955" s="28">
        <f t="shared" si="195"/>
        <v>3</v>
      </c>
    </row>
    <row r="3956" spans="1:6" x14ac:dyDescent="0.35">
      <c r="A3956">
        <f t="shared" si="196"/>
        <v>0</v>
      </c>
      <c r="B3956" t="str">
        <f t="shared" si="197"/>
        <v>X6</v>
      </c>
      <c r="C3956" s="9" t="s">
        <v>113</v>
      </c>
      <c r="D3956" s="18">
        <f>VLOOKUP(C3956,'DISTRIBUIÇÃO NF4267'!$E$3:$FQ$75,MATCH(B3956,'DISTRIBUIÇÃO NF4267'!$E$3:$FQ$3,0)+1,0)</f>
        <v>0</v>
      </c>
      <c r="F3956" s="28">
        <f t="shared" si="195"/>
        <v>3</v>
      </c>
    </row>
    <row r="3957" spans="1:6" x14ac:dyDescent="0.35">
      <c r="A3957">
        <f t="shared" si="196"/>
        <v>0</v>
      </c>
      <c r="B3957" t="str">
        <f t="shared" si="197"/>
        <v>X6</v>
      </c>
      <c r="C3957" s="9" t="s">
        <v>114</v>
      </c>
      <c r="D3957" s="18">
        <f>VLOOKUP(C3957,'DISTRIBUIÇÃO NF4267'!$E$3:$FQ$75,MATCH(B3957,'DISTRIBUIÇÃO NF4267'!$E$3:$FQ$3,0)+1,0)</f>
        <v>3</v>
      </c>
      <c r="F3957" s="28">
        <f t="shared" si="195"/>
        <v>3</v>
      </c>
    </row>
    <row r="3958" spans="1:6" x14ac:dyDescent="0.35">
      <c r="A3958">
        <f t="shared" si="196"/>
        <v>0</v>
      </c>
      <c r="B3958" t="str">
        <f t="shared" si="197"/>
        <v>X6</v>
      </c>
      <c r="C3958" s="9" t="s">
        <v>115</v>
      </c>
      <c r="D3958" s="18">
        <f>VLOOKUP(C3958,'DISTRIBUIÇÃO NF4267'!$E$3:$FQ$75,MATCH(B3958,'DISTRIBUIÇÃO NF4267'!$E$3:$FQ$3,0)+1,0)</f>
        <v>4</v>
      </c>
      <c r="F3958" s="28">
        <f t="shared" si="195"/>
        <v>3</v>
      </c>
    </row>
    <row r="3959" spans="1:6" x14ac:dyDescent="0.35">
      <c r="A3959">
        <f t="shared" si="196"/>
        <v>0</v>
      </c>
      <c r="B3959" t="str">
        <f t="shared" si="197"/>
        <v>X6</v>
      </c>
      <c r="C3959" s="9" t="s">
        <v>116</v>
      </c>
      <c r="D3959" s="18">
        <f>VLOOKUP(C3959,'DISTRIBUIÇÃO NF4267'!$E$3:$FQ$75,MATCH(B3959,'DISTRIBUIÇÃO NF4267'!$E$3:$FQ$3,0)+1,0)</f>
        <v>2</v>
      </c>
      <c r="F3959" s="28">
        <f t="shared" si="195"/>
        <v>3</v>
      </c>
    </row>
    <row r="3960" spans="1:6" x14ac:dyDescent="0.35">
      <c r="A3960">
        <f t="shared" si="196"/>
        <v>0</v>
      </c>
      <c r="B3960" t="str">
        <f t="shared" si="197"/>
        <v>X6</v>
      </c>
      <c r="C3960" s="9" t="s">
        <v>117</v>
      </c>
      <c r="D3960" s="18">
        <f>VLOOKUP(C3960,'DISTRIBUIÇÃO NF4267'!$E$3:$FQ$75,MATCH(B3960,'DISTRIBUIÇÃO NF4267'!$E$3:$FQ$3,0)+1,0)</f>
        <v>1</v>
      </c>
      <c r="F3960" s="28">
        <f t="shared" ref="F3960:F4023" si="198">ROUNDUP(SUMIFS(D:D,B:B,B3960)/80,0)</f>
        <v>3</v>
      </c>
    </row>
    <row r="3961" spans="1:6" x14ac:dyDescent="0.35">
      <c r="A3961">
        <f t="shared" si="196"/>
        <v>0</v>
      </c>
      <c r="B3961" t="str">
        <f t="shared" si="197"/>
        <v>X6</v>
      </c>
      <c r="C3961" s="9" t="s">
        <v>118</v>
      </c>
      <c r="D3961" s="18">
        <f>VLOOKUP(C3961,'DISTRIBUIÇÃO NF4267'!$E$3:$FQ$75,MATCH(B3961,'DISTRIBUIÇÃO NF4267'!$E$3:$FQ$3,0)+1,0)</f>
        <v>0</v>
      </c>
      <c r="F3961" s="28">
        <f t="shared" si="198"/>
        <v>3</v>
      </c>
    </row>
    <row r="3962" spans="1:6" x14ac:dyDescent="0.35">
      <c r="A3962">
        <f t="shared" si="196"/>
        <v>0</v>
      </c>
      <c r="B3962" t="str">
        <f t="shared" si="197"/>
        <v>X6</v>
      </c>
      <c r="C3962" s="10" t="s">
        <v>119</v>
      </c>
      <c r="D3962" s="18">
        <f>VLOOKUP(C3962,'DISTRIBUIÇÃO NF4267'!$E$3:$FQ$75,MATCH(B3962,'DISTRIBUIÇÃO NF4267'!$E$3:$FQ$3,0)+1,0)</f>
        <v>0</v>
      </c>
      <c r="F3962" s="28">
        <f t="shared" si="198"/>
        <v>3</v>
      </c>
    </row>
    <row r="3963" spans="1:6" x14ac:dyDescent="0.35">
      <c r="A3963">
        <f t="shared" si="196"/>
        <v>0</v>
      </c>
      <c r="B3963" t="str">
        <f t="shared" si="197"/>
        <v>X6</v>
      </c>
      <c r="C3963" s="10" t="s">
        <v>120</v>
      </c>
      <c r="D3963" s="18">
        <f>VLOOKUP(C3963,'DISTRIBUIÇÃO NF4267'!$E$3:$FQ$75,MATCH(B3963,'DISTRIBUIÇÃO NF4267'!$E$3:$FQ$3,0)+1,0)</f>
        <v>48</v>
      </c>
      <c r="F3963" s="28">
        <f t="shared" si="198"/>
        <v>3</v>
      </c>
    </row>
    <row r="3964" spans="1:6" x14ac:dyDescent="0.35">
      <c r="A3964">
        <f t="shared" si="196"/>
        <v>0</v>
      </c>
      <c r="B3964" t="str">
        <f t="shared" si="197"/>
        <v>X6</v>
      </c>
      <c r="C3964" s="10" t="s">
        <v>121</v>
      </c>
      <c r="D3964" s="18">
        <f>VLOOKUP(C3964,'DISTRIBUIÇÃO NF4267'!$E$3:$FQ$75,MATCH(B3964,'DISTRIBUIÇÃO NF4267'!$E$3:$FQ$3,0)+1,0)</f>
        <v>16</v>
      </c>
      <c r="F3964" s="28">
        <f t="shared" si="198"/>
        <v>3</v>
      </c>
    </row>
    <row r="3965" spans="1:6" x14ac:dyDescent="0.35">
      <c r="A3965">
        <f t="shared" si="196"/>
        <v>0</v>
      </c>
      <c r="B3965" t="str">
        <f t="shared" si="197"/>
        <v>X6</v>
      </c>
      <c r="C3965" s="10" t="s">
        <v>122</v>
      </c>
      <c r="D3965" s="18">
        <f>VLOOKUP(C3965,'DISTRIBUIÇÃO NF4267'!$E$3:$FQ$75,MATCH(B3965,'DISTRIBUIÇÃO NF4267'!$E$3:$FQ$3,0)+1,0)</f>
        <v>16</v>
      </c>
      <c r="F3965" s="28">
        <f t="shared" si="198"/>
        <v>3</v>
      </c>
    </row>
    <row r="3966" spans="1:6" x14ac:dyDescent="0.35">
      <c r="A3966">
        <f t="shared" si="196"/>
        <v>0</v>
      </c>
      <c r="B3966" t="str">
        <f t="shared" si="197"/>
        <v>X6</v>
      </c>
      <c r="C3966" s="10" t="s">
        <v>123</v>
      </c>
      <c r="D3966" s="18">
        <f>VLOOKUP(C3966,'DISTRIBUIÇÃO NF4267'!$E$3:$FQ$75,MATCH(B3966,'DISTRIBUIÇÃO NF4267'!$E$3:$FQ$3,0)+1,0)</f>
        <v>0</v>
      </c>
      <c r="F3966" s="28">
        <f t="shared" si="198"/>
        <v>3</v>
      </c>
    </row>
    <row r="3967" spans="1:6" x14ac:dyDescent="0.35">
      <c r="A3967">
        <f t="shared" si="196"/>
        <v>0</v>
      </c>
      <c r="B3967" t="str">
        <f t="shared" si="197"/>
        <v>X6</v>
      </c>
      <c r="C3967" s="10" t="s">
        <v>124</v>
      </c>
      <c r="D3967" s="18">
        <f>VLOOKUP(C3967,'DISTRIBUIÇÃO NF4267'!$E$3:$FQ$75,MATCH(B3967,'DISTRIBUIÇÃO NF4267'!$E$3:$FQ$3,0)+1,0)</f>
        <v>0</v>
      </c>
      <c r="F3967" s="28">
        <f t="shared" si="198"/>
        <v>3</v>
      </c>
    </row>
    <row r="3968" spans="1:6" x14ac:dyDescent="0.35">
      <c r="A3968">
        <f t="shared" si="196"/>
        <v>0</v>
      </c>
      <c r="B3968" t="str">
        <f t="shared" si="197"/>
        <v>X6</v>
      </c>
      <c r="C3968" s="11" t="s">
        <v>16</v>
      </c>
      <c r="D3968" s="18">
        <f>VLOOKUP(C3968,'DISTRIBUIÇÃO NF4267'!$E$3:$FQ$75,MATCH(B3968,'DISTRIBUIÇÃO NF4267'!$E$3:$FQ$3,0)+1,0)</f>
        <v>0</v>
      </c>
      <c r="F3968" s="28">
        <f t="shared" si="198"/>
        <v>3</v>
      </c>
    </row>
    <row r="3969" spans="1:6" x14ac:dyDescent="0.35">
      <c r="A3969">
        <f t="shared" si="196"/>
        <v>0</v>
      </c>
      <c r="B3969" t="str">
        <f t="shared" si="197"/>
        <v>X6</v>
      </c>
      <c r="C3969" s="11" t="s">
        <v>17</v>
      </c>
      <c r="D3969" s="18">
        <f>VLOOKUP(C3969,'DISTRIBUIÇÃO NF4267'!$E$3:$FQ$75,MATCH(B3969,'DISTRIBUIÇÃO NF4267'!$E$3:$FQ$3,0)+1,0)</f>
        <v>9</v>
      </c>
      <c r="F3969" s="28">
        <f t="shared" si="198"/>
        <v>3</v>
      </c>
    </row>
    <row r="3970" spans="1:6" x14ac:dyDescent="0.35">
      <c r="A3970">
        <f t="shared" ref="A3970:A4033" si="199">IF(ISERROR(VLOOKUP(C3970,I:I,1,0)),0,1)</f>
        <v>0</v>
      </c>
      <c r="B3970" t="str">
        <f t="shared" si="197"/>
        <v>X6</v>
      </c>
      <c r="C3970" s="11" t="s">
        <v>18</v>
      </c>
      <c r="D3970" s="18">
        <f>VLOOKUP(C3970,'DISTRIBUIÇÃO NF4267'!$E$3:$FQ$75,MATCH(B3970,'DISTRIBUIÇÃO NF4267'!$E$3:$FQ$3,0)+1,0)</f>
        <v>3</v>
      </c>
      <c r="F3970" s="28">
        <f t="shared" si="198"/>
        <v>3</v>
      </c>
    </row>
    <row r="3971" spans="1:6" x14ac:dyDescent="0.35">
      <c r="A3971">
        <f t="shared" si="199"/>
        <v>0</v>
      </c>
      <c r="B3971" t="str">
        <f t="shared" si="197"/>
        <v>X6</v>
      </c>
      <c r="C3971" s="11" t="s">
        <v>19</v>
      </c>
      <c r="D3971" s="18">
        <f>VLOOKUP(C3971,'DISTRIBUIÇÃO NF4267'!$E$3:$FQ$75,MATCH(B3971,'DISTRIBUIÇÃO NF4267'!$E$3:$FQ$3,0)+1,0)</f>
        <v>3</v>
      </c>
      <c r="F3971" s="28">
        <f t="shared" si="198"/>
        <v>3</v>
      </c>
    </row>
    <row r="3972" spans="1:6" x14ac:dyDescent="0.35">
      <c r="A3972">
        <f t="shared" si="199"/>
        <v>0</v>
      </c>
      <c r="B3972" t="str">
        <f t="shared" si="197"/>
        <v>X6</v>
      </c>
      <c r="C3972" s="11" t="s">
        <v>20</v>
      </c>
      <c r="D3972" s="18">
        <f>VLOOKUP(C3972,'DISTRIBUIÇÃO NF4267'!$E$3:$FQ$75,MATCH(B3972,'DISTRIBUIÇÃO NF4267'!$E$3:$FQ$3,0)+1,0)</f>
        <v>15</v>
      </c>
      <c r="F3972" s="28">
        <f t="shared" si="198"/>
        <v>3</v>
      </c>
    </row>
    <row r="3973" spans="1:6" x14ac:dyDescent="0.35">
      <c r="A3973">
        <f t="shared" si="199"/>
        <v>0</v>
      </c>
      <c r="B3973" t="str">
        <f t="shared" si="197"/>
        <v>X6</v>
      </c>
      <c r="C3973" s="11" t="s">
        <v>21</v>
      </c>
      <c r="D3973" s="18">
        <f>VLOOKUP(C3973,'DISTRIBUIÇÃO NF4267'!$E$3:$FQ$75,MATCH(B3973,'DISTRIBUIÇÃO NF4267'!$E$3:$FQ$3,0)+1,0)</f>
        <v>0</v>
      </c>
      <c r="F3973" s="28">
        <f t="shared" si="198"/>
        <v>3</v>
      </c>
    </row>
    <row r="3974" spans="1:6" x14ac:dyDescent="0.35">
      <c r="A3974">
        <f t="shared" si="199"/>
        <v>0</v>
      </c>
      <c r="B3974" t="str">
        <f t="shared" si="197"/>
        <v>X6</v>
      </c>
      <c r="C3974" s="12" t="s">
        <v>130</v>
      </c>
      <c r="D3974" s="18">
        <f>VLOOKUP(C3974,'DISTRIBUIÇÃO NF4267'!$E$3:$FQ$75,MATCH(B3974,'DISTRIBUIÇÃO NF4267'!$E$3:$FQ$3,0)+1,0)</f>
        <v>0</v>
      </c>
      <c r="F3974" s="28">
        <f t="shared" si="198"/>
        <v>3</v>
      </c>
    </row>
    <row r="3975" spans="1:6" x14ac:dyDescent="0.35">
      <c r="A3975">
        <f t="shared" si="199"/>
        <v>0</v>
      </c>
      <c r="B3975" t="str">
        <f t="shared" si="197"/>
        <v>X6</v>
      </c>
      <c r="C3975" s="12" t="s">
        <v>131</v>
      </c>
      <c r="D3975" s="18">
        <f>VLOOKUP(C3975,'DISTRIBUIÇÃO NF4267'!$E$3:$FQ$75,MATCH(B3975,'DISTRIBUIÇÃO NF4267'!$E$3:$FQ$3,0)+1,0)</f>
        <v>0</v>
      </c>
      <c r="F3975" s="28">
        <f t="shared" si="198"/>
        <v>3</v>
      </c>
    </row>
    <row r="3976" spans="1:6" x14ac:dyDescent="0.35">
      <c r="A3976">
        <f t="shared" si="199"/>
        <v>0</v>
      </c>
      <c r="B3976" t="str">
        <f t="shared" si="197"/>
        <v>X6</v>
      </c>
      <c r="C3976" s="12" t="s">
        <v>132</v>
      </c>
      <c r="D3976" s="18">
        <f>VLOOKUP(C3976,'DISTRIBUIÇÃO NF4267'!$E$3:$FQ$75,MATCH(B3976,'DISTRIBUIÇÃO NF4267'!$E$3:$FQ$3,0)+1,0)</f>
        <v>0</v>
      </c>
      <c r="F3976" s="28">
        <f t="shared" si="198"/>
        <v>3</v>
      </c>
    </row>
    <row r="3977" spans="1:6" x14ac:dyDescent="0.35">
      <c r="A3977">
        <f t="shared" si="199"/>
        <v>0</v>
      </c>
      <c r="B3977" t="str">
        <f t="shared" si="197"/>
        <v>X6</v>
      </c>
      <c r="C3977" s="12" t="s">
        <v>133</v>
      </c>
      <c r="D3977" s="18">
        <f>VLOOKUP(C3977,'DISTRIBUIÇÃO NF4267'!$E$3:$FQ$75,MATCH(B3977,'DISTRIBUIÇÃO NF4267'!$E$3:$FQ$3,0)+1,0)</f>
        <v>0</v>
      </c>
      <c r="F3977" s="28">
        <f t="shared" si="198"/>
        <v>3</v>
      </c>
    </row>
    <row r="3978" spans="1:6" x14ac:dyDescent="0.35">
      <c r="A3978">
        <f t="shared" si="199"/>
        <v>0</v>
      </c>
      <c r="B3978" t="str">
        <f t="shared" si="197"/>
        <v>X6</v>
      </c>
      <c r="C3978" s="12" t="s">
        <v>134</v>
      </c>
      <c r="D3978" s="18">
        <f>VLOOKUP(C3978,'DISTRIBUIÇÃO NF4267'!$E$3:$FQ$75,MATCH(B3978,'DISTRIBUIÇÃO NF4267'!$E$3:$FQ$3,0)+1,0)</f>
        <v>0</v>
      </c>
      <c r="F3978" s="28">
        <f t="shared" si="198"/>
        <v>3</v>
      </c>
    </row>
    <row r="3979" spans="1:6" x14ac:dyDescent="0.35">
      <c r="A3979">
        <f t="shared" si="199"/>
        <v>0</v>
      </c>
      <c r="B3979" t="str">
        <f t="shared" si="197"/>
        <v>X6</v>
      </c>
      <c r="C3979" s="12" t="s">
        <v>135</v>
      </c>
      <c r="D3979" s="18">
        <f>VLOOKUP(C3979,'DISTRIBUIÇÃO NF4267'!$E$3:$FQ$75,MATCH(B3979,'DISTRIBUIÇÃO NF4267'!$E$3:$FQ$3,0)+1,0)</f>
        <v>0</v>
      </c>
      <c r="F3979" s="28">
        <f t="shared" si="198"/>
        <v>3</v>
      </c>
    </row>
    <row r="3980" spans="1:6" x14ac:dyDescent="0.35">
      <c r="A3980">
        <f t="shared" si="199"/>
        <v>0</v>
      </c>
      <c r="B3980" t="str">
        <f t="shared" si="197"/>
        <v>X6</v>
      </c>
      <c r="C3980" s="13" t="s">
        <v>22</v>
      </c>
      <c r="D3980" s="18">
        <f>VLOOKUP(C3980,'DISTRIBUIÇÃO NF4267'!$E$3:$FQ$75,MATCH(B3980,'DISTRIBUIÇÃO NF4267'!$E$3:$FQ$3,0)+1,0)</f>
        <v>0</v>
      </c>
      <c r="F3980" s="28">
        <f t="shared" si="198"/>
        <v>3</v>
      </c>
    </row>
    <row r="3981" spans="1:6" x14ac:dyDescent="0.35">
      <c r="A3981">
        <f t="shared" si="199"/>
        <v>0</v>
      </c>
      <c r="B3981" t="str">
        <f t="shared" si="197"/>
        <v>X6</v>
      </c>
      <c r="C3981" s="13" t="s">
        <v>23</v>
      </c>
      <c r="D3981" s="18">
        <f>VLOOKUP(C3981,'DISTRIBUIÇÃO NF4267'!$E$3:$FQ$75,MATCH(B3981,'DISTRIBUIÇÃO NF4267'!$E$3:$FQ$3,0)+1,0)</f>
        <v>0</v>
      </c>
      <c r="F3981" s="28">
        <f t="shared" si="198"/>
        <v>3</v>
      </c>
    </row>
    <row r="3982" spans="1:6" x14ac:dyDescent="0.35">
      <c r="A3982">
        <f t="shared" si="199"/>
        <v>0</v>
      </c>
      <c r="B3982" t="str">
        <f t="shared" si="197"/>
        <v>X6</v>
      </c>
      <c r="C3982" s="13" t="s">
        <v>24</v>
      </c>
      <c r="D3982" s="18">
        <f>VLOOKUP(C3982,'DISTRIBUIÇÃO NF4267'!$E$3:$FQ$75,MATCH(B3982,'DISTRIBUIÇÃO NF4267'!$E$3:$FQ$3,0)+1,0)</f>
        <v>0</v>
      </c>
      <c r="F3982" s="28">
        <f t="shared" si="198"/>
        <v>3</v>
      </c>
    </row>
    <row r="3983" spans="1:6" x14ac:dyDescent="0.35">
      <c r="A3983">
        <f t="shared" si="199"/>
        <v>0</v>
      </c>
      <c r="B3983" t="str">
        <f t="shared" si="197"/>
        <v>X6</v>
      </c>
      <c r="C3983" s="13" t="s">
        <v>25</v>
      </c>
      <c r="D3983" s="18">
        <f>VLOOKUP(C3983,'DISTRIBUIÇÃO NF4267'!$E$3:$FQ$75,MATCH(B3983,'DISTRIBUIÇÃO NF4267'!$E$3:$FQ$3,0)+1,0)</f>
        <v>0</v>
      </c>
      <c r="F3983" s="28">
        <f t="shared" si="198"/>
        <v>3</v>
      </c>
    </row>
    <row r="3984" spans="1:6" x14ac:dyDescent="0.35">
      <c r="A3984">
        <f t="shared" si="199"/>
        <v>0</v>
      </c>
      <c r="B3984" t="str">
        <f t="shared" si="197"/>
        <v>X6</v>
      </c>
      <c r="C3984" s="13" t="s">
        <v>26</v>
      </c>
      <c r="D3984" s="18">
        <f>VLOOKUP(C3984,'DISTRIBUIÇÃO NF4267'!$E$3:$FQ$75,MATCH(B3984,'DISTRIBUIÇÃO NF4267'!$E$3:$FQ$3,0)+1,0)</f>
        <v>0</v>
      </c>
      <c r="F3984" s="28">
        <f t="shared" si="198"/>
        <v>3</v>
      </c>
    </row>
    <row r="3985" spans="1:6" x14ac:dyDescent="0.35">
      <c r="A3985">
        <f t="shared" si="199"/>
        <v>0</v>
      </c>
      <c r="B3985" t="str">
        <f t="shared" si="197"/>
        <v>X6</v>
      </c>
      <c r="C3985" s="13" t="s">
        <v>27</v>
      </c>
      <c r="D3985" s="18">
        <f>VLOOKUP(C3985,'DISTRIBUIÇÃO NF4267'!$E$3:$FQ$75,MATCH(B3985,'DISTRIBUIÇÃO NF4267'!$E$3:$FQ$3,0)+1,0)</f>
        <v>0</v>
      </c>
      <c r="F3985" s="28">
        <f t="shared" si="198"/>
        <v>3</v>
      </c>
    </row>
    <row r="3986" spans="1:6" x14ac:dyDescent="0.35">
      <c r="A3986">
        <f t="shared" si="199"/>
        <v>0</v>
      </c>
      <c r="B3986" t="str">
        <f t="shared" si="197"/>
        <v>X6</v>
      </c>
      <c r="C3986" s="14" t="s">
        <v>138</v>
      </c>
      <c r="D3986" s="18">
        <f>VLOOKUP(C3986,'DISTRIBUIÇÃO NF4267'!$E$3:$FQ$75,MATCH(B3986,'DISTRIBUIÇÃO NF4267'!$E$3:$FQ$3,0)+1,0)</f>
        <v>0</v>
      </c>
      <c r="F3986" s="28">
        <f t="shared" si="198"/>
        <v>3</v>
      </c>
    </row>
    <row r="3987" spans="1:6" x14ac:dyDescent="0.35">
      <c r="A3987">
        <f t="shared" si="199"/>
        <v>0</v>
      </c>
      <c r="B3987" t="str">
        <f t="shared" si="197"/>
        <v>X6</v>
      </c>
      <c r="C3987" s="14" t="s">
        <v>139</v>
      </c>
      <c r="D3987" s="18">
        <f>VLOOKUP(C3987,'DISTRIBUIÇÃO NF4267'!$E$3:$FQ$75,MATCH(B3987,'DISTRIBUIÇÃO NF4267'!$E$3:$FQ$3,0)+1,0)</f>
        <v>2</v>
      </c>
      <c r="F3987" s="28">
        <f t="shared" si="198"/>
        <v>3</v>
      </c>
    </row>
    <row r="3988" spans="1:6" x14ac:dyDescent="0.35">
      <c r="A3988">
        <f t="shared" si="199"/>
        <v>0</v>
      </c>
      <c r="B3988" t="str">
        <f t="shared" si="197"/>
        <v>X6</v>
      </c>
      <c r="C3988" s="14" t="s">
        <v>140</v>
      </c>
      <c r="D3988" s="18">
        <f>VLOOKUP(C3988,'DISTRIBUIÇÃO NF4267'!$E$3:$FQ$75,MATCH(B3988,'DISTRIBUIÇÃO NF4267'!$E$3:$FQ$3,0)+1,0)</f>
        <v>4</v>
      </c>
      <c r="F3988" s="28">
        <f t="shared" si="198"/>
        <v>3</v>
      </c>
    </row>
    <row r="3989" spans="1:6" x14ac:dyDescent="0.35">
      <c r="A3989">
        <f t="shared" si="199"/>
        <v>0</v>
      </c>
      <c r="B3989" t="str">
        <f t="shared" si="197"/>
        <v>X6</v>
      </c>
      <c r="C3989" s="14" t="s">
        <v>141</v>
      </c>
      <c r="D3989" s="18">
        <f>VLOOKUP(C3989,'DISTRIBUIÇÃO NF4267'!$E$3:$FQ$75,MATCH(B3989,'DISTRIBUIÇÃO NF4267'!$E$3:$FQ$3,0)+1,0)</f>
        <v>2</v>
      </c>
      <c r="F3989" s="28">
        <f t="shared" si="198"/>
        <v>3</v>
      </c>
    </row>
    <row r="3990" spans="1:6" x14ac:dyDescent="0.35">
      <c r="A3990">
        <f t="shared" si="199"/>
        <v>0</v>
      </c>
      <c r="B3990" t="str">
        <f t="shared" si="197"/>
        <v>X6</v>
      </c>
      <c r="C3990" s="14" t="s">
        <v>142</v>
      </c>
      <c r="D3990" s="18">
        <f>VLOOKUP(C3990,'DISTRIBUIÇÃO NF4267'!$E$3:$FQ$75,MATCH(B3990,'DISTRIBUIÇÃO NF4267'!$E$3:$FQ$3,0)+1,0)</f>
        <v>2</v>
      </c>
      <c r="F3990" s="28">
        <f t="shared" si="198"/>
        <v>3</v>
      </c>
    </row>
    <row r="3991" spans="1:6" x14ac:dyDescent="0.35">
      <c r="A3991">
        <f t="shared" si="199"/>
        <v>0</v>
      </c>
      <c r="B3991" t="str">
        <f t="shared" si="197"/>
        <v>X6</v>
      </c>
      <c r="C3991" s="14" t="s">
        <v>143</v>
      </c>
      <c r="D3991" s="18">
        <f>VLOOKUP(C3991,'DISTRIBUIÇÃO NF4267'!$E$3:$FQ$75,MATCH(B3991,'DISTRIBUIÇÃO NF4267'!$E$3:$FQ$3,0)+1,0)</f>
        <v>0</v>
      </c>
      <c r="F3991" s="28">
        <f t="shared" si="198"/>
        <v>3</v>
      </c>
    </row>
    <row r="3992" spans="1:6" x14ac:dyDescent="0.35">
      <c r="A3992">
        <f t="shared" si="199"/>
        <v>0</v>
      </c>
      <c r="B3992" t="str">
        <f t="shared" si="197"/>
        <v>X6</v>
      </c>
      <c r="C3992" s="15" t="s">
        <v>145</v>
      </c>
      <c r="D3992" s="18">
        <f>VLOOKUP(C3992,'DISTRIBUIÇÃO NF4267'!$E$3:$FQ$75,MATCH(B3992,'DISTRIBUIÇÃO NF4267'!$E$3:$FQ$3,0)+1,0)</f>
        <v>0</v>
      </c>
      <c r="F3992" s="28">
        <f t="shared" si="198"/>
        <v>3</v>
      </c>
    </row>
    <row r="3993" spans="1:6" x14ac:dyDescent="0.35">
      <c r="A3993">
        <f t="shared" si="199"/>
        <v>0</v>
      </c>
      <c r="B3993" t="str">
        <f t="shared" si="197"/>
        <v>X6</v>
      </c>
      <c r="C3993" s="15" t="s">
        <v>146</v>
      </c>
      <c r="D3993" s="18">
        <f>VLOOKUP(C3993,'DISTRIBUIÇÃO NF4267'!$E$3:$FQ$75,MATCH(B3993,'DISTRIBUIÇÃO NF4267'!$E$3:$FQ$3,0)+1,0)</f>
        <v>2</v>
      </c>
      <c r="F3993" s="28">
        <f t="shared" si="198"/>
        <v>3</v>
      </c>
    </row>
    <row r="3994" spans="1:6" x14ac:dyDescent="0.35">
      <c r="A3994">
        <f t="shared" si="199"/>
        <v>0</v>
      </c>
      <c r="B3994" t="str">
        <f t="shared" si="197"/>
        <v>X6</v>
      </c>
      <c r="C3994" s="15" t="s">
        <v>147</v>
      </c>
      <c r="D3994" s="18">
        <f>VLOOKUP(C3994,'DISTRIBUIÇÃO NF4267'!$E$3:$FQ$75,MATCH(B3994,'DISTRIBUIÇÃO NF4267'!$E$3:$FQ$3,0)+1,0)</f>
        <v>4</v>
      </c>
      <c r="F3994" s="28">
        <f t="shared" si="198"/>
        <v>3</v>
      </c>
    </row>
    <row r="3995" spans="1:6" x14ac:dyDescent="0.35">
      <c r="A3995">
        <f t="shared" si="199"/>
        <v>0</v>
      </c>
      <c r="B3995" t="str">
        <f t="shared" si="197"/>
        <v>X6</v>
      </c>
      <c r="C3995" s="15" t="s">
        <v>148</v>
      </c>
      <c r="D3995" s="18">
        <f>VLOOKUP(C3995,'DISTRIBUIÇÃO NF4267'!$E$3:$FQ$75,MATCH(B3995,'DISTRIBUIÇÃO NF4267'!$E$3:$FQ$3,0)+1,0)</f>
        <v>2</v>
      </c>
      <c r="F3995" s="28">
        <f t="shared" si="198"/>
        <v>3</v>
      </c>
    </row>
    <row r="3996" spans="1:6" x14ac:dyDescent="0.35">
      <c r="A3996">
        <f t="shared" si="199"/>
        <v>0</v>
      </c>
      <c r="B3996" t="str">
        <f t="shared" si="197"/>
        <v>X6</v>
      </c>
      <c r="C3996" s="15" t="s">
        <v>149</v>
      </c>
      <c r="D3996" s="18">
        <f>VLOOKUP(C3996,'DISTRIBUIÇÃO NF4267'!$E$3:$FQ$75,MATCH(B3996,'DISTRIBUIÇÃO NF4267'!$E$3:$FQ$3,0)+1,0)</f>
        <v>2</v>
      </c>
      <c r="F3996" s="28">
        <f t="shared" si="198"/>
        <v>3</v>
      </c>
    </row>
    <row r="3997" spans="1:6" x14ac:dyDescent="0.35">
      <c r="A3997">
        <f t="shared" si="199"/>
        <v>0</v>
      </c>
      <c r="B3997" t="str">
        <f t="shared" si="197"/>
        <v>X6</v>
      </c>
      <c r="C3997" s="15" t="s">
        <v>150</v>
      </c>
      <c r="D3997" s="18">
        <f>VLOOKUP(C3997,'DISTRIBUIÇÃO NF4267'!$E$3:$FQ$75,MATCH(B3997,'DISTRIBUIÇÃO NF4267'!$E$3:$FQ$3,0)+1,0)</f>
        <v>0</v>
      </c>
      <c r="F3997" s="28">
        <f t="shared" si="198"/>
        <v>3</v>
      </c>
    </row>
    <row r="3998" spans="1:6" x14ac:dyDescent="0.35">
      <c r="A3998">
        <f t="shared" si="199"/>
        <v>0</v>
      </c>
      <c r="B3998" t="s">
        <v>82</v>
      </c>
      <c r="C3998" s="7" t="s">
        <v>98</v>
      </c>
      <c r="D3998" s="18">
        <f>VLOOKUP(C3998,'DISTRIBUIÇÃO NF4267'!$E$3:$FQ$75,MATCH(B3998,'DISTRIBUIÇÃO NF4267'!$E$3:$FQ$3,0)+1,0)</f>
        <v>0</v>
      </c>
      <c r="F3998" s="28">
        <f t="shared" si="198"/>
        <v>3</v>
      </c>
    </row>
    <row r="3999" spans="1:6" x14ac:dyDescent="0.35">
      <c r="A3999">
        <f t="shared" si="199"/>
        <v>0</v>
      </c>
      <c r="B3999" t="str">
        <f>B3998</f>
        <v>DX</v>
      </c>
      <c r="C3999" s="7" t="s">
        <v>99</v>
      </c>
      <c r="D3999" s="18">
        <f>VLOOKUP(C3999,'DISTRIBUIÇÃO NF4267'!$E$3:$FQ$75,MATCH(B3999,'DISTRIBUIÇÃO NF4267'!$E$3:$FQ$3,0)+1,0)</f>
        <v>4</v>
      </c>
      <c r="F3999" s="28">
        <f t="shared" si="198"/>
        <v>3</v>
      </c>
    </row>
    <row r="4000" spans="1:6" x14ac:dyDescent="0.35">
      <c r="A4000">
        <f t="shared" si="199"/>
        <v>0</v>
      </c>
      <c r="B4000" t="str">
        <f t="shared" ref="B4000:B4051" si="200">B3999</f>
        <v>DX</v>
      </c>
      <c r="C4000" s="7" t="s">
        <v>100</v>
      </c>
      <c r="D4000" s="18">
        <f>VLOOKUP(C4000,'DISTRIBUIÇÃO NF4267'!$E$3:$FQ$75,MATCH(B4000,'DISTRIBUIÇÃO NF4267'!$E$3:$FQ$3,0)+1,0)</f>
        <v>8</v>
      </c>
      <c r="F4000" s="28">
        <f t="shared" si="198"/>
        <v>3</v>
      </c>
    </row>
    <row r="4001" spans="1:6" x14ac:dyDescent="0.35">
      <c r="A4001">
        <f t="shared" si="199"/>
        <v>0</v>
      </c>
      <c r="B4001" t="str">
        <f t="shared" si="200"/>
        <v>DX</v>
      </c>
      <c r="C4001" s="7" t="s">
        <v>101</v>
      </c>
      <c r="D4001" s="18">
        <f>VLOOKUP(C4001,'DISTRIBUIÇÃO NF4267'!$E$3:$FQ$75,MATCH(B4001,'DISTRIBUIÇÃO NF4267'!$E$3:$FQ$3,0)+1,0)</f>
        <v>4</v>
      </c>
      <c r="F4001" s="28">
        <f t="shared" si="198"/>
        <v>3</v>
      </c>
    </row>
    <row r="4002" spans="1:6" x14ac:dyDescent="0.35">
      <c r="A4002">
        <f t="shared" si="199"/>
        <v>0</v>
      </c>
      <c r="B4002" t="str">
        <f t="shared" si="200"/>
        <v>DX</v>
      </c>
      <c r="C4002" s="7" t="s">
        <v>102</v>
      </c>
      <c r="D4002" s="18">
        <f>VLOOKUP(C4002,'DISTRIBUIÇÃO NF4267'!$E$3:$FQ$75,MATCH(B4002,'DISTRIBUIÇÃO NF4267'!$E$3:$FQ$3,0)+1,0)</f>
        <v>4</v>
      </c>
      <c r="F4002" s="28">
        <f t="shared" si="198"/>
        <v>3</v>
      </c>
    </row>
    <row r="4003" spans="1:6" x14ac:dyDescent="0.35">
      <c r="A4003">
        <f t="shared" si="199"/>
        <v>0</v>
      </c>
      <c r="B4003" t="str">
        <f t="shared" si="200"/>
        <v>DX</v>
      </c>
      <c r="C4003" s="7" t="s">
        <v>103</v>
      </c>
      <c r="D4003" s="18">
        <f>VLOOKUP(C4003,'DISTRIBUIÇÃO NF4267'!$E$3:$FQ$75,MATCH(B4003,'DISTRIBUIÇÃO NF4267'!$E$3:$FQ$3,0)+1,0)</f>
        <v>0</v>
      </c>
      <c r="F4003" s="28">
        <f t="shared" si="198"/>
        <v>3</v>
      </c>
    </row>
    <row r="4004" spans="1:6" x14ac:dyDescent="0.35">
      <c r="A4004">
        <f t="shared" si="199"/>
        <v>0</v>
      </c>
      <c r="B4004" t="str">
        <f t="shared" si="200"/>
        <v>DX</v>
      </c>
      <c r="C4004" s="8" t="s">
        <v>107</v>
      </c>
      <c r="D4004" s="18">
        <f>VLOOKUP(C4004,'DISTRIBUIÇÃO NF4267'!$E$3:$FQ$75,MATCH(B4004,'DISTRIBUIÇÃO NF4267'!$E$3:$FQ$3,0)+1,0)</f>
        <v>0</v>
      </c>
      <c r="F4004" s="28">
        <f t="shared" si="198"/>
        <v>3</v>
      </c>
    </row>
    <row r="4005" spans="1:6" x14ac:dyDescent="0.35">
      <c r="A4005">
        <f t="shared" si="199"/>
        <v>0</v>
      </c>
      <c r="B4005" t="str">
        <f t="shared" si="200"/>
        <v>DX</v>
      </c>
      <c r="C4005" s="8" t="s">
        <v>108</v>
      </c>
      <c r="D4005" s="18">
        <f>VLOOKUP(C4005,'DISTRIBUIÇÃO NF4267'!$E$3:$FQ$75,MATCH(B4005,'DISTRIBUIÇÃO NF4267'!$E$3:$FQ$3,0)+1,0)</f>
        <v>2</v>
      </c>
      <c r="F4005" s="28">
        <f t="shared" si="198"/>
        <v>3</v>
      </c>
    </row>
    <row r="4006" spans="1:6" x14ac:dyDescent="0.35">
      <c r="A4006">
        <f t="shared" si="199"/>
        <v>0</v>
      </c>
      <c r="B4006" t="str">
        <f t="shared" si="200"/>
        <v>DX</v>
      </c>
      <c r="C4006" s="8" t="s">
        <v>109</v>
      </c>
      <c r="D4006" s="18">
        <f>VLOOKUP(C4006,'DISTRIBUIÇÃO NF4267'!$E$3:$FQ$75,MATCH(B4006,'DISTRIBUIÇÃO NF4267'!$E$3:$FQ$3,0)+1,0)</f>
        <v>4</v>
      </c>
      <c r="F4006" s="28">
        <f t="shared" si="198"/>
        <v>3</v>
      </c>
    </row>
    <row r="4007" spans="1:6" x14ac:dyDescent="0.35">
      <c r="A4007">
        <f t="shared" si="199"/>
        <v>0</v>
      </c>
      <c r="B4007" t="str">
        <f t="shared" si="200"/>
        <v>DX</v>
      </c>
      <c r="C4007" s="8" t="s">
        <v>110</v>
      </c>
      <c r="D4007" s="18">
        <f>VLOOKUP(C4007,'DISTRIBUIÇÃO NF4267'!$E$3:$FQ$75,MATCH(B4007,'DISTRIBUIÇÃO NF4267'!$E$3:$FQ$3,0)+1,0)</f>
        <v>2</v>
      </c>
      <c r="F4007" s="28">
        <f t="shared" si="198"/>
        <v>3</v>
      </c>
    </row>
    <row r="4008" spans="1:6" x14ac:dyDescent="0.35">
      <c r="A4008">
        <f t="shared" si="199"/>
        <v>0</v>
      </c>
      <c r="B4008" t="str">
        <f t="shared" si="200"/>
        <v>DX</v>
      </c>
      <c r="C4008" s="8" t="s">
        <v>111</v>
      </c>
      <c r="D4008" s="18">
        <f>VLOOKUP(C4008,'DISTRIBUIÇÃO NF4267'!$E$3:$FQ$75,MATCH(B4008,'DISTRIBUIÇÃO NF4267'!$E$3:$FQ$3,0)+1,0)</f>
        <v>2</v>
      </c>
      <c r="F4008" s="28">
        <f t="shared" si="198"/>
        <v>3</v>
      </c>
    </row>
    <row r="4009" spans="1:6" x14ac:dyDescent="0.35">
      <c r="A4009">
        <f t="shared" si="199"/>
        <v>0</v>
      </c>
      <c r="B4009" t="str">
        <f t="shared" si="200"/>
        <v>DX</v>
      </c>
      <c r="C4009" s="8" t="s">
        <v>112</v>
      </c>
      <c r="D4009" s="18">
        <f>VLOOKUP(C4009,'DISTRIBUIÇÃO NF4267'!$E$3:$FQ$75,MATCH(B4009,'DISTRIBUIÇÃO NF4267'!$E$3:$FQ$3,0)+1,0)</f>
        <v>0</v>
      </c>
      <c r="F4009" s="28">
        <f t="shared" si="198"/>
        <v>3</v>
      </c>
    </row>
    <row r="4010" spans="1:6" x14ac:dyDescent="0.35">
      <c r="A4010">
        <f t="shared" si="199"/>
        <v>0</v>
      </c>
      <c r="B4010" t="str">
        <f t="shared" si="200"/>
        <v>DX</v>
      </c>
      <c r="C4010" s="9" t="s">
        <v>113</v>
      </c>
      <c r="D4010" s="18">
        <f>VLOOKUP(C4010,'DISTRIBUIÇÃO NF4267'!$E$3:$FQ$75,MATCH(B4010,'DISTRIBUIÇÃO NF4267'!$E$3:$FQ$3,0)+1,0)</f>
        <v>0</v>
      </c>
      <c r="F4010" s="28">
        <f t="shared" si="198"/>
        <v>3</v>
      </c>
    </row>
    <row r="4011" spans="1:6" x14ac:dyDescent="0.35">
      <c r="A4011">
        <f t="shared" si="199"/>
        <v>0</v>
      </c>
      <c r="B4011" t="str">
        <f t="shared" si="200"/>
        <v>DX</v>
      </c>
      <c r="C4011" s="9" t="s">
        <v>114</v>
      </c>
      <c r="D4011" s="18">
        <f>VLOOKUP(C4011,'DISTRIBUIÇÃO NF4267'!$E$3:$FQ$75,MATCH(B4011,'DISTRIBUIÇÃO NF4267'!$E$3:$FQ$3,0)+1,0)</f>
        <v>3</v>
      </c>
      <c r="F4011" s="28">
        <f t="shared" si="198"/>
        <v>3</v>
      </c>
    </row>
    <row r="4012" spans="1:6" x14ac:dyDescent="0.35">
      <c r="A4012">
        <f t="shared" si="199"/>
        <v>0</v>
      </c>
      <c r="B4012" t="str">
        <f t="shared" si="200"/>
        <v>DX</v>
      </c>
      <c r="C4012" s="9" t="s">
        <v>115</v>
      </c>
      <c r="D4012" s="18">
        <f>VLOOKUP(C4012,'DISTRIBUIÇÃO NF4267'!$E$3:$FQ$75,MATCH(B4012,'DISTRIBUIÇÃO NF4267'!$E$3:$FQ$3,0)+1,0)</f>
        <v>4</v>
      </c>
      <c r="F4012" s="28">
        <f t="shared" si="198"/>
        <v>3</v>
      </c>
    </row>
    <row r="4013" spans="1:6" x14ac:dyDescent="0.35">
      <c r="A4013">
        <f t="shared" si="199"/>
        <v>0</v>
      </c>
      <c r="B4013" t="str">
        <f t="shared" si="200"/>
        <v>DX</v>
      </c>
      <c r="C4013" s="9" t="s">
        <v>116</v>
      </c>
      <c r="D4013" s="18">
        <f>VLOOKUP(C4013,'DISTRIBUIÇÃO NF4267'!$E$3:$FQ$75,MATCH(B4013,'DISTRIBUIÇÃO NF4267'!$E$3:$FQ$3,0)+1,0)</f>
        <v>2</v>
      </c>
      <c r="F4013" s="28">
        <f t="shared" si="198"/>
        <v>3</v>
      </c>
    </row>
    <row r="4014" spans="1:6" x14ac:dyDescent="0.35">
      <c r="A4014">
        <f t="shared" si="199"/>
        <v>0</v>
      </c>
      <c r="B4014" t="str">
        <f t="shared" si="200"/>
        <v>DX</v>
      </c>
      <c r="C4014" s="9" t="s">
        <v>117</v>
      </c>
      <c r="D4014" s="18">
        <f>VLOOKUP(C4014,'DISTRIBUIÇÃO NF4267'!$E$3:$FQ$75,MATCH(B4014,'DISTRIBUIÇÃO NF4267'!$E$3:$FQ$3,0)+1,0)</f>
        <v>1</v>
      </c>
      <c r="F4014" s="28">
        <f t="shared" si="198"/>
        <v>3</v>
      </c>
    </row>
    <row r="4015" spans="1:6" x14ac:dyDescent="0.35">
      <c r="A4015">
        <f t="shared" si="199"/>
        <v>0</v>
      </c>
      <c r="B4015" t="str">
        <f t="shared" si="200"/>
        <v>DX</v>
      </c>
      <c r="C4015" s="9" t="s">
        <v>118</v>
      </c>
      <c r="D4015" s="18">
        <f>VLOOKUP(C4015,'DISTRIBUIÇÃO NF4267'!$E$3:$FQ$75,MATCH(B4015,'DISTRIBUIÇÃO NF4267'!$E$3:$FQ$3,0)+1,0)</f>
        <v>0</v>
      </c>
      <c r="F4015" s="28">
        <f t="shared" si="198"/>
        <v>3</v>
      </c>
    </row>
    <row r="4016" spans="1:6" x14ac:dyDescent="0.35">
      <c r="A4016">
        <f t="shared" si="199"/>
        <v>0</v>
      </c>
      <c r="B4016" t="str">
        <f t="shared" si="200"/>
        <v>DX</v>
      </c>
      <c r="C4016" s="10" t="s">
        <v>119</v>
      </c>
      <c r="D4016" s="18">
        <f>VLOOKUP(C4016,'DISTRIBUIÇÃO NF4267'!$E$3:$FQ$75,MATCH(B4016,'DISTRIBUIÇÃO NF4267'!$E$3:$FQ$3,0)+1,0)</f>
        <v>0</v>
      </c>
      <c r="F4016" s="28">
        <f t="shared" si="198"/>
        <v>3</v>
      </c>
    </row>
    <row r="4017" spans="1:6" x14ac:dyDescent="0.35">
      <c r="A4017">
        <f t="shared" si="199"/>
        <v>0</v>
      </c>
      <c r="B4017" t="str">
        <f t="shared" si="200"/>
        <v>DX</v>
      </c>
      <c r="C4017" s="10" t="s">
        <v>120</v>
      </c>
      <c r="D4017" s="18">
        <f>VLOOKUP(C4017,'DISTRIBUIÇÃO NF4267'!$E$3:$FQ$75,MATCH(B4017,'DISTRIBUIÇÃO NF4267'!$E$3:$FQ$3,0)+1,0)</f>
        <v>48</v>
      </c>
      <c r="F4017" s="28">
        <f t="shared" si="198"/>
        <v>3</v>
      </c>
    </row>
    <row r="4018" spans="1:6" x14ac:dyDescent="0.35">
      <c r="A4018">
        <f t="shared" si="199"/>
        <v>0</v>
      </c>
      <c r="B4018" t="str">
        <f t="shared" si="200"/>
        <v>DX</v>
      </c>
      <c r="C4018" s="10" t="s">
        <v>121</v>
      </c>
      <c r="D4018" s="18">
        <f>VLOOKUP(C4018,'DISTRIBUIÇÃO NF4267'!$E$3:$FQ$75,MATCH(B4018,'DISTRIBUIÇÃO NF4267'!$E$3:$FQ$3,0)+1,0)</f>
        <v>16</v>
      </c>
      <c r="F4018" s="28">
        <f t="shared" si="198"/>
        <v>3</v>
      </c>
    </row>
    <row r="4019" spans="1:6" x14ac:dyDescent="0.35">
      <c r="A4019">
        <f t="shared" si="199"/>
        <v>0</v>
      </c>
      <c r="B4019" t="str">
        <f t="shared" si="200"/>
        <v>DX</v>
      </c>
      <c r="C4019" s="10" t="s">
        <v>122</v>
      </c>
      <c r="D4019" s="18">
        <f>VLOOKUP(C4019,'DISTRIBUIÇÃO NF4267'!$E$3:$FQ$75,MATCH(B4019,'DISTRIBUIÇÃO NF4267'!$E$3:$FQ$3,0)+1,0)</f>
        <v>16</v>
      </c>
      <c r="F4019" s="28">
        <f t="shared" si="198"/>
        <v>3</v>
      </c>
    </row>
    <row r="4020" spans="1:6" x14ac:dyDescent="0.35">
      <c r="A4020">
        <f t="shared" si="199"/>
        <v>0</v>
      </c>
      <c r="B4020" t="str">
        <f t="shared" si="200"/>
        <v>DX</v>
      </c>
      <c r="C4020" s="10" t="s">
        <v>123</v>
      </c>
      <c r="D4020" s="18">
        <f>VLOOKUP(C4020,'DISTRIBUIÇÃO NF4267'!$E$3:$FQ$75,MATCH(B4020,'DISTRIBUIÇÃO NF4267'!$E$3:$FQ$3,0)+1,0)</f>
        <v>0</v>
      </c>
      <c r="F4020" s="28">
        <f t="shared" si="198"/>
        <v>3</v>
      </c>
    </row>
    <row r="4021" spans="1:6" x14ac:dyDescent="0.35">
      <c r="A4021">
        <f t="shared" si="199"/>
        <v>0</v>
      </c>
      <c r="B4021" t="str">
        <f t="shared" si="200"/>
        <v>DX</v>
      </c>
      <c r="C4021" s="10" t="s">
        <v>124</v>
      </c>
      <c r="D4021" s="18">
        <f>VLOOKUP(C4021,'DISTRIBUIÇÃO NF4267'!$E$3:$FQ$75,MATCH(B4021,'DISTRIBUIÇÃO NF4267'!$E$3:$FQ$3,0)+1,0)</f>
        <v>0</v>
      </c>
      <c r="F4021" s="28">
        <f t="shared" si="198"/>
        <v>3</v>
      </c>
    </row>
    <row r="4022" spans="1:6" x14ac:dyDescent="0.35">
      <c r="A4022">
        <f t="shared" si="199"/>
        <v>0</v>
      </c>
      <c r="B4022" t="str">
        <f t="shared" si="200"/>
        <v>DX</v>
      </c>
      <c r="C4022" s="11" t="s">
        <v>16</v>
      </c>
      <c r="D4022" s="18">
        <f>VLOOKUP(C4022,'DISTRIBUIÇÃO NF4267'!$E$3:$FQ$75,MATCH(B4022,'DISTRIBUIÇÃO NF4267'!$E$3:$FQ$3,0)+1,0)</f>
        <v>0</v>
      </c>
      <c r="F4022" s="28">
        <f t="shared" si="198"/>
        <v>3</v>
      </c>
    </row>
    <row r="4023" spans="1:6" x14ac:dyDescent="0.35">
      <c r="A4023">
        <f t="shared" si="199"/>
        <v>0</v>
      </c>
      <c r="B4023" t="str">
        <f t="shared" si="200"/>
        <v>DX</v>
      </c>
      <c r="C4023" s="11" t="s">
        <v>17</v>
      </c>
      <c r="D4023" s="18">
        <f>VLOOKUP(C4023,'DISTRIBUIÇÃO NF4267'!$E$3:$FQ$75,MATCH(B4023,'DISTRIBUIÇÃO NF4267'!$E$3:$FQ$3,0)+1,0)</f>
        <v>9</v>
      </c>
      <c r="F4023" s="28">
        <f t="shared" si="198"/>
        <v>3</v>
      </c>
    </row>
    <row r="4024" spans="1:6" x14ac:dyDescent="0.35">
      <c r="A4024">
        <f t="shared" si="199"/>
        <v>0</v>
      </c>
      <c r="B4024" t="str">
        <f t="shared" si="200"/>
        <v>DX</v>
      </c>
      <c r="C4024" s="11" t="s">
        <v>18</v>
      </c>
      <c r="D4024" s="18">
        <f>VLOOKUP(C4024,'DISTRIBUIÇÃO NF4267'!$E$3:$FQ$75,MATCH(B4024,'DISTRIBUIÇÃO NF4267'!$E$3:$FQ$3,0)+1,0)</f>
        <v>3</v>
      </c>
      <c r="F4024" s="28">
        <f t="shared" ref="F4024:F4087" si="201">ROUNDUP(SUMIFS(D:D,B:B,B4024)/80,0)</f>
        <v>3</v>
      </c>
    </row>
    <row r="4025" spans="1:6" x14ac:dyDescent="0.35">
      <c r="A4025">
        <f t="shared" si="199"/>
        <v>0</v>
      </c>
      <c r="B4025" t="str">
        <f t="shared" si="200"/>
        <v>DX</v>
      </c>
      <c r="C4025" s="11" t="s">
        <v>19</v>
      </c>
      <c r="D4025" s="18">
        <f>VLOOKUP(C4025,'DISTRIBUIÇÃO NF4267'!$E$3:$FQ$75,MATCH(B4025,'DISTRIBUIÇÃO NF4267'!$E$3:$FQ$3,0)+1,0)</f>
        <v>3</v>
      </c>
      <c r="F4025" s="28">
        <f t="shared" si="201"/>
        <v>3</v>
      </c>
    </row>
    <row r="4026" spans="1:6" x14ac:dyDescent="0.35">
      <c r="A4026">
        <f t="shared" si="199"/>
        <v>0</v>
      </c>
      <c r="B4026" t="str">
        <f t="shared" si="200"/>
        <v>DX</v>
      </c>
      <c r="C4026" s="11" t="s">
        <v>20</v>
      </c>
      <c r="D4026" s="18">
        <f>VLOOKUP(C4026,'DISTRIBUIÇÃO NF4267'!$E$3:$FQ$75,MATCH(B4026,'DISTRIBUIÇÃO NF4267'!$E$3:$FQ$3,0)+1,0)</f>
        <v>15</v>
      </c>
      <c r="F4026" s="28">
        <f t="shared" si="201"/>
        <v>3</v>
      </c>
    </row>
    <row r="4027" spans="1:6" x14ac:dyDescent="0.35">
      <c r="A4027">
        <f t="shared" si="199"/>
        <v>0</v>
      </c>
      <c r="B4027" t="str">
        <f t="shared" si="200"/>
        <v>DX</v>
      </c>
      <c r="C4027" s="11" t="s">
        <v>21</v>
      </c>
      <c r="D4027" s="18">
        <f>VLOOKUP(C4027,'DISTRIBUIÇÃO NF4267'!$E$3:$FQ$75,MATCH(B4027,'DISTRIBUIÇÃO NF4267'!$E$3:$FQ$3,0)+1,0)</f>
        <v>0</v>
      </c>
      <c r="F4027" s="28">
        <f t="shared" si="201"/>
        <v>3</v>
      </c>
    </row>
    <row r="4028" spans="1:6" x14ac:dyDescent="0.35">
      <c r="A4028">
        <f t="shared" si="199"/>
        <v>0</v>
      </c>
      <c r="B4028" t="str">
        <f t="shared" si="200"/>
        <v>DX</v>
      </c>
      <c r="C4028" s="12" t="s">
        <v>130</v>
      </c>
      <c r="D4028" s="18">
        <f>VLOOKUP(C4028,'DISTRIBUIÇÃO NF4267'!$E$3:$FQ$75,MATCH(B4028,'DISTRIBUIÇÃO NF4267'!$E$3:$FQ$3,0)+1,0)</f>
        <v>0</v>
      </c>
      <c r="F4028" s="28">
        <f t="shared" si="201"/>
        <v>3</v>
      </c>
    </row>
    <row r="4029" spans="1:6" x14ac:dyDescent="0.35">
      <c r="A4029">
        <f t="shared" si="199"/>
        <v>0</v>
      </c>
      <c r="B4029" t="str">
        <f t="shared" si="200"/>
        <v>DX</v>
      </c>
      <c r="C4029" s="12" t="s">
        <v>131</v>
      </c>
      <c r="D4029" s="18">
        <f>VLOOKUP(C4029,'DISTRIBUIÇÃO NF4267'!$E$3:$FQ$75,MATCH(B4029,'DISTRIBUIÇÃO NF4267'!$E$3:$FQ$3,0)+1,0)</f>
        <v>0</v>
      </c>
      <c r="F4029" s="28">
        <f t="shared" si="201"/>
        <v>3</v>
      </c>
    </row>
    <row r="4030" spans="1:6" x14ac:dyDescent="0.35">
      <c r="A4030">
        <f t="shared" si="199"/>
        <v>0</v>
      </c>
      <c r="B4030" t="str">
        <f t="shared" si="200"/>
        <v>DX</v>
      </c>
      <c r="C4030" s="12" t="s">
        <v>132</v>
      </c>
      <c r="D4030" s="18">
        <f>VLOOKUP(C4030,'DISTRIBUIÇÃO NF4267'!$E$3:$FQ$75,MATCH(B4030,'DISTRIBUIÇÃO NF4267'!$E$3:$FQ$3,0)+1,0)</f>
        <v>0</v>
      </c>
      <c r="F4030" s="28">
        <f t="shared" si="201"/>
        <v>3</v>
      </c>
    </row>
    <row r="4031" spans="1:6" x14ac:dyDescent="0.35">
      <c r="A4031">
        <f t="shared" si="199"/>
        <v>0</v>
      </c>
      <c r="B4031" t="str">
        <f t="shared" si="200"/>
        <v>DX</v>
      </c>
      <c r="C4031" s="12" t="s">
        <v>133</v>
      </c>
      <c r="D4031" s="18">
        <f>VLOOKUP(C4031,'DISTRIBUIÇÃO NF4267'!$E$3:$FQ$75,MATCH(B4031,'DISTRIBUIÇÃO NF4267'!$E$3:$FQ$3,0)+1,0)</f>
        <v>0</v>
      </c>
      <c r="F4031" s="28">
        <f t="shared" si="201"/>
        <v>3</v>
      </c>
    </row>
    <row r="4032" spans="1:6" x14ac:dyDescent="0.35">
      <c r="A4032">
        <f t="shared" si="199"/>
        <v>0</v>
      </c>
      <c r="B4032" t="str">
        <f t="shared" si="200"/>
        <v>DX</v>
      </c>
      <c r="C4032" s="12" t="s">
        <v>134</v>
      </c>
      <c r="D4032" s="18">
        <f>VLOOKUP(C4032,'DISTRIBUIÇÃO NF4267'!$E$3:$FQ$75,MATCH(B4032,'DISTRIBUIÇÃO NF4267'!$E$3:$FQ$3,0)+1,0)</f>
        <v>0</v>
      </c>
      <c r="F4032" s="28">
        <f t="shared" si="201"/>
        <v>3</v>
      </c>
    </row>
    <row r="4033" spans="1:6" x14ac:dyDescent="0.35">
      <c r="A4033">
        <f t="shared" si="199"/>
        <v>0</v>
      </c>
      <c r="B4033" t="str">
        <f t="shared" si="200"/>
        <v>DX</v>
      </c>
      <c r="C4033" s="12" t="s">
        <v>135</v>
      </c>
      <c r="D4033" s="18">
        <f>VLOOKUP(C4033,'DISTRIBUIÇÃO NF4267'!$E$3:$FQ$75,MATCH(B4033,'DISTRIBUIÇÃO NF4267'!$E$3:$FQ$3,0)+1,0)</f>
        <v>0</v>
      </c>
      <c r="F4033" s="28">
        <f t="shared" si="201"/>
        <v>3</v>
      </c>
    </row>
    <row r="4034" spans="1:6" x14ac:dyDescent="0.35">
      <c r="A4034">
        <f t="shared" ref="A4034:A4097" si="202">IF(ISERROR(VLOOKUP(C4034,I:I,1,0)),0,1)</f>
        <v>0</v>
      </c>
      <c r="B4034" t="str">
        <f t="shared" si="200"/>
        <v>DX</v>
      </c>
      <c r="C4034" s="13" t="s">
        <v>22</v>
      </c>
      <c r="D4034" s="18">
        <f>VLOOKUP(C4034,'DISTRIBUIÇÃO NF4267'!$E$3:$FQ$75,MATCH(B4034,'DISTRIBUIÇÃO NF4267'!$E$3:$FQ$3,0)+1,0)</f>
        <v>0</v>
      </c>
      <c r="F4034" s="28">
        <f t="shared" si="201"/>
        <v>3</v>
      </c>
    </row>
    <row r="4035" spans="1:6" x14ac:dyDescent="0.35">
      <c r="A4035">
        <f t="shared" si="202"/>
        <v>0</v>
      </c>
      <c r="B4035" t="str">
        <f t="shared" si="200"/>
        <v>DX</v>
      </c>
      <c r="C4035" s="13" t="s">
        <v>23</v>
      </c>
      <c r="D4035" s="18">
        <f>VLOOKUP(C4035,'DISTRIBUIÇÃO NF4267'!$E$3:$FQ$75,MATCH(B4035,'DISTRIBUIÇÃO NF4267'!$E$3:$FQ$3,0)+1,0)</f>
        <v>0</v>
      </c>
      <c r="F4035" s="28">
        <f t="shared" si="201"/>
        <v>3</v>
      </c>
    </row>
    <row r="4036" spans="1:6" x14ac:dyDescent="0.35">
      <c r="A4036">
        <f t="shared" si="202"/>
        <v>0</v>
      </c>
      <c r="B4036" t="str">
        <f t="shared" si="200"/>
        <v>DX</v>
      </c>
      <c r="C4036" s="13" t="s">
        <v>24</v>
      </c>
      <c r="D4036" s="18">
        <f>VLOOKUP(C4036,'DISTRIBUIÇÃO NF4267'!$E$3:$FQ$75,MATCH(B4036,'DISTRIBUIÇÃO NF4267'!$E$3:$FQ$3,0)+1,0)</f>
        <v>0</v>
      </c>
      <c r="F4036" s="28">
        <f t="shared" si="201"/>
        <v>3</v>
      </c>
    </row>
    <row r="4037" spans="1:6" x14ac:dyDescent="0.35">
      <c r="A4037">
        <f t="shared" si="202"/>
        <v>0</v>
      </c>
      <c r="B4037" t="str">
        <f t="shared" si="200"/>
        <v>DX</v>
      </c>
      <c r="C4037" s="13" t="s">
        <v>25</v>
      </c>
      <c r="D4037" s="18">
        <f>VLOOKUP(C4037,'DISTRIBUIÇÃO NF4267'!$E$3:$FQ$75,MATCH(B4037,'DISTRIBUIÇÃO NF4267'!$E$3:$FQ$3,0)+1,0)</f>
        <v>0</v>
      </c>
      <c r="F4037" s="28">
        <f t="shared" si="201"/>
        <v>3</v>
      </c>
    </row>
    <row r="4038" spans="1:6" x14ac:dyDescent="0.35">
      <c r="A4038">
        <f t="shared" si="202"/>
        <v>0</v>
      </c>
      <c r="B4038" t="str">
        <f t="shared" si="200"/>
        <v>DX</v>
      </c>
      <c r="C4038" s="13" t="s">
        <v>26</v>
      </c>
      <c r="D4038" s="18">
        <f>VLOOKUP(C4038,'DISTRIBUIÇÃO NF4267'!$E$3:$FQ$75,MATCH(B4038,'DISTRIBUIÇÃO NF4267'!$E$3:$FQ$3,0)+1,0)</f>
        <v>0</v>
      </c>
      <c r="F4038" s="28">
        <f t="shared" si="201"/>
        <v>3</v>
      </c>
    </row>
    <row r="4039" spans="1:6" x14ac:dyDescent="0.35">
      <c r="A4039">
        <f t="shared" si="202"/>
        <v>0</v>
      </c>
      <c r="B4039" t="str">
        <f t="shared" si="200"/>
        <v>DX</v>
      </c>
      <c r="C4039" s="13" t="s">
        <v>27</v>
      </c>
      <c r="D4039" s="18">
        <f>VLOOKUP(C4039,'DISTRIBUIÇÃO NF4267'!$E$3:$FQ$75,MATCH(B4039,'DISTRIBUIÇÃO NF4267'!$E$3:$FQ$3,0)+1,0)</f>
        <v>0</v>
      </c>
      <c r="F4039" s="28">
        <f t="shared" si="201"/>
        <v>3</v>
      </c>
    </row>
    <row r="4040" spans="1:6" x14ac:dyDescent="0.35">
      <c r="A4040">
        <f t="shared" si="202"/>
        <v>0</v>
      </c>
      <c r="B4040" t="str">
        <f t="shared" si="200"/>
        <v>DX</v>
      </c>
      <c r="C4040" s="14" t="s">
        <v>138</v>
      </c>
      <c r="D4040" s="18">
        <f>VLOOKUP(C4040,'DISTRIBUIÇÃO NF4267'!$E$3:$FQ$75,MATCH(B4040,'DISTRIBUIÇÃO NF4267'!$E$3:$FQ$3,0)+1,0)</f>
        <v>0</v>
      </c>
      <c r="F4040" s="28">
        <f t="shared" si="201"/>
        <v>3</v>
      </c>
    </row>
    <row r="4041" spans="1:6" x14ac:dyDescent="0.35">
      <c r="A4041">
        <f t="shared" si="202"/>
        <v>0</v>
      </c>
      <c r="B4041" t="str">
        <f t="shared" si="200"/>
        <v>DX</v>
      </c>
      <c r="C4041" s="14" t="s">
        <v>139</v>
      </c>
      <c r="D4041" s="18">
        <f>VLOOKUP(C4041,'DISTRIBUIÇÃO NF4267'!$E$3:$FQ$75,MATCH(B4041,'DISTRIBUIÇÃO NF4267'!$E$3:$FQ$3,0)+1,0)</f>
        <v>2</v>
      </c>
      <c r="F4041" s="28">
        <f t="shared" si="201"/>
        <v>3</v>
      </c>
    </row>
    <row r="4042" spans="1:6" x14ac:dyDescent="0.35">
      <c r="A4042">
        <f t="shared" si="202"/>
        <v>0</v>
      </c>
      <c r="B4042" t="str">
        <f t="shared" si="200"/>
        <v>DX</v>
      </c>
      <c r="C4042" s="14" t="s">
        <v>140</v>
      </c>
      <c r="D4042" s="18">
        <f>VLOOKUP(C4042,'DISTRIBUIÇÃO NF4267'!$E$3:$FQ$75,MATCH(B4042,'DISTRIBUIÇÃO NF4267'!$E$3:$FQ$3,0)+1,0)</f>
        <v>4</v>
      </c>
      <c r="F4042" s="28">
        <f t="shared" si="201"/>
        <v>3</v>
      </c>
    </row>
    <row r="4043" spans="1:6" x14ac:dyDescent="0.35">
      <c r="A4043">
        <f t="shared" si="202"/>
        <v>0</v>
      </c>
      <c r="B4043" t="str">
        <f t="shared" si="200"/>
        <v>DX</v>
      </c>
      <c r="C4043" s="14" t="s">
        <v>141</v>
      </c>
      <c r="D4043" s="18">
        <f>VLOOKUP(C4043,'DISTRIBUIÇÃO NF4267'!$E$3:$FQ$75,MATCH(B4043,'DISTRIBUIÇÃO NF4267'!$E$3:$FQ$3,0)+1,0)</f>
        <v>2</v>
      </c>
      <c r="F4043" s="28">
        <f t="shared" si="201"/>
        <v>3</v>
      </c>
    </row>
    <row r="4044" spans="1:6" x14ac:dyDescent="0.35">
      <c r="A4044">
        <f t="shared" si="202"/>
        <v>0</v>
      </c>
      <c r="B4044" t="str">
        <f t="shared" si="200"/>
        <v>DX</v>
      </c>
      <c r="C4044" s="14" t="s">
        <v>142</v>
      </c>
      <c r="D4044" s="18">
        <f>VLOOKUP(C4044,'DISTRIBUIÇÃO NF4267'!$E$3:$FQ$75,MATCH(B4044,'DISTRIBUIÇÃO NF4267'!$E$3:$FQ$3,0)+1,0)</f>
        <v>2</v>
      </c>
      <c r="F4044" s="28">
        <f t="shared" si="201"/>
        <v>3</v>
      </c>
    </row>
    <row r="4045" spans="1:6" x14ac:dyDescent="0.35">
      <c r="A4045">
        <f t="shared" si="202"/>
        <v>0</v>
      </c>
      <c r="B4045" t="str">
        <f t="shared" si="200"/>
        <v>DX</v>
      </c>
      <c r="C4045" s="14" t="s">
        <v>143</v>
      </c>
      <c r="D4045" s="18">
        <f>VLOOKUP(C4045,'DISTRIBUIÇÃO NF4267'!$E$3:$FQ$75,MATCH(B4045,'DISTRIBUIÇÃO NF4267'!$E$3:$FQ$3,0)+1,0)</f>
        <v>0</v>
      </c>
      <c r="F4045" s="28">
        <f t="shared" si="201"/>
        <v>3</v>
      </c>
    </row>
    <row r="4046" spans="1:6" x14ac:dyDescent="0.35">
      <c r="A4046">
        <f t="shared" si="202"/>
        <v>0</v>
      </c>
      <c r="B4046" t="str">
        <f t="shared" si="200"/>
        <v>DX</v>
      </c>
      <c r="C4046" s="15" t="s">
        <v>145</v>
      </c>
      <c r="D4046" s="18">
        <f>VLOOKUP(C4046,'DISTRIBUIÇÃO NF4267'!$E$3:$FQ$75,MATCH(B4046,'DISTRIBUIÇÃO NF4267'!$E$3:$FQ$3,0)+1,0)</f>
        <v>0</v>
      </c>
      <c r="F4046" s="28">
        <f t="shared" si="201"/>
        <v>3</v>
      </c>
    </row>
    <row r="4047" spans="1:6" x14ac:dyDescent="0.35">
      <c r="A4047">
        <f t="shared" si="202"/>
        <v>0</v>
      </c>
      <c r="B4047" t="str">
        <f t="shared" si="200"/>
        <v>DX</v>
      </c>
      <c r="C4047" s="15" t="s">
        <v>146</v>
      </c>
      <c r="D4047" s="18">
        <f>VLOOKUP(C4047,'DISTRIBUIÇÃO NF4267'!$E$3:$FQ$75,MATCH(B4047,'DISTRIBUIÇÃO NF4267'!$E$3:$FQ$3,0)+1,0)</f>
        <v>2</v>
      </c>
      <c r="F4047" s="28">
        <f t="shared" si="201"/>
        <v>3</v>
      </c>
    </row>
    <row r="4048" spans="1:6" x14ac:dyDescent="0.35">
      <c r="A4048">
        <f t="shared" si="202"/>
        <v>0</v>
      </c>
      <c r="B4048" t="str">
        <f t="shared" si="200"/>
        <v>DX</v>
      </c>
      <c r="C4048" s="15" t="s">
        <v>147</v>
      </c>
      <c r="D4048" s="18">
        <f>VLOOKUP(C4048,'DISTRIBUIÇÃO NF4267'!$E$3:$FQ$75,MATCH(B4048,'DISTRIBUIÇÃO NF4267'!$E$3:$FQ$3,0)+1,0)</f>
        <v>4</v>
      </c>
      <c r="F4048" s="28">
        <f t="shared" si="201"/>
        <v>3</v>
      </c>
    </row>
    <row r="4049" spans="1:6" x14ac:dyDescent="0.35">
      <c r="A4049">
        <f t="shared" si="202"/>
        <v>0</v>
      </c>
      <c r="B4049" t="str">
        <f t="shared" si="200"/>
        <v>DX</v>
      </c>
      <c r="C4049" s="15" t="s">
        <v>148</v>
      </c>
      <c r="D4049" s="18">
        <f>VLOOKUP(C4049,'DISTRIBUIÇÃO NF4267'!$E$3:$FQ$75,MATCH(B4049,'DISTRIBUIÇÃO NF4267'!$E$3:$FQ$3,0)+1,0)</f>
        <v>2</v>
      </c>
      <c r="F4049" s="28">
        <f t="shared" si="201"/>
        <v>3</v>
      </c>
    </row>
    <row r="4050" spans="1:6" x14ac:dyDescent="0.35">
      <c r="A4050">
        <f t="shared" si="202"/>
        <v>0</v>
      </c>
      <c r="B4050" t="str">
        <f t="shared" si="200"/>
        <v>DX</v>
      </c>
      <c r="C4050" s="15" t="s">
        <v>149</v>
      </c>
      <c r="D4050" s="18">
        <f>VLOOKUP(C4050,'DISTRIBUIÇÃO NF4267'!$E$3:$FQ$75,MATCH(B4050,'DISTRIBUIÇÃO NF4267'!$E$3:$FQ$3,0)+1,0)</f>
        <v>2</v>
      </c>
      <c r="F4050" s="28">
        <f t="shared" si="201"/>
        <v>3</v>
      </c>
    </row>
    <row r="4051" spans="1:6" x14ac:dyDescent="0.35">
      <c r="A4051">
        <f t="shared" si="202"/>
        <v>0</v>
      </c>
      <c r="B4051" t="str">
        <f t="shared" si="200"/>
        <v>DX</v>
      </c>
      <c r="C4051" s="15" t="s">
        <v>150</v>
      </c>
      <c r="D4051" s="18">
        <f>VLOOKUP(C4051,'DISTRIBUIÇÃO NF4267'!$E$3:$FQ$75,MATCH(B4051,'DISTRIBUIÇÃO NF4267'!$E$3:$FQ$3,0)+1,0)</f>
        <v>0</v>
      </c>
      <c r="F4051" s="28">
        <f t="shared" si="201"/>
        <v>3</v>
      </c>
    </row>
    <row r="4052" spans="1:6" x14ac:dyDescent="0.35">
      <c r="A4052">
        <f t="shared" si="202"/>
        <v>0</v>
      </c>
      <c r="B4052" t="s">
        <v>83</v>
      </c>
      <c r="C4052" s="7" t="s">
        <v>98</v>
      </c>
      <c r="D4052" s="18">
        <f>VLOOKUP(C4052,'DISTRIBUIÇÃO NF4267'!$E$3:$FQ$75,MATCH(B4052,'DISTRIBUIÇÃO NF4267'!$E$3:$FQ$3,0)+1,0)</f>
        <v>0</v>
      </c>
      <c r="F4052" s="28">
        <f t="shared" si="201"/>
        <v>3</v>
      </c>
    </row>
    <row r="4053" spans="1:6" x14ac:dyDescent="0.35">
      <c r="A4053">
        <f t="shared" si="202"/>
        <v>0</v>
      </c>
      <c r="B4053" t="str">
        <f>B4052</f>
        <v>R3</v>
      </c>
      <c r="C4053" s="7" t="s">
        <v>99</v>
      </c>
      <c r="D4053" s="18">
        <f>VLOOKUP(C4053,'DISTRIBUIÇÃO NF4267'!$E$3:$FQ$75,MATCH(B4053,'DISTRIBUIÇÃO NF4267'!$E$3:$FQ$3,0)+1,0)</f>
        <v>4</v>
      </c>
      <c r="F4053" s="28">
        <f t="shared" si="201"/>
        <v>3</v>
      </c>
    </row>
    <row r="4054" spans="1:6" x14ac:dyDescent="0.35">
      <c r="A4054">
        <f t="shared" si="202"/>
        <v>0</v>
      </c>
      <c r="B4054" t="str">
        <f t="shared" ref="B4054:B4105" si="203">B4053</f>
        <v>R3</v>
      </c>
      <c r="C4054" s="7" t="s">
        <v>100</v>
      </c>
      <c r="D4054" s="18">
        <f>VLOOKUP(C4054,'DISTRIBUIÇÃO NF4267'!$E$3:$FQ$75,MATCH(B4054,'DISTRIBUIÇÃO NF4267'!$E$3:$FQ$3,0)+1,0)</f>
        <v>8</v>
      </c>
      <c r="F4054" s="28">
        <f t="shared" si="201"/>
        <v>3</v>
      </c>
    </row>
    <row r="4055" spans="1:6" x14ac:dyDescent="0.35">
      <c r="A4055">
        <f t="shared" si="202"/>
        <v>0</v>
      </c>
      <c r="B4055" t="str">
        <f t="shared" si="203"/>
        <v>R3</v>
      </c>
      <c r="C4055" s="7" t="s">
        <v>101</v>
      </c>
      <c r="D4055" s="18">
        <f>VLOOKUP(C4055,'DISTRIBUIÇÃO NF4267'!$E$3:$FQ$75,MATCH(B4055,'DISTRIBUIÇÃO NF4267'!$E$3:$FQ$3,0)+1,0)</f>
        <v>4</v>
      </c>
      <c r="F4055" s="28">
        <f t="shared" si="201"/>
        <v>3</v>
      </c>
    </row>
    <row r="4056" spans="1:6" x14ac:dyDescent="0.35">
      <c r="A4056">
        <f t="shared" si="202"/>
        <v>0</v>
      </c>
      <c r="B4056" t="str">
        <f t="shared" si="203"/>
        <v>R3</v>
      </c>
      <c r="C4056" s="7" t="s">
        <v>102</v>
      </c>
      <c r="D4056" s="18">
        <f>VLOOKUP(C4056,'DISTRIBUIÇÃO NF4267'!$E$3:$FQ$75,MATCH(B4056,'DISTRIBUIÇÃO NF4267'!$E$3:$FQ$3,0)+1,0)</f>
        <v>4</v>
      </c>
      <c r="F4056" s="28">
        <f t="shared" si="201"/>
        <v>3</v>
      </c>
    </row>
    <row r="4057" spans="1:6" x14ac:dyDescent="0.35">
      <c r="A4057">
        <f t="shared" si="202"/>
        <v>0</v>
      </c>
      <c r="B4057" t="str">
        <f t="shared" si="203"/>
        <v>R3</v>
      </c>
      <c r="C4057" s="7" t="s">
        <v>103</v>
      </c>
      <c r="D4057" s="18">
        <f>VLOOKUP(C4057,'DISTRIBUIÇÃO NF4267'!$E$3:$FQ$75,MATCH(B4057,'DISTRIBUIÇÃO NF4267'!$E$3:$FQ$3,0)+1,0)</f>
        <v>0</v>
      </c>
      <c r="F4057" s="28">
        <f t="shared" si="201"/>
        <v>3</v>
      </c>
    </row>
    <row r="4058" spans="1:6" x14ac:dyDescent="0.35">
      <c r="A4058">
        <f t="shared" si="202"/>
        <v>0</v>
      </c>
      <c r="B4058" t="str">
        <f t="shared" si="203"/>
        <v>R3</v>
      </c>
      <c r="C4058" s="8" t="s">
        <v>107</v>
      </c>
      <c r="D4058" s="18">
        <f>VLOOKUP(C4058,'DISTRIBUIÇÃO NF4267'!$E$3:$FQ$75,MATCH(B4058,'DISTRIBUIÇÃO NF4267'!$E$3:$FQ$3,0)+1,0)</f>
        <v>0</v>
      </c>
      <c r="F4058" s="28">
        <f t="shared" si="201"/>
        <v>3</v>
      </c>
    </row>
    <row r="4059" spans="1:6" x14ac:dyDescent="0.35">
      <c r="A4059">
        <f t="shared" si="202"/>
        <v>0</v>
      </c>
      <c r="B4059" t="str">
        <f t="shared" si="203"/>
        <v>R3</v>
      </c>
      <c r="C4059" s="8" t="s">
        <v>108</v>
      </c>
      <c r="D4059" s="18">
        <f>VLOOKUP(C4059,'DISTRIBUIÇÃO NF4267'!$E$3:$FQ$75,MATCH(B4059,'DISTRIBUIÇÃO NF4267'!$E$3:$FQ$3,0)+1,0)</f>
        <v>2</v>
      </c>
      <c r="F4059" s="28">
        <f t="shared" si="201"/>
        <v>3</v>
      </c>
    </row>
    <row r="4060" spans="1:6" x14ac:dyDescent="0.35">
      <c r="A4060">
        <f t="shared" si="202"/>
        <v>0</v>
      </c>
      <c r="B4060" t="str">
        <f t="shared" si="203"/>
        <v>R3</v>
      </c>
      <c r="C4060" s="8" t="s">
        <v>109</v>
      </c>
      <c r="D4060" s="18">
        <f>VLOOKUP(C4060,'DISTRIBUIÇÃO NF4267'!$E$3:$FQ$75,MATCH(B4060,'DISTRIBUIÇÃO NF4267'!$E$3:$FQ$3,0)+1,0)</f>
        <v>4</v>
      </c>
      <c r="F4060" s="28">
        <f t="shared" si="201"/>
        <v>3</v>
      </c>
    </row>
    <row r="4061" spans="1:6" x14ac:dyDescent="0.35">
      <c r="A4061">
        <f t="shared" si="202"/>
        <v>0</v>
      </c>
      <c r="B4061" t="str">
        <f t="shared" si="203"/>
        <v>R3</v>
      </c>
      <c r="C4061" s="8" t="s">
        <v>110</v>
      </c>
      <c r="D4061" s="18">
        <f>VLOOKUP(C4061,'DISTRIBUIÇÃO NF4267'!$E$3:$FQ$75,MATCH(B4061,'DISTRIBUIÇÃO NF4267'!$E$3:$FQ$3,0)+1,0)</f>
        <v>2</v>
      </c>
      <c r="F4061" s="28">
        <f t="shared" si="201"/>
        <v>3</v>
      </c>
    </row>
    <row r="4062" spans="1:6" x14ac:dyDescent="0.35">
      <c r="A4062">
        <f t="shared" si="202"/>
        <v>0</v>
      </c>
      <c r="B4062" t="str">
        <f t="shared" si="203"/>
        <v>R3</v>
      </c>
      <c r="C4062" s="8" t="s">
        <v>111</v>
      </c>
      <c r="D4062" s="18">
        <f>VLOOKUP(C4062,'DISTRIBUIÇÃO NF4267'!$E$3:$FQ$75,MATCH(B4062,'DISTRIBUIÇÃO NF4267'!$E$3:$FQ$3,0)+1,0)</f>
        <v>2</v>
      </c>
      <c r="F4062" s="28">
        <f t="shared" si="201"/>
        <v>3</v>
      </c>
    </row>
    <row r="4063" spans="1:6" x14ac:dyDescent="0.35">
      <c r="A4063">
        <f t="shared" si="202"/>
        <v>0</v>
      </c>
      <c r="B4063" t="str">
        <f t="shared" si="203"/>
        <v>R3</v>
      </c>
      <c r="C4063" s="8" t="s">
        <v>112</v>
      </c>
      <c r="D4063" s="18">
        <f>VLOOKUP(C4063,'DISTRIBUIÇÃO NF4267'!$E$3:$FQ$75,MATCH(B4063,'DISTRIBUIÇÃO NF4267'!$E$3:$FQ$3,0)+1,0)</f>
        <v>0</v>
      </c>
      <c r="F4063" s="28">
        <f t="shared" si="201"/>
        <v>3</v>
      </c>
    </row>
    <row r="4064" spans="1:6" x14ac:dyDescent="0.35">
      <c r="A4064">
        <f t="shared" si="202"/>
        <v>0</v>
      </c>
      <c r="B4064" t="str">
        <f t="shared" si="203"/>
        <v>R3</v>
      </c>
      <c r="C4064" s="9" t="s">
        <v>113</v>
      </c>
      <c r="D4064" s="18">
        <f>VLOOKUP(C4064,'DISTRIBUIÇÃO NF4267'!$E$3:$FQ$75,MATCH(B4064,'DISTRIBUIÇÃO NF4267'!$E$3:$FQ$3,0)+1,0)</f>
        <v>0</v>
      </c>
      <c r="F4064" s="28">
        <f t="shared" si="201"/>
        <v>3</v>
      </c>
    </row>
    <row r="4065" spans="1:6" x14ac:dyDescent="0.35">
      <c r="A4065">
        <f t="shared" si="202"/>
        <v>0</v>
      </c>
      <c r="B4065" t="str">
        <f t="shared" si="203"/>
        <v>R3</v>
      </c>
      <c r="C4065" s="9" t="s">
        <v>114</v>
      </c>
      <c r="D4065" s="18">
        <f>VLOOKUP(C4065,'DISTRIBUIÇÃO NF4267'!$E$3:$FQ$75,MATCH(B4065,'DISTRIBUIÇÃO NF4267'!$E$3:$FQ$3,0)+1,0)</f>
        <v>3</v>
      </c>
      <c r="F4065" s="28">
        <f t="shared" si="201"/>
        <v>3</v>
      </c>
    </row>
    <row r="4066" spans="1:6" x14ac:dyDescent="0.35">
      <c r="A4066">
        <f t="shared" si="202"/>
        <v>0</v>
      </c>
      <c r="B4066" t="str">
        <f t="shared" si="203"/>
        <v>R3</v>
      </c>
      <c r="C4066" s="9" t="s">
        <v>115</v>
      </c>
      <c r="D4066" s="18">
        <f>VLOOKUP(C4066,'DISTRIBUIÇÃO NF4267'!$E$3:$FQ$75,MATCH(B4066,'DISTRIBUIÇÃO NF4267'!$E$3:$FQ$3,0)+1,0)</f>
        <v>4</v>
      </c>
      <c r="F4066" s="28">
        <f t="shared" si="201"/>
        <v>3</v>
      </c>
    </row>
    <row r="4067" spans="1:6" x14ac:dyDescent="0.35">
      <c r="A4067">
        <f t="shared" si="202"/>
        <v>0</v>
      </c>
      <c r="B4067" t="str">
        <f t="shared" si="203"/>
        <v>R3</v>
      </c>
      <c r="C4067" s="9" t="s">
        <v>116</v>
      </c>
      <c r="D4067" s="18">
        <f>VLOOKUP(C4067,'DISTRIBUIÇÃO NF4267'!$E$3:$FQ$75,MATCH(B4067,'DISTRIBUIÇÃO NF4267'!$E$3:$FQ$3,0)+1,0)</f>
        <v>2</v>
      </c>
      <c r="F4067" s="28">
        <f t="shared" si="201"/>
        <v>3</v>
      </c>
    </row>
    <row r="4068" spans="1:6" x14ac:dyDescent="0.35">
      <c r="A4068">
        <f t="shared" si="202"/>
        <v>0</v>
      </c>
      <c r="B4068" t="str">
        <f t="shared" si="203"/>
        <v>R3</v>
      </c>
      <c r="C4068" s="9" t="s">
        <v>117</v>
      </c>
      <c r="D4068" s="18">
        <f>VLOOKUP(C4068,'DISTRIBUIÇÃO NF4267'!$E$3:$FQ$75,MATCH(B4068,'DISTRIBUIÇÃO NF4267'!$E$3:$FQ$3,0)+1,0)</f>
        <v>1</v>
      </c>
      <c r="F4068" s="28">
        <f t="shared" si="201"/>
        <v>3</v>
      </c>
    </row>
    <row r="4069" spans="1:6" x14ac:dyDescent="0.35">
      <c r="A4069">
        <f t="shared" si="202"/>
        <v>0</v>
      </c>
      <c r="B4069" t="str">
        <f t="shared" si="203"/>
        <v>R3</v>
      </c>
      <c r="C4069" s="9" t="s">
        <v>118</v>
      </c>
      <c r="D4069" s="18">
        <f>VLOOKUP(C4069,'DISTRIBUIÇÃO NF4267'!$E$3:$FQ$75,MATCH(B4069,'DISTRIBUIÇÃO NF4267'!$E$3:$FQ$3,0)+1,0)</f>
        <v>0</v>
      </c>
      <c r="F4069" s="28">
        <f t="shared" si="201"/>
        <v>3</v>
      </c>
    </row>
    <row r="4070" spans="1:6" x14ac:dyDescent="0.35">
      <c r="A4070">
        <f t="shared" si="202"/>
        <v>0</v>
      </c>
      <c r="B4070" t="str">
        <f t="shared" si="203"/>
        <v>R3</v>
      </c>
      <c r="C4070" s="10" t="s">
        <v>119</v>
      </c>
      <c r="D4070" s="18">
        <f>VLOOKUP(C4070,'DISTRIBUIÇÃO NF4267'!$E$3:$FQ$75,MATCH(B4070,'DISTRIBUIÇÃO NF4267'!$E$3:$FQ$3,0)+1,0)</f>
        <v>0</v>
      </c>
      <c r="F4070" s="28">
        <f t="shared" si="201"/>
        <v>3</v>
      </c>
    </row>
    <row r="4071" spans="1:6" x14ac:dyDescent="0.35">
      <c r="A4071">
        <f t="shared" si="202"/>
        <v>0</v>
      </c>
      <c r="B4071" t="str">
        <f t="shared" si="203"/>
        <v>R3</v>
      </c>
      <c r="C4071" s="10" t="s">
        <v>120</v>
      </c>
      <c r="D4071" s="18">
        <f>VLOOKUP(C4071,'DISTRIBUIÇÃO NF4267'!$E$3:$FQ$75,MATCH(B4071,'DISTRIBUIÇÃO NF4267'!$E$3:$FQ$3,0)+1,0)</f>
        <v>48</v>
      </c>
      <c r="F4071" s="28">
        <f t="shared" si="201"/>
        <v>3</v>
      </c>
    </row>
    <row r="4072" spans="1:6" x14ac:dyDescent="0.35">
      <c r="A4072">
        <f t="shared" si="202"/>
        <v>0</v>
      </c>
      <c r="B4072" t="str">
        <f t="shared" si="203"/>
        <v>R3</v>
      </c>
      <c r="C4072" s="10" t="s">
        <v>121</v>
      </c>
      <c r="D4072" s="18">
        <f>VLOOKUP(C4072,'DISTRIBUIÇÃO NF4267'!$E$3:$FQ$75,MATCH(B4072,'DISTRIBUIÇÃO NF4267'!$E$3:$FQ$3,0)+1,0)</f>
        <v>16</v>
      </c>
      <c r="F4072" s="28">
        <f t="shared" si="201"/>
        <v>3</v>
      </c>
    </row>
    <row r="4073" spans="1:6" x14ac:dyDescent="0.35">
      <c r="A4073">
        <f t="shared" si="202"/>
        <v>0</v>
      </c>
      <c r="B4073" t="str">
        <f t="shared" si="203"/>
        <v>R3</v>
      </c>
      <c r="C4073" s="10" t="s">
        <v>122</v>
      </c>
      <c r="D4073" s="18">
        <f>VLOOKUP(C4073,'DISTRIBUIÇÃO NF4267'!$E$3:$FQ$75,MATCH(B4073,'DISTRIBUIÇÃO NF4267'!$E$3:$FQ$3,0)+1,0)</f>
        <v>16</v>
      </c>
      <c r="F4073" s="28">
        <f t="shared" si="201"/>
        <v>3</v>
      </c>
    </row>
    <row r="4074" spans="1:6" x14ac:dyDescent="0.35">
      <c r="A4074">
        <f t="shared" si="202"/>
        <v>0</v>
      </c>
      <c r="B4074" t="str">
        <f t="shared" si="203"/>
        <v>R3</v>
      </c>
      <c r="C4074" s="10" t="s">
        <v>123</v>
      </c>
      <c r="D4074" s="18">
        <f>VLOOKUP(C4074,'DISTRIBUIÇÃO NF4267'!$E$3:$FQ$75,MATCH(B4074,'DISTRIBUIÇÃO NF4267'!$E$3:$FQ$3,0)+1,0)</f>
        <v>0</v>
      </c>
      <c r="F4074" s="28">
        <f t="shared" si="201"/>
        <v>3</v>
      </c>
    </row>
    <row r="4075" spans="1:6" x14ac:dyDescent="0.35">
      <c r="A4075">
        <f t="shared" si="202"/>
        <v>0</v>
      </c>
      <c r="B4075" t="str">
        <f t="shared" si="203"/>
        <v>R3</v>
      </c>
      <c r="C4075" s="10" t="s">
        <v>124</v>
      </c>
      <c r="D4075" s="18">
        <f>VLOOKUP(C4075,'DISTRIBUIÇÃO NF4267'!$E$3:$FQ$75,MATCH(B4075,'DISTRIBUIÇÃO NF4267'!$E$3:$FQ$3,0)+1,0)</f>
        <v>0</v>
      </c>
      <c r="F4075" s="28">
        <f t="shared" si="201"/>
        <v>3</v>
      </c>
    </row>
    <row r="4076" spans="1:6" x14ac:dyDescent="0.35">
      <c r="A4076">
        <f t="shared" si="202"/>
        <v>0</v>
      </c>
      <c r="B4076" t="str">
        <f t="shared" si="203"/>
        <v>R3</v>
      </c>
      <c r="C4076" s="11" t="s">
        <v>16</v>
      </c>
      <c r="D4076" s="18">
        <f>VLOOKUP(C4076,'DISTRIBUIÇÃO NF4267'!$E$3:$FQ$75,MATCH(B4076,'DISTRIBUIÇÃO NF4267'!$E$3:$FQ$3,0)+1,0)</f>
        <v>0</v>
      </c>
      <c r="F4076" s="28">
        <f t="shared" si="201"/>
        <v>3</v>
      </c>
    </row>
    <row r="4077" spans="1:6" x14ac:dyDescent="0.35">
      <c r="A4077">
        <f t="shared" si="202"/>
        <v>0</v>
      </c>
      <c r="B4077" t="str">
        <f t="shared" si="203"/>
        <v>R3</v>
      </c>
      <c r="C4077" s="11" t="s">
        <v>17</v>
      </c>
      <c r="D4077" s="18">
        <f>VLOOKUP(C4077,'DISTRIBUIÇÃO NF4267'!$E$3:$FQ$75,MATCH(B4077,'DISTRIBUIÇÃO NF4267'!$E$3:$FQ$3,0)+1,0)</f>
        <v>9</v>
      </c>
      <c r="F4077" s="28">
        <f t="shared" si="201"/>
        <v>3</v>
      </c>
    </row>
    <row r="4078" spans="1:6" x14ac:dyDescent="0.35">
      <c r="A4078">
        <f t="shared" si="202"/>
        <v>0</v>
      </c>
      <c r="B4078" t="str">
        <f t="shared" si="203"/>
        <v>R3</v>
      </c>
      <c r="C4078" s="11" t="s">
        <v>18</v>
      </c>
      <c r="D4078" s="18">
        <f>VLOOKUP(C4078,'DISTRIBUIÇÃO NF4267'!$E$3:$FQ$75,MATCH(B4078,'DISTRIBUIÇÃO NF4267'!$E$3:$FQ$3,0)+1,0)</f>
        <v>3</v>
      </c>
      <c r="F4078" s="28">
        <f t="shared" si="201"/>
        <v>3</v>
      </c>
    </row>
    <row r="4079" spans="1:6" x14ac:dyDescent="0.35">
      <c r="A4079">
        <f t="shared" si="202"/>
        <v>0</v>
      </c>
      <c r="B4079" t="str">
        <f t="shared" si="203"/>
        <v>R3</v>
      </c>
      <c r="C4079" s="11" t="s">
        <v>19</v>
      </c>
      <c r="D4079" s="18">
        <f>VLOOKUP(C4079,'DISTRIBUIÇÃO NF4267'!$E$3:$FQ$75,MATCH(B4079,'DISTRIBUIÇÃO NF4267'!$E$3:$FQ$3,0)+1,0)</f>
        <v>3</v>
      </c>
      <c r="F4079" s="28">
        <f t="shared" si="201"/>
        <v>3</v>
      </c>
    </row>
    <row r="4080" spans="1:6" x14ac:dyDescent="0.35">
      <c r="A4080">
        <f t="shared" si="202"/>
        <v>0</v>
      </c>
      <c r="B4080" t="str">
        <f t="shared" si="203"/>
        <v>R3</v>
      </c>
      <c r="C4080" s="11" t="s">
        <v>20</v>
      </c>
      <c r="D4080" s="18">
        <f>VLOOKUP(C4080,'DISTRIBUIÇÃO NF4267'!$E$3:$FQ$75,MATCH(B4080,'DISTRIBUIÇÃO NF4267'!$E$3:$FQ$3,0)+1,0)</f>
        <v>15</v>
      </c>
      <c r="F4080" s="28">
        <f t="shared" si="201"/>
        <v>3</v>
      </c>
    </row>
    <row r="4081" spans="1:6" x14ac:dyDescent="0.35">
      <c r="A4081">
        <f t="shared" si="202"/>
        <v>0</v>
      </c>
      <c r="B4081" t="str">
        <f t="shared" si="203"/>
        <v>R3</v>
      </c>
      <c r="C4081" s="11" t="s">
        <v>21</v>
      </c>
      <c r="D4081" s="18">
        <f>VLOOKUP(C4081,'DISTRIBUIÇÃO NF4267'!$E$3:$FQ$75,MATCH(B4081,'DISTRIBUIÇÃO NF4267'!$E$3:$FQ$3,0)+1,0)</f>
        <v>0</v>
      </c>
      <c r="F4081" s="28">
        <f t="shared" si="201"/>
        <v>3</v>
      </c>
    </row>
    <row r="4082" spans="1:6" x14ac:dyDescent="0.35">
      <c r="A4082">
        <f t="shared" si="202"/>
        <v>0</v>
      </c>
      <c r="B4082" t="str">
        <f t="shared" si="203"/>
        <v>R3</v>
      </c>
      <c r="C4082" s="12" t="s">
        <v>130</v>
      </c>
      <c r="D4082" s="18">
        <f>VLOOKUP(C4082,'DISTRIBUIÇÃO NF4267'!$E$3:$FQ$75,MATCH(B4082,'DISTRIBUIÇÃO NF4267'!$E$3:$FQ$3,0)+1,0)</f>
        <v>0</v>
      </c>
      <c r="F4082" s="28">
        <f t="shared" si="201"/>
        <v>3</v>
      </c>
    </row>
    <row r="4083" spans="1:6" x14ac:dyDescent="0.35">
      <c r="A4083">
        <f t="shared" si="202"/>
        <v>0</v>
      </c>
      <c r="B4083" t="str">
        <f t="shared" si="203"/>
        <v>R3</v>
      </c>
      <c r="C4083" s="12" t="s">
        <v>131</v>
      </c>
      <c r="D4083" s="18">
        <f>VLOOKUP(C4083,'DISTRIBUIÇÃO NF4267'!$E$3:$FQ$75,MATCH(B4083,'DISTRIBUIÇÃO NF4267'!$E$3:$FQ$3,0)+1,0)</f>
        <v>0</v>
      </c>
      <c r="F4083" s="28">
        <f t="shared" si="201"/>
        <v>3</v>
      </c>
    </row>
    <row r="4084" spans="1:6" x14ac:dyDescent="0.35">
      <c r="A4084">
        <f t="shared" si="202"/>
        <v>0</v>
      </c>
      <c r="B4084" t="str">
        <f t="shared" si="203"/>
        <v>R3</v>
      </c>
      <c r="C4084" s="12" t="s">
        <v>132</v>
      </c>
      <c r="D4084" s="18">
        <f>VLOOKUP(C4084,'DISTRIBUIÇÃO NF4267'!$E$3:$FQ$75,MATCH(B4084,'DISTRIBUIÇÃO NF4267'!$E$3:$FQ$3,0)+1,0)</f>
        <v>0</v>
      </c>
      <c r="F4084" s="28">
        <f t="shared" si="201"/>
        <v>3</v>
      </c>
    </row>
    <row r="4085" spans="1:6" x14ac:dyDescent="0.35">
      <c r="A4085">
        <f t="shared" si="202"/>
        <v>0</v>
      </c>
      <c r="B4085" t="str">
        <f t="shared" si="203"/>
        <v>R3</v>
      </c>
      <c r="C4085" s="12" t="s">
        <v>133</v>
      </c>
      <c r="D4085" s="18">
        <f>VLOOKUP(C4085,'DISTRIBUIÇÃO NF4267'!$E$3:$FQ$75,MATCH(B4085,'DISTRIBUIÇÃO NF4267'!$E$3:$FQ$3,0)+1,0)</f>
        <v>0</v>
      </c>
      <c r="F4085" s="28">
        <f t="shared" si="201"/>
        <v>3</v>
      </c>
    </row>
    <row r="4086" spans="1:6" x14ac:dyDescent="0.35">
      <c r="A4086">
        <f t="shared" si="202"/>
        <v>0</v>
      </c>
      <c r="B4086" t="str">
        <f t="shared" si="203"/>
        <v>R3</v>
      </c>
      <c r="C4086" s="12" t="s">
        <v>134</v>
      </c>
      <c r="D4086" s="18">
        <f>VLOOKUP(C4086,'DISTRIBUIÇÃO NF4267'!$E$3:$FQ$75,MATCH(B4086,'DISTRIBUIÇÃO NF4267'!$E$3:$FQ$3,0)+1,0)</f>
        <v>0</v>
      </c>
      <c r="F4086" s="28">
        <f t="shared" si="201"/>
        <v>3</v>
      </c>
    </row>
    <row r="4087" spans="1:6" x14ac:dyDescent="0.35">
      <c r="A4087">
        <f t="shared" si="202"/>
        <v>0</v>
      </c>
      <c r="B4087" t="str">
        <f t="shared" si="203"/>
        <v>R3</v>
      </c>
      <c r="C4087" s="12" t="s">
        <v>135</v>
      </c>
      <c r="D4087" s="18">
        <f>VLOOKUP(C4087,'DISTRIBUIÇÃO NF4267'!$E$3:$FQ$75,MATCH(B4087,'DISTRIBUIÇÃO NF4267'!$E$3:$FQ$3,0)+1,0)</f>
        <v>0</v>
      </c>
      <c r="F4087" s="28">
        <f t="shared" si="201"/>
        <v>3</v>
      </c>
    </row>
    <row r="4088" spans="1:6" x14ac:dyDescent="0.35">
      <c r="A4088">
        <f t="shared" si="202"/>
        <v>0</v>
      </c>
      <c r="B4088" t="str">
        <f t="shared" si="203"/>
        <v>R3</v>
      </c>
      <c r="C4088" s="13" t="s">
        <v>22</v>
      </c>
      <c r="D4088" s="18">
        <f>VLOOKUP(C4088,'DISTRIBUIÇÃO NF4267'!$E$3:$FQ$75,MATCH(B4088,'DISTRIBUIÇÃO NF4267'!$E$3:$FQ$3,0)+1,0)</f>
        <v>0</v>
      </c>
      <c r="F4088" s="28">
        <f t="shared" ref="F4088:F4151" si="204">ROUNDUP(SUMIFS(D:D,B:B,B4088)/80,0)</f>
        <v>3</v>
      </c>
    </row>
    <row r="4089" spans="1:6" x14ac:dyDescent="0.35">
      <c r="A4089">
        <f t="shared" si="202"/>
        <v>0</v>
      </c>
      <c r="B4089" t="str">
        <f t="shared" si="203"/>
        <v>R3</v>
      </c>
      <c r="C4089" s="13" t="s">
        <v>23</v>
      </c>
      <c r="D4089" s="18">
        <f>VLOOKUP(C4089,'DISTRIBUIÇÃO NF4267'!$E$3:$FQ$75,MATCH(B4089,'DISTRIBUIÇÃO NF4267'!$E$3:$FQ$3,0)+1,0)</f>
        <v>0</v>
      </c>
      <c r="F4089" s="28">
        <f t="shared" si="204"/>
        <v>3</v>
      </c>
    </row>
    <row r="4090" spans="1:6" x14ac:dyDescent="0.35">
      <c r="A4090">
        <f t="shared" si="202"/>
        <v>0</v>
      </c>
      <c r="B4090" t="str">
        <f t="shared" si="203"/>
        <v>R3</v>
      </c>
      <c r="C4090" s="13" t="s">
        <v>24</v>
      </c>
      <c r="D4090" s="18">
        <f>VLOOKUP(C4090,'DISTRIBUIÇÃO NF4267'!$E$3:$FQ$75,MATCH(B4090,'DISTRIBUIÇÃO NF4267'!$E$3:$FQ$3,0)+1,0)</f>
        <v>0</v>
      </c>
      <c r="F4090" s="28">
        <f t="shared" si="204"/>
        <v>3</v>
      </c>
    </row>
    <row r="4091" spans="1:6" x14ac:dyDescent="0.35">
      <c r="A4091">
        <f t="shared" si="202"/>
        <v>0</v>
      </c>
      <c r="B4091" t="str">
        <f t="shared" si="203"/>
        <v>R3</v>
      </c>
      <c r="C4091" s="13" t="s">
        <v>25</v>
      </c>
      <c r="D4091" s="18">
        <f>VLOOKUP(C4091,'DISTRIBUIÇÃO NF4267'!$E$3:$FQ$75,MATCH(B4091,'DISTRIBUIÇÃO NF4267'!$E$3:$FQ$3,0)+1,0)</f>
        <v>0</v>
      </c>
      <c r="F4091" s="28">
        <f t="shared" si="204"/>
        <v>3</v>
      </c>
    </row>
    <row r="4092" spans="1:6" x14ac:dyDescent="0.35">
      <c r="A4092">
        <f t="shared" si="202"/>
        <v>0</v>
      </c>
      <c r="B4092" t="str">
        <f t="shared" si="203"/>
        <v>R3</v>
      </c>
      <c r="C4092" s="13" t="s">
        <v>26</v>
      </c>
      <c r="D4092" s="18">
        <f>VLOOKUP(C4092,'DISTRIBUIÇÃO NF4267'!$E$3:$FQ$75,MATCH(B4092,'DISTRIBUIÇÃO NF4267'!$E$3:$FQ$3,0)+1,0)</f>
        <v>0</v>
      </c>
      <c r="F4092" s="28">
        <f t="shared" si="204"/>
        <v>3</v>
      </c>
    </row>
    <row r="4093" spans="1:6" x14ac:dyDescent="0.35">
      <c r="A4093">
        <f t="shared" si="202"/>
        <v>0</v>
      </c>
      <c r="B4093" t="str">
        <f t="shared" si="203"/>
        <v>R3</v>
      </c>
      <c r="C4093" s="13" t="s">
        <v>27</v>
      </c>
      <c r="D4093" s="18">
        <f>VLOOKUP(C4093,'DISTRIBUIÇÃO NF4267'!$E$3:$FQ$75,MATCH(B4093,'DISTRIBUIÇÃO NF4267'!$E$3:$FQ$3,0)+1,0)</f>
        <v>0</v>
      </c>
      <c r="F4093" s="28">
        <f t="shared" si="204"/>
        <v>3</v>
      </c>
    </row>
    <row r="4094" spans="1:6" x14ac:dyDescent="0.35">
      <c r="A4094">
        <f t="shared" si="202"/>
        <v>0</v>
      </c>
      <c r="B4094" t="str">
        <f t="shared" si="203"/>
        <v>R3</v>
      </c>
      <c r="C4094" s="14" t="s">
        <v>138</v>
      </c>
      <c r="D4094" s="18">
        <f>VLOOKUP(C4094,'DISTRIBUIÇÃO NF4267'!$E$3:$FQ$75,MATCH(B4094,'DISTRIBUIÇÃO NF4267'!$E$3:$FQ$3,0)+1,0)</f>
        <v>0</v>
      </c>
      <c r="F4094" s="28">
        <f t="shared" si="204"/>
        <v>3</v>
      </c>
    </row>
    <row r="4095" spans="1:6" x14ac:dyDescent="0.35">
      <c r="A4095">
        <f t="shared" si="202"/>
        <v>0</v>
      </c>
      <c r="B4095" t="str">
        <f t="shared" si="203"/>
        <v>R3</v>
      </c>
      <c r="C4095" s="14" t="s">
        <v>139</v>
      </c>
      <c r="D4095" s="18">
        <f>VLOOKUP(C4095,'DISTRIBUIÇÃO NF4267'!$E$3:$FQ$75,MATCH(B4095,'DISTRIBUIÇÃO NF4267'!$E$3:$FQ$3,0)+1,0)</f>
        <v>2</v>
      </c>
      <c r="F4095" s="28">
        <f t="shared" si="204"/>
        <v>3</v>
      </c>
    </row>
    <row r="4096" spans="1:6" x14ac:dyDescent="0.35">
      <c r="A4096">
        <f t="shared" si="202"/>
        <v>0</v>
      </c>
      <c r="B4096" t="str">
        <f t="shared" si="203"/>
        <v>R3</v>
      </c>
      <c r="C4096" s="14" t="s">
        <v>140</v>
      </c>
      <c r="D4096" s="18">
        <f>VLOOKUP(C4096,'DISTRIBUIÇÃO NF4267'!$E$3:$FQ$75,MATCH(B4096,'DISTRIBUIÇÃO NF4267'!$E$3:$FQ$3,0)+1,0)</f>
        <v>4</v>
      </c>
      <c r="F4096" s="28">
        <f t="shared" si="204"/>
        <v>3</v>
      </c>
    </row>
    <row r="4097" spans="1:6" x14ac:dyDescent="0.35">
      <c r="A4097">
        <f t="shared" si="202"/>
        <v>0</v>
      </c>
      <c r="B4097" t="str">
        <f t="shared" si="203"/>
        <v>R3</v>
      </c>
      <c r="C4097" s="14" t="s">
        <v>141</v>
      </c>
      <c r="D4097" s="18">
        <f>VLOOKUP(C4097,'DISTRIBUIÇÃO NF4267'!$E$3:$FQ$75,MATCH(B4097,'DISTRIBUIÇÃO NF4267'!$E$3:$FQ$3,0)+1,0)</f>
        <v>2</v>
      </c>
      <c r="F4097" s="28">
        <f t="shared" si="204"/>
        <v>3</v>
      </c>
    </row>
    <row r="4098" spans="1:6" x14ac:dyDescent="0.35">
      <c r="A4098">
        <f t="shared" ref="A4098:A4161" si="205">IF(ISERROR(VLOOKUP(C4098,I:I,1,0)),0,1)</f>
        <v>0</v>
      </c>
      <c r="B4098" t="str">
        <f t="shared" si="203"/>
        <v>R3</v>
      </c>
      <c r="C4098" s="14" t="s">
        <v>142</v>
      </c>
      <c r="D4098" s="18">
        <f>VLOOKUP(C4098,'DISTRIBUIÇÃO NF4267'!$E$3:$FQ$75,MATCH(B4098,'DISTRIBUIÇÃO NF4267'!$E$3:$FQ$3,0)+1,0)</f>
        <v>2</v>
      </c>
      <c r="F4098" s="28">
        <f t="shared" si="204"/>
        <v>3</v>
      </c>
    </row>
    <row r="4099" spans="1:6" x14ac:dyDescent="0.35">
      <c r="A4099">
        <f t="shared" si="205"/>
        <v>0</v>
      </c>
      <c r="B4099" t="str">
        <f t="shared" si="203"/>
        <v>R3</v>
      </c>
      <c r="C4099" s="14" t="s">
        <v>143</v>
      </c>
      <c r="D4099" s="18">
        <f>VLOOKUP(C4099,'DISTRIBUIÇÃO NF4267'!$E$3:$FQ$75,MATCH(B4099,'DISTRIBUIÇÃO NF4267'!$E$3:$FQ$3,0)+1,0)</f>
        <v>0</v>
      </c>
      <c r="F4099" s="28">
        <f t="shared" si="204"/>
        <v>3</v>
      </c>
    </row>
    <row r="4100" spans="1:6" x14ac:dyDescent="0.35">
      <c r="A4100">
        <f t="shared" si="205"/>
        <v>0</v>
      </c>
      <c r="B4100" t="str">
        <f t="shared" si="203"/>
        <v>R3</v>
      </c>
      <c r="C4100" s="15" t="s">
        <v>145</v>
      </c>
      <c r="D4100" s="18">
        <f>VLOOKUP(C4100,'DISTRIBUIÇÃO NF4267'!$E$3:$FQ$75,MATCH(B4100,'DISTRIBUIÇÃO NF4267'!$E$3:$FQ$3,0)+1,0)</f>
        <v>0</v>
      </c>
      <c r="F4100" s="28">
        <f t="shared" si="204"/>
        <v>3</v>
      </c>
    </row>
    <row r="4101" spans="1:6" x14ac:dyDescent="0.35">
      <c r="A4101">
        <f t="shared" si="205"/>
        <v>0</v>
      </c>
      <c r="B4101" t="str">
        <f t="shared" si="203"/>
        <v>R3</v>
      </c>
      <c r="C4101" s="15" t="s">
        <v>146</v>
      </c>
      <c r="D4101" s="18">
        <f>VLOOKUP(C4101,'DISTRIBUIÇÃO NF4267'!$E$3:$FQ$75,MATCH(B4101,'DISTRIBUIÇÃO NF4267'!$E$3:$FQ$3,0)+1,0)</f>
        <v>2</v>
      </c>
      <c r="F4101" s="28">
        <f t="shared" si="204"/>
        <v>3</v>
      </c>
    </row>
    <row r="4102" spans="1:6" x14ac:dyDescent="0.35">
      <c r="A4102">
        <f t="shared" si="205"/>
        <v>0</v>
      </c>
      <c r="B4102" t="str">
        <f t="shared" si="203"/>
        <v>R3</v>
      </c>
      <c r="C4102" s="15" t="s">
        <v>147</v>
      </c>
      <c r="D4102" s="18">
        <f>VLOOKUP(C4102,'DISTRIBUIÇÃO NF4267'!$E$3:$FQ$75,MATCH(B4102,'DISTRIBUIÇÃO NF4267'!$E$3:$FQ$3,0)+1,0)</f>
        <v>4</v>
      </c>
      <c r="F4102" s="28">
        <f t="shared" si="204"/>
        <v>3</v>
      </c>
    </row>
    <row r="4103" spans="1:6" x14ac:dyDescent="0.35">
      <c r="A4103">
        <f t="shared" si="205"/>
        <v>0</v>
      </c>
      <c r="B4103" t="str">
        <f t="shared" si="203"/>
        <v>R3</v>
      </c>
      <c r="C4103" s="15" t="s">
        <v>148</v>
      </c>
      <c r="D4103" s="18">
        <f>VLOOKUP(C4103,'DISTRIBUIÇÃO NF4267'!$E$3:$FQ$75,MATCH(B4103,'DISTRIBUIÇÃO NF4267'!$E$3:$FQ$3,0)+1,0)</f>
        <v>2</v>
      </c>
      <c r="F4103" s="28">
        <f t="shared" si="204"/>
        <v>3</v>
      </c>
    </row>
    <row r="4104" spans="1:6" x14ac:dyDescent="0.35">
      <c r="A4104">
        <f t="shared" si="205"/>
        <v>0</v>
      </c>
      <c r="B4104" t="str">
        <f t="shared" si="203"/>
        <v>R3</v>
      </c>
      <c r="C4104" s="15" t="s">
        <v>149</v>
      </c>
      <c r="D4104" s="18">
        <f>VLOOKUP(C4104,'DISTRIBUIÇÃO NF4267'!$E$3:$FQ$75,MATCH(B4104,'DISTRIBUIÇÃO NF4267'!$E$3:$FQ$3,0)+1,0)</f>
        <v>2</v>
      </c>
      <c r="F4104" s="28">
        <f t="shared" si="204"/>
        <v>3</v>
      </c>
    </row>
    <row r="4105" spans="1:6" x14ac:dyDescent="0.35">
      <c r="A4105">
        <f t="shared" si="205"/>
        <v>0</v>
      </c>
      <c r="B4105" t="str">
        <f t="shared" si="203"/>
        <v>R3</v>
      </c>
      <c r="C4105" s="15" t="s">
        <v>150</v>
      </c>
      <c r="D4105" s="18">
        <f>VLOOKUP(C4105,'DISTRIBUIÇÃO NF4267'!$E$3:$FQ$75,MATCH(B4105,'DISTRIBUIÇÃO NF4267'!$E$3:$FQ$3,0)+1,0)</f>
        <v>0</v>
      </c>
      <c r="F4105" s="28">
        <f t="shared" si="204"/>
        <v>3</v>
      </c>
    </row>
    <row r="4106" spans="1:6" x14ac:dyDescent="0.35">
      <c r="A4106">
        <f t="shared" si="205"/>
        <v>0</v>
      </c>
      <c r="B4106" t="s">
        <v>84</v>
      </c>
      <c r="C4106" s="7" t="s">
        <v>98</v>
      </c>
      <c r="D4106" s="18">
        <f>VLOOKUP(C4106,'DISTRIBUIÇÃO NF4267'!$E$3:$FQ$75,MATCH(B4106,'DISTRIBUIÇÃO NF4267'!$E$3:$FQ$3,0)+1,0)</f>
        <v>0</v>
      </c>
      <c r="F4106" s="28">
        <f t="shared" si="204"/>
        <v>3</v>
      </c>
    </row>
    <row r="4107" spans="1:6" x14ac:dyDescent="0.35">
      <c r="A4107">
        <f t="shared" si="205"/>
        <v>0</v>
      </c>
      <c r="B4107" t="str">
        <f>B4106</f>
        <v>R2</v>
      </c>
      <c r="C4107" s="7" t="s">
        <v>99</v>
      </c>
      <c r="D4107" s="18">
        <f>VLOOKUP(C4107,'DISTRIBUIÇÃO NF4267'!$E$3:$FQ$75,MATCH(B4107,'DISTRIBUIÇÃO NF4267'!$E$3:$FQ$3,0)+1,0)</f>
        <v>4</v>
      </c>
      <c r="F4107" s="28">
        <f t="shared" si="204"/>
        <v>3</v>
      </c>
    </row>
    <row r="4108" spans="1:6" x14ac:dyDescent="0.35">
      <c r="A4108">
        <f t="shared" si="205"/>
        <v>0</v>
      </c>
      <c r="B4108" t="str">
        <f t="shared" ref="B4108:B4159" si="206">B4107</f>
        <v>R2</v>
      </c>
      <c r="C4108" s="7" t="s">
        <v>100</v>
      </c>
      <c r="D4108" s="18">
        <f>VLOOKUP(C4108,'DISTRIBUIÇÃO NF4267'!$E$3:$FQ$75,MATCH(B4108,'DISTRIBUIÇÃO NF4267'!$E$3:$FQ$3,0)+1,0)</f>
        <v>8</v>
      </c>
      <c r="F4108" s="28">
        <f t="shared" si="204"/>
        <v>3</v>
      </c>
    </row>
    <row r="4109" spans="1:6" x14ac:dyDescent="0.35">
      <c r="A4109">
        <f t="shared" si="205"/>
        <v>0</v>
      </c>
      <c r="B4109" t="str">
        <f t="shared" si="206"/>
        <v>R2</v>
      </c>
      <c r="C4109" s="7" t="s">
        <v>101</v>
      </c>
      <c r="D4109" s="18">
        <f>VLOOKUP(C4109,'DISTRIBUIÇÃO NF4267'!$E$3:$FQ$75,MATCH(B4109,'DISTRIBUIÇÃO NF4267'!$E$3:$FQ$3,0)+1,0)</f>
        <v>4</v>
      </c>
      <c r="F4109" s="28">
        <f t="shared" si="204"/>
        <v>3</v>
      </c>
    </row>
    <row r="4110" spans="1:6" x14ac:dyDescent="0.35">
      <c r="A4110">
        <f t="shared" si="205"/>
        <v>0</v>
      </c>
      <c r="B4110" t="str">
        <f t="shared" si="206"/>
        <v>R2</v>
      </c>
      <c r="C4110" s="7" t="s">
        <v>102</v>
      </c>
      <c r="D4110" s="18">
        <f>VLOOKUP(C4110,'DISTRIBUIÇÃO NF4267'!$E$3:$FQ$75,MATCH(B4110,'DISTRIBUIÇÃO NF4267'!$E$3:$FQ$3,0)+1,0)</f>
        <v>4</v>
      </c>
      <c r="F4110" s="28">
        <f t="shared" si="204"/>
        <v>3</v>
      </c>
    </row>
    <row r="4111" spans="1:6" x14ac:dyDescent="0.35">
      <c r="A4111">
        <f t="shared" si="205"/>
        <v>0</v>
      </c>
      <c r="B4111" t="str">
        <f t="shared" si="206"/>
        <v>R2</v>
      </c>
      <c r="C4111" s="7" t="s">
        <v>103</v>
      </c>
      <c r="D4111" s="18">
        <f>VLOOKUP(C4111,'DISTRIBUIÇÃO NF4267'!$E$3:$FQ$75,MATCH(B4111,'DISTRIBUIÇÃO NF4267'!$E$3:$FQ$3,0)+1,0)</f>
        <v>0</v>
      </c>
      <c r="F4111" s="28">
        <f t="shared" si="204"/>
        <v>3</v>
      </c>
    </row>
    <row r="4112" spans="1:6" x14ac:dyDescent="0.35">
      <c r="A4112">
        <f t="shared" si="205"/>
        <v>0</v>
      </c>
      <c r="B4112" t="str">
        <f t="shared" si="206"/>
        <v>R2</v>
      </c>
      <c r="C4112" s="8" t="s">
        <v>107</v>
      </c>
      <c r="D4112" s="18">
        <f>VLOOKUP(C4112,'DISTRIBUIÇÃO NF4267'!$E$3:$FQ$75,MATCH(B4112,'DISTRIBUIÇÃO NF4267'!$E$3:$FQ$3,0)+1,0)</f>
        <v>0</v>
      </c>
      <c r="F4112" s="28">
        <f t="shared" si="204"/>
        <v>3</v>
      </c>
    </row>
    <row r="4113" spans="1:6" x14ac:dyDescent="0.35">
      <c r="A4113">
        <f t="shared" si="205"/>
        <v>0</v>
      </c>
      <c r="B4113" t="str">
        <f t="shared" si="206"/>
        <v>R2</v>
      </c>
      <c r="C4113" s="8" t="s">
        <v>108</v>
      </c>
      <c r="D4113" s="18">
        <f>VLOOKUP(C4113,'DISTRIBUIÇÃO NF4267'!$E$3:$FQ$75,MATCH(B4113,'DISTRIBUIÇÃO NF4267'!$E$3:$FQ$3,0)+1,0)</f>
        <v>2</v>
      </c>
      <c r="F4113" s="28">
        <f t="shared" si="204"/>
        <v>3</v>
      </c>
    </row>
    <row r="4114" spans="1:6" x14ac:dyDescent="0.35">
      <c r="A4114">
        <f t="shared" si="205"/>
        <v>0</v>
      </c>
      <c r="B4114" t="str">
        <f t="shared" si="206"/>
        <v>R2</v>
      </c>
      <c r="C4114" s="8" t="s">
        <v>109</v>
      </c>
      <c r="D4114" s="18">
        <f>VLOOKUP(C4114,'DISTRIBUIÇÃO NF4267'!$E$3:$FQ$75,MATCH(B4114,'DISTRIBUIÇÃO NF4267'!$E$3:$FQ$3,0)+1,0)</f>
        <v>4</v>
      </c>
      <c r="F4114" s="28">
        <f t="shared" si="204"/>
        <v>3</v>
      </c>
    </row>
    <row r="4115" spans="1:6" x14ac:dyDescent="0.35">
      <c r="A4115">
        <f t="shared" si="205"/>
        <v>0</v>
      </c>
      <c r="B4115" t="str">
        <f t="shared" si="206"/>
        <v>R2</v>
      </c>
      <c r="C4115" s="8" t="s">
        <v>110</v>
      </c>
      <c r="D4115" s="18">
        <f>VLOOKUP(C4115,'DISTRIBUIÇÃO NF4267'!$E$3:$FQ$75,MATCH(B4115,'DISTRIBUIÇÃO NF4267'!$E$3:$FQ$3,0)+1,0)</f>
        <v>2</v>
      </c>
      <c r="F4115" s="28">
        <f t="shared" si="204"/>
        <v>3</v>
      </c>
    </row>
    <row r="4116" spans="1:6" x14ac:dyDescent="0.35">
      <c r="A4116">
        <f t="shared" si="205"/>
        <v>0</v>
      </c>
      <c r="B4116" t="str">
        <f t="shared" si="206"/>
        <v>R2</v>
      </c>
      <c r="C4116" s="8" t="s">
        <v>111</v>
      </c>
      <c r="D4116" s="18">
        <f>VLOOKUP(C4116,'DISTRIBUIÇÃO NF4267'!$E$3:$FQ$75,MATCH(B4116,'DISTRIBUIÇÃO NF4267'!$E$3:$FQ$3,0)+1,0)</f>
        <v>2</v>
      </c>
      <c r="F4116" s="28">
        <f t="shared" si="204"/>
        <v>3</v>
      </c>
    </row>
    <row r="4117" spans="1:6" x14ac:dyDescent="0.35">
      <c r="A4117">
        <f t="shared" si="205"/>
        <v>0</v>
      </c>
      <c r="B4117" t="str">
        <f t="shared" si="206"/>
        <v>R2</v>
      </c>
      <c r="C4117" s="8" t="s">
        <v>112</v>
      </c>
      <c r="D4117" s="18">
        <f>VLOOKUP(C4117,'DISTRIBUIÇÃO NF4267'!$E$3:$FQ$75,MATCH(B4117,'DISTRIBUIÇÃO NF4267'!$E$3:$FQ$3,0)+1,0)</f>
        <v>0</v>
      </c>
      <c r="F4117" s="28">
        <f t="shared" si="204"/>
        <v>3</v>
      </c>
    </row>
    <row r="4118" spans="1:6" x14ac:dyDescent="0.35">
      <c r="A4118">
        <f t="shared" si="205"/>
        <v>0</v>
      </c>
      <c r="B4118" t="str">
        <f t="shared" si="206"/>
        <v>R2</v>
      </c>
      <c r="C4118" s="9" t="s">
        <v>113</v>
      </c>
      <c r="D4118" s="18">
        <f>VLOOKUP(C4118,'DISTRIBUIÇÃO NF4267'!$E$3:$FQ$75,MATCH(B4118,'DISTRIBUIÇÃO NF4267'!$E$3:$FQ$3,0)+1,0)</f>
        <v>0</v>
      </c>
      <c r="F4118" s="28">
        <f t="shared" si="204"/>
        <v>3</v>
      </c>
    </row>
    <row r="4119" spans="1:6" x14ac:dyDescent="0.35">
      <c r="A4119">
        <f t="shared" si="205"/>
        <v>0</v>
      </c>
      <c r="B4119" t="str">
        <f t="shared" si="206"/>
        <v>R2</v>
      </c>
      <c r="C4119" s="9" t="s">
        <v>114</v>
      </c>
      <c r="D4119" s="18">
        <f>VLOOKUP(C4119,'DISTRIBUIÇÃO NF4267'!$E$3:$FQ$75,MATCH(B4119,'DISTRIBUIÇÃO NF4267'!$E$3:$FQ$3,0)+1,0)</f>
        <v>3</v>
      </c>
      <c r="F4119" s="28">
        <f t="shared" si="204"/>
        <v>3</v>
      </c>
    </row>
    <row r="4120" spans="1:6" x14ac:dyDescent="0.35">
      <c r="A4120">
        <f t="shared" si="205"/>
        <v>0</v>
      </c>
      <c r="B4120" t="str">
        <f t="shared" si="206"/>
        <v>R2</v>
      </c>
      <c r="C4120" s="9" t="s">
        <v>115</v>
      </c>
      <c r="D4120" s="18">
        <f>VLOOKUP(C4120,'DISTRIBUIÇÃO NF4267'!$E$3:$FQ$75,MATCH(B4120,'DISTRIBUIÇÃO NF4267'!$E$3:$FQ$3,0)+1,0)</f>
        <v>4</v>
      </c>
      <c r="F4120" s="28">
        <f t="shared" si="204"/>
        <v>3</v>
      </c>
    </row>
    <row r="4121" spans="1:6" x14ac:dyDescent="0.35">
      <c r="A4121">
        <f t="shared" si="205"/>
        <v>0</v>
      </c>
      <c r="B4121" t="str">
        <f t="shared" si="206"/>
        <v>R2</v>
      </c>
      <c r="C4121" s="9" t="s">
        <v>116</v>
      </c>
      <c r="D4121" s="18">
        <f>VLOOKUP(C4121,'DISTRIBUIÇÃO NF4267'!$E$3:$FQ$75,MATCH(B4121,'DISTRIBUIÇÃO NF4267'!$E$3:$FQ$3,0)+1,0)</f>
        <v>2</v>
      </c>
      <c r="F4121" s="28">
        <f t="shared" si="204"/>
        <v>3</v>
      </c>
    </row>
    <row r="4122" spans="1:6" x14ac:dyDescent="0.35">
      <c r="A4122">
        <f t="shared" si="205"/>
        <v>0</v>
      </c>
      <c r="B4122" t="str">
        <f t="shared" si="206"/>
        <v>R2</v>
      </c>
      <c r="C4122" s="9" t="s">
        <v>117</v>
      </c>
      <c r="D4122" s="18">
        <f>VLOOKUP(C4122,'DISTRIBUIÇÃO NF4267'!$E$3:$FQ$75,MATCH(B4122,'DISTRIBUIÇÃO NF4267'!$E$3:$FQ$3,0)+1,0)</f>
        <v>1</v>
      </c>
      <c r="F4122" s="28">
        <f t="shared" si="204"/>
        <v>3</v>
      </c>
    </row>
    <row r="4123" spans="1:6" x14ac:dyDescent="0.35">
      <c r="A4123">
        <f t="shared" si="205"/>
        <v>0</v>
      </c>
      <c r="B4123" t="str">
        <f t="shared" si="206"/>
        <v>R2</v>
      </c>
      <c r="C4123" s="9" t="s">
        <v>118</v>
      </c>
      <c r="D4123" s="18">
        <f>VLOOKUP(C4123,'DISTRIBUIÇÃO NF4267'!$E$3:$FQ$75,MATCH(B4123,'DISTRIBUIÇÃO NF4267'!$E$3:$FQ$3,0)+1,0)</f>
        <v>0</v>
      </c>
      <c r="F4123" s="28">
        <f t="shared" si="204"/>
        <v>3</v>
      </c>
    </row>
    <row r="4124" spans="1:6" x14ac:dyDescent="0.35">
      <c r="A4124">
        <f t="shared" si="205"/>
        <v>0</v>
      </c>
      <c r="B4124" t="str">
        <f t="shared" si="206"/>
        <v>R2</v>
      </c>
      <c r="C4124" s="10" t="s">
        <v>119</v>
      </c>
      <c r="D4124" s="18">
        <f>VLOOKUP(C4124,'DISTRIBUIÇÃO NF4267'!$E$3:$FQ$75,MATCH(B4124,'DISTRIBUIÇÃO NF4267'!$E$3:$FQ$3,0)+1,0)</f>
        <v>0</v>
      </c>
      <c r="F4124" s="28">
        <f t="shared" si="204"/>
        <v>3</v>
      </c>
    </row>
    <row r="4125" spans="1:6" x14ac:dyDescent="0.35">
      <c r="A4125">
        <f t="shared" si="205"/>
        <v>0</v>
      </c>
      <c r="B4125" t="str">
        <f t="shared" si="206"/>
        <v>R2</v>
      </c>
      <c r="C4125" s="10" t="s">
        <v>120</v>
      </c>
      <c r="D4125" s="18">
        <f>VLOOKUP(C4125,'DISTRIBUIÇÃO NF4267'!$E$3:$FQ$75,MATCH(B4125,'DISTRIBUIÇÃO NF4267'!$E$3:$FQ$3,0)+1,0)</f>
        <v>48</v>
      </c>
      <c r="F4125" s="28">
        <f t="shared" si="204"/>
        <v>3</v>
      </c>
    </row>
    <row r="4126" spans="1:6" x14ac:dyDescent="0.35">
      <c r="A4126">
        <f t="shared" si="205"/>
        <v>0</v>
      </c>
      <c r="B4126" t="str">
        <f t="shared" si="206"/>
        <v>R2</v>
      </c>
      <c r="C4126" s="10" t="s">
        <v>121</v>
      </c>
      <c r="D4126" s="18">
        <f>VLOOKUP(C4126,'DISTRIBUIÇÃO NF4267'!$E$3:$FQ$75,MATCH(B4126,'DISTRIBUIÇÃO NF4267'!$E$3:$FQ$3,0)+1,0)</f>
        <v>16</v>
      </c>
      <c r="F4126" s="28">
        <f t="shared" si="204"/>
        <v>3</v>
      </c>
    </row>
    <row r="4127" spans="1:6" x14ac:dyDescent="0.35">
      <c r="A4127">
        <f t="shared" si="205"/>
        <v>0</v>
      </c>
      <c r="B4127" t="str">
        <f t="shared" si="206"/>
        <v>R2</v>
      </c>
      <c r="C4127" s="10" t="s">
        <v>122</v>
      </c>
      <c r="D4127" s="18">
        <f>VLOOKUP(C4127,'DISTRIBUIÇÃO NF4267'!$E$3:$FQ$75,MATCH(B4127,'DISTRIBUIÇÃO NF4267'!$E$3:$FQ$3,0)+1,0)</f>
        <v>16</v>
      </c>
      <c r="F4127" s="28">
        <f t="shared" si="204"/>
        <v>3</v>
      </c>
    </row>
    <row r="4128" spans="1:6" x14ac:dyDescent="0.35">
      <c r="A4128">
        <f t="shared" si="205"/>
        <v>0</v>
      </c>
      <c r="B4128" t="str">
        <f t="shared" si="206"/>
        <v>R2</v>
      </c>
      <c r="C4128" s="10" t="s">
        <v>123</v>
      </c>
      <c r="D4128" s="18">
        <f>VLOOKUP(C4128,'DISTRIBUIÇÃO NF4267'!$E$3:$FQ$75,MATCH(B4128,'DISTRIBUIÇÃO NF4267'!$E$3:$FQ$3,0)+1,0)</f>
        <v>0</v>
      </c>
      <c r="F4128" s="28">
        <f t="shared" si="204"/>
        <v>3</v>
      </c>
    </row>
    <row r="4129" spans="1:6" x14ac:dyDescent="0.35">
      <c r="A4129">
        <f t="shared" si="205"/>
        <v>0</v>
      </c>
      <c r="B4129" t="str">
        <f t="shared" si="206"/>
        <v>R2</v>
      </c>
      <c r="C4129" s="10" t="s">
        <v>124</v>
      </c>
      <c r="D4129" s="18">
        <f>VLOOKUP(C4129,'DISTRIBUIÇÃO NF4267'!$E$3:$FQ$75,MATCH(B4129,'DISTRIBUIÇÃO NF4267'!$E$3:$FQ$3,0)+1,0)</f>
        <v>0</v>
      </c>
      <c r="F4129" s="28">
        <f t="shared" si="204"/>
        <v>3</v>
      </c>
    </row>
    <row r="4130" spans="1:6" x14ac:dyDescent="0.35">
      <c r="A4130">
        <f t="shared" si="205"/>
        <v>0</v>
      </c>
      <c r="B4130" t="str">
        <f t="shared" si="206"/>
        <v>R2</v>
      </c>
      <c r="C4130" s="11" t="s">
        <v>16</v>
      </c>
      <c r="D4130" s="18">
        <f>VLOOKUP(C4130,'DISTRIBUIÇÃO NF4267'!$E$3:$FQ$75,MATCH(B4130,'DISTRIBUIÇÃO NF4267'!$E$3:$FQ$3,0)+1,0)</f>
        <v>0</v>
      </c>
      <c r="F4130" s="28">
        <f t="shared" si="204"/>
        <v>3</v>
      </c>
    </row>
    <row r="4131" spans="1:6" x14ac:dyDescent="0.35">
      <c r="A4131">
        <f t="shared" si="205"/>
        <v>0</v>
      </c>
      <c r="B4131" t="str">
        <f t="shared" si="206"/>
        <v>R2</v>
      </c>
      <c r="C4131" s="11" t="s">
        <v>17</v>
      </c>
      <c r="D4131" s="18">
        <f>VLOOKUP(C4131,'DISTRIBUIÇÃO NF4267'!$E$3:$FQ$75,MATCH(B4131,'DISTRIBUIÇÃO NF4267'!$E$3:$FQ$3,0)+1,0)</f>
        <v>9</v>
      </c>
      <c r="F4131" s="28">
        <f t="shared" si="204"/>
        <v>3</v>
      </c>
    </row>
    <row r="4132" spans="1:6" x14ac:dyDescent="0.35">
      <c r="A4132">
        <f t="shared" si="205"/>
        <v>0</v>
      </c>
      <c r="B4132" t="str">
        <f t="shared" si="206"/>
        <v>R2</v>
      </c>
      <c r="C4132" s="11" t="s">
        <v>18</v>
      </c>
      <c r="D4132" s="18">
        <f>VLOOKUP(C4132,'DISTRIBUIÇÃO NF4267'!$E$3:$FQ$75,MATCH(B4132,'DISTRIBUIÇÃO NF4267'!$E$3:$FQ$3,0)+1,0)</f>
        <v>3</v>
      </c>
      <c r="F4132" s="28">
        <f t="shared" si="204"/>
        <v>3</v>
      </c>
    </row>
    <row r="4133" spans="1:6" x14ac:dyDescent="0.35">
      <c r="A4133">
        <f t="shared" si="205"/>
        <v>0</v>
      </c>
      <c r="B4133" t="str">
        <f t="shared" si="206"/>
        <v>R2</v>
      </c>
      <c r="C4133" s="11" t="s">
        <v>19</v>
      </c>
      <c r="D4133" s="18">
        <f>VLOOKUP(C4133,'DISTRIBUIÇÃO NF4267'!$E$3:$FQ$75,MATCH(B4133,'DISTRIBUIÇÃO NF4267'!$E$3:$FQ$3,0)+1,0)</f>
        <v>3</v>
      </c>
      <c r="F4133" s="28">
        <f t="shared" si="204"/>
        <v>3</v>
      </c>
    </row>
    <row r="4134" spans="1:6" x14ac:dyDescent="0.35">
      <c r="A4134">
        <f t="shared" si="205"/>
        <v>0</v>
      </c>
      <c r="B4134" t="str">
        <f t="shared" si="206"/>
        <v>R2</v>
      </c>
      <c r="C4134" s="11" t="s">
        <v>20</v>
      </c>
      <c r="D4134" s="18">
        <f>VLOOKUP(C4134,'DISTRIBUIÇÃO NF4267'!$E$3:$FQ$75,MATCH(B4134,'DISTRIBUIÇÃO NF4267'!$E$3:$FQ$3,0)+1,0)</f>
        <v>15</v>
      </c>
      <c r="F4134" s="28">
        <f t="shared" si="204"/>
        <v>3</v>
      </c>
    </row>
    <row r="4135" spans="1:6" x14ac:dyDescent="0.35">
      <c r="A4135">
        <f t="shared" si="205"/>
        <v>0</v>
      </c>
      <c r="B4135" t="str">
        <f t="shared" si="206"/>
        <v>R2</v>
      </c>
      <c r="C4135" s="11" t="s">
        <v>21</v>
      </c>
      <c r="D4135" s="18">
        <f>VLOOKUP(C4135,'DISTRIBUIÇÃO NF4267'!$E$3:$FQ$75,MATCH(B4135,'DISTRIBUIÇÃO NF4267'!$E$3:$FQ$3,0)+1,0)</f>
        <v>0</v>
      </c>
      <c r="F4135" s="28">
        <f t="shared" si="204"/>
        <v>3</v>
      </c>
    </row>
    <row r="4136" spans="1:6" x14ac:dyDescent="0.35">
      <c r="A4136">
        <f t="shared" si="205"/>
        <v>0</v>
      </c>
      <c r="B4136" t="str">
        <f t="shared" si="206"/>
        <v>R2</v>
      </c>
      <c r="C4136" s="12" t="s">
        <v>130</v>
      </c>
      <c r="D4136" s="18">
        <f>VLOOKUP(C4136,'DISTRIBUIÇÃO NF4267'!$E$3:$FQ$75,MATCH(B4136,'DISTRIBUIÇÃO NF4267'!$E$3:$FQ$3,0)+1,0)</f>
        <v>0</v>
      </c>
      <c r="F4136" s="28">
        <f t="shared" si="204"/>
        <v>3</v>
      </c>
    </row>
    <row r="4137" spans="1:6" x14ac:dyDescent="0.35">
      <c r="A4137">
        <f t="shared" si="205"/>
        <v>0</v>
      </c>
      <c r="B4137" t="str">
        <f t="shared" si="206"/>
        <v>R2</v>
      </c>
      <c r="C4137" s="12" t="s">
        <v>131</v>
      </c>
      <c r="D4137" s="18">
        <f>VLOOKUP(C4137,'DISTRIBUIÇÃO NF4267'!$E$3:$FQ$75,MATCH(B4137,'DISTRIBUIÇÃO NF4267'!$E$3:$FQ$3,0)+1,0)</f>
        <v>0</v>
      </c>
      <c r="F4137" s="28">
        <f t="shared" si="204"/>
        <v>3</v>
      </c>
    </row>
    <row r="4138" spans="1:6" x14ac:dyDescent="0.35">
      <c r="A4138">
        <f t="shared" si="205"/>
        <v>0</v>
      </c>
      <c r="B4138" t="str">
        <f t="shared" si="206"/>
        <v>R2</v>
      </c>
      <c r="C4138" s="12" t="s">
        <v>132</v>
      </c>
      <c r="D4138" s="18">
        <f>VLOOKUP(C4138,'DISTRIBUIÇÃO NF4267'!$E$3:$FQ$75,MATCH(B4138,'DISTRIBUIÇÃO NF4267'!$E$3:$FQ$3,0)+1,0)</f>
        <v>0</v>
      </c>
      <c r="F4138" s="28">
        <f t="shared" si="204"/>
        <v>3</v>
      </c>
    </row>
    <row r="4139" spans="1:6" x14ac:dyDescent="0.35">
      <c r="A4139">
        <f t="shared" si="205"/>
        <v>0</v>
      </c>
      <c r="B4139" t="str">
        <f t="shared" si="206"/>
        <v>R2</v>
      </c>
      <c r="C4139" s="12" t="s">
        <v>133</v>
      </c>
      <c r="D4139" s="18">
        <f>VLOOKUP(C4139,'DISTRIBUIÇÃO NF4267'!$E$3:$FQ$75,MATCH(B4139,'DISTRIBUIÇÃO NF4267'!$E$3:$FQ$3,0)+1,0)</f>
        <v>0</v>
      </c>
      <c r="F4139" s="28">
        <f t="shared" si="204"/>
        <v>3</v>
      </c>
    </row>
    <row r="4140" spans="1:6" x14ac:dyDescent="0.35">
      <c r="A4140">
        <f t="shared" si="205"/>
        <v>0</v>
      </c>
      <c r="B4140" t="str">
        <f t="shared" si="206"/>
        <v>R2</v>
      </c>
      <c r="C4140" s="12" t="s">
        <v>134</v>
      </c>
      <c r="D4140" s="18">
        <f>VLOOKUP(C4140,'DISTRIBUIÇÃO NF4267'!$E$3:$FQ$75,MATCH(B4140,'DISTRIBUIÇÃO NF4267'!$E$3:$FQ$3,0)+1,0)</f>
        <v>0</v>
      </c>
      <c r="F4140" s="28">
        <f t="shared" si="204"/>
        <v>3</v>
      </c>
    </row>
    <row r="4141" spans="1:6" x14ac:dyDescent="0.35">
      <c r="A4141">
        <f t="shared" si="205"/>
        <v>0</v>
      </c>
      <c r="B4141" t="str">
        <f t="shared" si="206"/>
        <v>R2</v>
      </c>
      <c r="C4141" s="12" t="s">
        <v>135</v>
      </c>
      <c r="D4141" s="18">
        <f>VLOOKUP(C4141,'DISTRIBUIÇÃO NF4267'!$E$3:$FQ$75,MATCH(B4141,'DISTRIBUIÇÃO NF4267'!$E$3:$FQ$3,0)+1,0)</f>
        <v>0</v>
      </c>
      <c r="F4141" s="28">
        <f t="shared" si="204"/>
        <v>3</v>
      </c>
    </row>
    <row r="4142" spans="1:6" x14ac:dyDescent="0.35">
      <c r="A4142">
        <f t="shared" si="205"/>
        <v>0</v>
      </c>
      <c r="B4142" t="str">
        <f t="shared" si="206"/>
        <v>R2</v>
      </c>
      <c r="C4142" s="13" t="s">
        <v>22</v>
      </c>
      <c r="D4142" s="18">
        <f>VLOOKUP(C4142,'DISTRIBUIÇÃO NF4267'!$E$3:$FQ$75,MATCH(B4142,'DISTRIBUIÇÃO NF4267'!$E$3:$FQ$3,0)+1,0)</f>
        <v>0</v>
      </c>
      <c r="F4142" s="28">
        <f t="shared" si="204"/>
        <v>3</v>
      </c>
    </row>
    <row r="4143" spans="1:6" x14ac:dyDescent="0.35">
      <c r="A4143">
        <f t="shared" si="205"/>
        <v>0</v>
      </c>
      <c r="B4143" t="str">
        <f t="shared" si="206"/>
        <v>R2</v>
      </c>
      <c r="C4143" s="13" t="s">
        <v>23</v>
      </c>
      <c r="D4143" s="18">
        <f>VLOOKUP(C4143,'DISTRIBUIÇÃO NF4267'!$E$3:$FQ$75,MATCH(B4143,'DISTRIBUIÇÃO NF4267'!$E$3:$FQ$3,0)+1,0)</f>
        <v>0</v>
      </c>
      <c r="F4143" s="28">
        <f t="shared" si="204"/>
        <v>3</v>
      </c>
    </row>
    <row r="4144" spans="1:6" x14ac:dyDescent="0.35">
      <c r="A4144">
        <f t="shared" si="205"/>
        <v>0</v>
      </c>
      <c r="B4144" t="str">
        <f t="shared" si="206"/>
        <v>R2</v>
      </c>
      <c r="C4144" s="13" t="s">
        <v>24</v>
      </c>
      <c r="D4144" s="18">
        <f>VLOOKUP(C4144,'DISTRIBUIÇÃO NF4267'!$E$3:$FQ$75,MATCH(B4144,'DISTRIBUIÇÃO NF4267'!$E$3:$FQ$3,0)+1,0)</f>
        <v>0</v>
      </c>
      <c r="F4144" s="28">
        <f t="shared" si="204"/>
        <v>3</v>
      </c>
    </row>
    <row r="4145" spans="1:6" x14ac:dyDescent="0.35">
      <c r="A4145">
        <f t="shared" si="205"/>
        <v>0</v>
      </c>
      <c r="B4145" t="str">
        <f t="shared" si="206"/>
        <v>R2</v>
      </c>
      <c r="C4145" s="13" t="s">
        <v>25</v>
      </c>
      <c r="D4145" s="18">
        <f>VLOOKUP(C4145,'DISTRIBUIÇÃO NF4267'!$E$3:$FQ$75,MATCH(B4145,'DISTRIBUIÇÃO NF4267'!$E$3:$FQ$3,0)+1,0)</f>
        <v>0</v>
      </c>
      <c r="F4145" s="28">
        <f t="shared" si="204"/>
        <v>3</v>
      </c>
    </row>
    <row r="4146" spans="1:6" x14ac:dyDescent="0.35">
      <c r="A4146">
        <f t="shared" si="205"/>
        <v>0</v>
      </c>
      <c r="B4146" t="str">
        <f t="shared" si="206"/>
        <v>R2</v>
      </c>
      <c r="C4146" s="13" t="s">
        <v>26</v>
      </c>
      <c r="D4146" s="18">
        <f>VLOOKUP(C4146,'DISTRIBUIÇÃO NF4267'!$E$3:$FQ$75,MATCH(B4146,'DISTRIBUIÇÃO NF4267'!$E$3:$FQ$3,0)+1,0)</f>
        <v>0</v>
      </c>
      <c r="F4146" s="28">
        <f t="shared" si="204"/>
        <v>3</v>
      </c>
    </row>
    <row r="4147" spans="1:6" x14ac:dyDescent="0.35">
      <c r="A4147">
        <f t="shared" si="205"/>
        <v>0</v>
      </c>
      <c r="B4147" t="str">
        <f t="shared" si="206"/>
        <v>R2</v>
      </c>
      <c r="C4147" s="13" t="s">
        <v>27</v>
      </c>
      <c r="D4147" s="18">
        <f>VLOOKUP(C4147,'DISTRIBUIÇÃO NF4267'!$E$3:$FQ$75,MATCH(B4147,'DISTRIBUIÇÃO NF4267'!$E$3:$FQ$3,0)+1,0)</f>
        <v>0</v>
      </c>
      <c r="F4147" s="28">
        <f t="shared" si="204"/>
        <v>3</v>
      </c>
    </row>
    <row r="4148" spans="1:6" x14ac:dyDescent="0.35">
      <c r="A4148">
        <f t="shared" si="205"/>
        <v>0</v>
      </c>
      <c r="B4148" t="str">
        <f t="shared" si="206"/>
        <v>R2</v>
      </c>
      <c r="C4148" s="14" t="s">
        <v>138</v>
      </c>
      <c r="D4148" s="18">
        <f>VLOOKUP(C4148,'DISTRIBUIÇÃO NF4267'!$E$3:$FQ$75,MATCH(B4148,'DISTRIBUIÇÃO NF4267'!$E$3:$FQ$3,0)+1,0)</f>
        <v>0</v>
      </c>
      <c r="F4148" s="28">
        <f t="shared" si="204"/>
        <v>3</v>
      </c>
    </row>
    <row r="4149" spans="1:6" x14ac:dyDescent="0.35">
      <c r="A4149">
        <f t="shared" si="205"/>
        <v>0</v>
      </c>
      <c r="B4149" t="str">
        <f t="shared" si="206"/>
        <v>R2</v>
      </c>
      <c r="C4149" s="14" t="s">
        <v>139</v>
      </c>
      <c r="D4149" s="18">
        <f>VLOOKUP(C4149,'DISTRIBUIÇÃO NF4267'!$E$3:$FQ$75,MATCH(B4149,'DISTRIBUIÇÃO NF4267'!$E$3:$FQ$3,0)+1,0)</f>
        <v>2</v>
      </c>
      <c r="F4149" s="28">
        <f t="shared" si="204"/>
        <v>3</v>
      </c>
    </row>
    <row r="4150" spans="1:6" x14ac:dyDescent="0.35">
      <c r="A4150">
        <f t="shared" si="205"/>
        <v>0</v>
      </c>
      <c r="B4150" t="str">
        <f t="shared" si="206"/>
        <v>R2</v>
      </c>
      <c r="C4150" s="14" t="s">
        <v>140</v>
      </c>
      <c r="D4150" s="18">
        <f>VLOOKUP(C4150,'DISTRIBUIÇÃO NF4267'!$E$3:$FQ$75,MATCH(B4150,'DISTRIBUIÇÃO NF4267'!$E$3:$FQ$3,0)+1,0)</f>
        <v>4</v>
      </c>
      <c r="F4150" s="28">
        <f t="shared" si="204"/>
        <v>3</v>
      </c>
    </row>
    <row r="4151" spans="1:6" x14ac:dyDescent="0.35">
      <c r="A4151">
        <f t="shared" si="205"/>
        <v>0</v>
      </c>
      <c r="B4151" t="str">
        <f t="shared" si="206"/>
        <v>R2</v>
      </c>
      <c r="C4151" s="14" t="s">
        <v>141</v>
      </c>
      <c r="D4151" s="18">
        <f>VLOOKUP(C4151,'DISTRIBUIÇÃO NF4267'!$E$3:$FQ$75,MATCH(B4151,'DISTRIBUIÇÃO NF4267'!$E$3:$FQ$3,0)+1,0)</f>
        <v>2</v>
      </c>
      <c r="F4151" s="28">
        <f t="shared" si="204"/>
        <v>3</v>
      </c>
    </row>
    <row r="4152" spans="1:6" x14ac:dyDescent="0.35">
      <c r="A4152">
        <f t="shared" si="205"/>
        <v>0</v>
      </c>
      <c r="B4152" t="str">
        <f t="shared" si="206"/>
        <v>R2</v>
      </c>
      <c r="C4152" s="14" t="s">
        <v>142</v>
      </c>
      <c r="D4152" s="18">
        <f>VLOOKUP(C4152,'DISTRIBUIÇÃO NF4267'!$E$3:$FQ$75,MATCH(B4152,'DISTRIBUIÇÃO NF4267'!$E$3:$FQ$3,0)+1,0)</f>
        <v>2</v>
      </c>
      <c r="F4152" s="28">
        <f t="shared" ref="F4152:F4215" si="207">ROUNDUP(SUMIFS(D:D,B:B,B4152)/80,0)</f>
        <v>3</v>
      </c>
    </row>
    <row r="4153" spans="1:6" x14ac:dyDescent="0.35">
      <c r="A4153">
        <f t="shared" si="205"/>
        <v>0</v>
      </c>
      <c r="B4153" t="str">
        <f t="shared" si="206"/>
        <v>R2</v>
      </c>
      <c r="C4153" s="14" t="s">
        <v>143</v>
      </c>
      <c r="D4153" s="18">
        <f>VLOOKUP(C4153,'DISTRIBUIÇÃO NF4267'!$E$3:$FQ$75,MATCH(B4153,'DISTRIBUIÇÃO NF4267'!$E$3:$FQ$3,0)+1,0)</f>
        <v>0</v>
      </c>
      <c r="F4153" s="28">
        <f t="shared" si="207"/>
        <v>3</v>
      </c>
    </row>
    <row r="4154" spans="1:6" x14ac:dyDescent="0.35">
      <c r="A4154">
        <f t="shared" si="205"/>
        <v>0</v>
      </c>
      <c r="B4154" t="str">
        <f t="shared" si="206"/>
        <v>R2</v>
      </c>
      <c r="C4154" s="15" t="s">
        <v>145</v>
      </c>
      <c r="D4154" s="18">
        <f>VLOOKUP(C4154,'DISTRIBUIÇÃO NF4267'!$E$3:$FQ$75,MATCH(B4154,'DISTRIBUIÇÃO NF4267'!$E$3:$FQ$3,0)+1,0)</f>
        <v>0</v>
      </c>
      <c r="F4154" s="28">
        <f t="shared" si="207"/>
        <v>3</v>
      </c>
    </row>
    <row r="4155" spans="1:6" x14ac:dyDescent="0.35">
      <c r="A4155">
        <f t="shared" si="205"/>
        <v>0</v>
      </c>
      <c r="B4155" t="str">
        <f t="shared" si="206"/>
        <v>R2</v>
      </c>
      <c r="C4155" s="15" t="s">
        <v>146</v>
      </c>
      <c r="D4155" s="18">
        <f>VLOOKUP(C4155,'DISTRIBUIÇÃO NF4267'!$E$3:$FQ$75,MATCH(B4155,'DISTRIBUIÇÃO NF4267'!$E$3:$FQ$3,0)+1,0)</f>
        <v>2</v>
      </c>
      <c r="F4155" s="28">
        <f t="shared" si="207"/>
        <v>3</v>
      </c>
    </row>
    <row r="4156" spans="1:6" x14ac:dyDescent="0.35">
      <c r="A4156">
        <f t="shared" si="205"/>
        <v>0</v>
      </c>
      <c r="B4156" t="str">
        <f t="shared" si="206"/>
        <v>R2</v>
      </c>
      <c r="C4156" s="15" t="s">
        <v>147</v>
      </c>
      <c r="D4156" s="18">
        <f>VLOOKUP(C4156,'DISTRIBUIÇÃO NF4267'!$E$3:$FQ$75,MATCH(B4156,'DISTRIBUIÇÃO NF4267'!$E$3:$FQ$3,0)+1,0)</f>
        <v>4</v>
      </c>
      <c r="F4156" s="28">
        <f t="shared" si="207"/>
        <v>3</v>
      </c>
    </row>
    <row r="4157" spans="1:6" x14ac:dyDescent="0.35">
      <c r="A4157">
        <f t="shared" si="205"/>
        <v>0</v>
      </c>
      <c r="B4157" t="str">
        <f t="shared" si="206"/>
        <v>R2</v>
      </c>
      <c r="C4157" s="15" t="s">
        <v>148</v>
      </c>
      <c r="D4157" s="18">
        <f>VLOOKUP(C4157,'DISTRIBUIÇÃO NF4267'!$E$3:$FQ$75,MATCH(B4157,'DISTRIBUIÇÃO NF4267'!$E$3:$FQ$3,0)+1,0)</f>
        <v>2</v>
      </c>
      <c r="F4157" s="28">
        <f t="shared" si="207"/>
        <v>3</v>
      </c>
    </row>
    <row r="4158" spans="1:6" x14ac:dyDescent="0.35">
      <c r="A4158">
        <f t="shared" si="205"/>
        <v>0</v>
      </c>
      <c r="B4158" t="str">
        <f t="shared" si="206"/>
        <v>R2</v>
      </c>
      <c r="C4158" s="15" t="s">
        <v>149</v>
      </c>
      <c r="D4158" s="18">
        <f>VLOOKUP(C4158,'DISTRIBUIÇÃO NF4267'!$E$3:$FQ$75,MATCH(B4158,'DISTRIBUIÇÃO NF4267'!$E$3:$FQ$3,0)+1,0)</f>
        <v>2</v>
      </c>
      <c r="F4158" s="28">
        <f t="shared" si="207"/>
        <v>3</v>
      </c>
    </row>
    <row r="4159" spans="1:6" x14ac:dyDescent="0.35">
      <c r="A4159">
        <f t="shared" si="205"/>
        <v>0</v>
      </c>
      <c r="B4159" t="str">
        <f t="shared" si="206"/>
        <v>R2</v>
      </c>
      <c r="C4159" s="15" t="s">
        <v>150</v>
      </c>
      <c r="D4159" s="18">
        <f>VLOOKUP(C4159,'DISTRIBUIÇÃO NF4267'!$E$3:$FQ$75,MATCH(B4159,'DISTRIBUIÇÃO NF4267'!$E$3:$FQ$3,0)+1,0)</f>
        <v>0</v>
      </c>
      <c r="F4159" s="28">
        <f t="shared" si="207"/>
        <v>3</v>
      </c>
    </row>
    <row r="4160" spans="1:6" x14ac:dyDescent="0.35">
      <c r="A4160">
        <f t="shared" si="205"/>
        <v>0</v>
      </c>
      <c r="B4160" t="s">
        <v>85</v>
      </c>
      <c r="C4160" s="7" t="s">
        <v>98</v>
      </c>
      <c r="D4160" s="18">
        <f>VLOOKUP(C4160,'DISTRIBUIÇÃO NF4267'!$E$3:$FQ$75,MATCH(B4160,'DISTRIBUIÇÃO NF4267'!$E$3:$FQ$3,0)+1,0)</f>
        <v>0</v>
      </c>
      <c r="F4160" s="28">
        <f t="shared" si="207"/>
        <v>3</v>
      </c>
    </row>
    <row r="4161" spans="1:6" x14ac:dyDescent="0.35">
      <c r="A4161">
        <f t="shared" si="205"/>
        <v>0</v>
      </c>
      <c r="B4161" t="str">
        <f>B4160</f>
        <v>GJ</v>
      </c>
      <c r="C4161" s="7" t="s">
        <v>99</v>
      </c>
      <c r="D4161" s="18">
        <f>VLOOKUP(C4161,'DISTRIBUIÇÃO NF4267'!$E$3:$FQ$75,MATCH(B4161,'DISTRIBUIÇÃO NF4267'!$E$3:$FQ$3,0)+1,0)</f>
        <v>4</v>
      </c>
      <c r="F4161" s="28">
        <f t="shared" si="207"/>
        <v>3</v>
      </c>
    </row>
    <row r="4162" spans="1:6" x14ac:dyDescent="0.35">
      <c r="A4162">
        <f t="shared" ref="A4162:A4225" si="208">IF(ISERROR(VLOOKUP(C4162,I:I,1,0)),0,1)</f>
        <v>0</v>
      </c>
      <c r="B4162" t="str">
        <f t="shared" ref="B4162:B4213" si="209">B4161</f>
        <v>GJ</v>
      </c>
      <c r="C4162" s="7" t="s">
        <v>100</v>
      </c>
      <c r="D4162" s="18">
        <f>VLOOKUP(C4162,'DISTRIBUIÇÃO NF4267'!$E$3:$FQ$75,MATCH(B4162,'DISTRIBUIÇÃO NF4267'!$E$3:$FQ$3,0)+1,0)</f>
        <v>8</v>
      </c>
      <c r="F4162" s="28">
        <f t="shared" si="207"/>
        <v>3</v>
      </c>
    </row>
    <row r="4163" spans="1:6" x14ac:dyDescent="0.35">
      <c r="A4163">
        <f t="shared" si="208"/>
        <v>0</v>
      </c>
      <c r="B4163" t="str">
        <f t="shared" si="209"/>
        <v>GJ</v>
      </c>
      <c r="C4163" s="7" t="s">
        <v>101</v>
      </c>
      <c r="D4163" s="18">
        <f>VLOOKUP(C4163,'DISTRIBUIÇÃO NF4267'!$E$3:$FQ$75,MATCH(B4163,'DISTRIBUIÇÃO NF4267'!$E$3:$FQ$3,0)+1,0)</f>
        <v>4</v>
      </c>
      <c r="F4163" s="28">
        <f t="shared" si="207"/>
        <v>3</v>
      </c>
    </row>
    <row r="4164" spans="1:6" x14ac:dyDescent="0.35">
      <c r="A4164">
        <f t="shared" si="208"/>
        <v>0</v>
      </c>
      <c r="B4164" t="str">
        <f t="shared" si="209"/>
        <v>GJ</v>
      </c>
      <c r="C4164" s="7" t="s">
        <v>102</v>
      </c>
      <c r="D4164" s="18">
        <f>VLOOKUP(C4164,'DISTRIBUIÇÃO NF4267'!$E$3:$FQ$75,MATCH(B4164,'DISTRIBUIÇÃO NF4267'!$E$3:$FQ$3,0)+1,0)</f>
        <v>4</v>
      </c>
      <c r="F4164" s="28">
        <f t="shared" si="207"/>
        <v>3</v>
      </c>
    </row>
    <row r="4165" spans="1:6" x14ac:dyDescent="0.35">
      <c r="A4165">
        <f t="shared" si="208"/>
        <v>0</v>
      </c>
      <c r="B4165" t="str">
        <f t="shared" si="209"/>
        <v>GJ</v>
      </c>
      <c r="C4165" s="7" t="s">
        <v>103</v>
      </c>
      <c r="D4165" s="18">
        <f>VLOOKUP(C4165,'DISTRIBUIÇÃO NF4267'!$E$3:$FQ$75,MATCH(B4165,'DISTRIBUIÇÃO NF4267'!$E$3:$FQ$3,0)+1,0)</f>
        <v>0</v>
      </c>
      <c r="F4165" s="28">
        <f t="shared" si="207"/>
        <v>3</v>
      </c>
    </row>
    <row r="4166" spans="1:6" x14ac:dyDescent="0.35">
      <c r="A4166">
        <f t="shared" si="208"/>
        <v>0</v>
      </c>
      <c r="B4166" t="str">
        <f t="shared" si="209"/>
        <v>GJ</v>
      </c>
      <c r="C4166" s="8" t="s">
        <v>107</v>
      </c>
      <c r="D4166" s="18">
        <f>VLOOKUP(C4166,'DISTRIBUIÇÃO NF4267'!$E$3:$FQ$75,MATCH(B4166,'DISTRIBUIÇÃO NF4267'!$E$3:$FQ$3,0)+1,0)</f>
        <v>0</v>
      </c>
      <c r="F4166" s="28">
        <f t="shared" si="207"/>
        <v>3</v>
      </c>
    </row>
    <row r="4167" spans="1:6" x14ac:dyDescent="0.35">
      <c r="A4167">
        <f t="shared" si="208"/>
        <v>0</v>
      </c>
      <c r="B4167" t="str">
        <f t="shared" si="209"/>
        <v>GJ</v>
      </c>
      <c r="C4167" s="8" t="s">
        <v>108</v>
      </c>
      <c r="D4167" s="18">
        <f>VLOOKUP(C4167,'DISTRIBUIÇÃO NF4267'!$E$3:$FQ$75,MATCH(B4167,'DISTRIBUIÇÃO NF4267'!$E$3:$FQ$3,0)+1,0)</f>
        <v>2</v>
      </c>
      <c r="F4167" s="28">
        <f t="shared" si="207"/>
        <v>3</v>
      </c>
    </row>
    <row r="4168" spans="1:6" x14ac:dyDescent="0.35">
      <c r="A4168">
        <f t="shared" si="208"/>
        <v>0</v>
      </c>
      <c r="B4168" t="str">
        <f t="shared" si="209"/>
        <v>GJ</v>
      </c>
      <c r="C4168" s="8" t="s">
        <v>109</v>
      </c>
      <c r="D4168" s="18">
        <f>VLOOKUP(C4168,'DISTRIBUIÇÃO NF4267'!$E$3:$FQ$75,MATCH(B4168,'DISTRIBUIÇÃO NF4267'!$E$3:$FQ$3,0)+1,0)</f>
        <v>4</v>
      </c>
      <c r="F4168" s="28">
        <f t="shared" si="207"/>
        <v>3</v>
      </c>
    </row>
    <row r="4169" spans="1:6" x14ac:dyDescent="0.35">
      <c r="A4169">
        <f t="shared" si="208"/>
        <v>0</v>
      </c>
      <c r="B4169" t="str">
        <f t="shared" si="209"/>
        <v>GJ</v>
      </c>
      <c r="C4169" s="8" t="s">
        <v>110</v>
      </c>
      <c r="D4169" s="18">
        <f>VLOOKUP(C4169,'DISTRIBUIÇÃO NF4267'!$E$3:$FQ$75,MATCH(B4169,'DISTRIBUIÇÃO NF4267'!$E$3:$FQ$3,0)+1,0)</f>
        <v>2</v>
      </c>
      <c r="F4169" s="28">
        <f t="shared" si="207"/>
        <v>3</v>
      </c>
    </row>
    <row r="4170" spans="1:6" x14ac:dyDescent="0.35">
      <c r="A4170">
        <f t="shared" si="208"/>
        <v>0</v>
      </c>
      <c r="B4170" t="str">
        <f t="shared" si="209"/>
        <v>GJ</v>
      </c>
      <c r="C4170" s="8" t="s">
        <v>111</v>
      </c>
      <c r="D4170" s="18">
        <f>VLOOKUP(C4170,'DISTRIBUIÇÃO NF4267'!$E$3:$FQ$75,MATCH(B4170,'DISTRIBUIÇÃO NF4267'!$E$3:$FQ$3,0)+1,0)</f>
        <v>2</v>
      </c>
      <c r="F4170" s="28">
        <f t="shared" si="207"/>
        <v>3</v>
      </c>
    </row>
    <row r="4171" spans="1:6" x14ac:dyDescent="0.35">
      <c r="A4171">
        <f t="shared" si="208"/>
        <v>0</v>
      </c>
      <c r="B4171" t="str">
        <f t="shared" si="209"/>
        <v>GJ</v>
      </c>
      <c r="C4171" s="8" t="s">
        <v>112</v>
      </c>
      <c r="D4171" s="18">
        <f>VLOOKUP(C4171,'DISTRIBUIÇÃO NF4267'!$E$3:$FQ$75,MATCH(B4171,'DISTRIBUIÇÃO NF4267'!$E$3:$FQ$3,0)+1,0)</f>
        <v>0</v>
      </c>
      <c r="F4171" s="28">
        <f t="shared" si="207"/>
        <v>3</v>
      </c>
    </row>
    <row r="4172" spans="1:6" x14ac:dyDescent="0.35">
      <c r="A4172">
        <f t="shared" si="208"/>
        <v>0</v>
      </c>
      <c r="B4172" t="str">
        <f t="shared" si="209"/>
        <v>GJ</v>
      </c>
      <c r="C4172" s="9" t="s">
        <v>113</v>
      </c>
      <c r="D4172" s="18">
        <f>VLOOKUP(C4172,'DISTRIBUIÇÃO NF4267'!$E$3:$FQ$75,MATCH(B4172,'DISTRIBUIÇÃO NF4267'!$E$3:$FQ$3,0)+1,0)</f>
        <v>0</v>
      </c>
      <c r="F4172" s="28">
        <f t="shared" si="207"/>
        <v>3</v>
      </c>
    </row>
    <row r="4173" spans="1:6" x14ac:dyDescent="0.35">
      <c r="A4173">
        <f t="shared" si="208"/>
        <v>0</v>
      </c>
      <c r="B4173" t="str">
        <f t="shared" si="209"/>
        <v>GJ</v>
      </c>
      <c r="C4173" s="9" t="s">
        <v>114</v>
      </c>
      <c r="D4173" s="18">
        <f>VLOOKUP(C4173,'DISTRIBUIÇÃO NF4267'!$E$3:$FQ$75,MATCH(B4173,'DISTRIBUIÇÃO NF4267'!$E$3:$FQ$3,0)+1,0)</f>
        <v>3</v>
      </c>
      <c r="F4173" s="28">
        <f t="shared" si="207"/>
        <v>3</v>
      </c>
    </row>
    <row r="4174" spans="1:6" x14ac:dyDescent="0.35">
      <c r="A4174">
        <f t="shared" si="208"/>
        <v>0</v>
      </c>
      <c r="B4174" t="str">
        <f t="shared" si="209"/>
        <v>GJ</v>
      </c>
      <c r="C4174" s="9" t="s">
        <v>115</v>
      </c>
      <c r="D4174" s="18">
        <f>VLOOKUP(C4174,'DISTRIBUIÇÃO NF4267'!$E$3:$FQ$75,MATCH(B4174,'DISTRIBUIÇÃO NF4267'!$E$3:$FQ$3,0)+1,0)</f>
        <v>4</v>
      </c>
      <c r="F4174" s="28">
        <f t="shared" si="207"/>
        <v>3</v>
      </c>
    </row>
    <row r="4175" spans="1:6" x14ac:dyDescent="0.35">
      <c r="A4175">
        <f t="shared" si="208"/>
        <v>0</v>
      </c>
      <c r="B4175" t="str">
        <f t="shared" si="209"/>
        <v>GJ</v>
      </c>
      <c r="C4175" s="9" t="s">
        <v>116</v>
      </c>
      <c r="D4175" s="18">
        <f>VLOOKUP(C4175,'DISTRIBUIÇÃO NF4267'!$E$3:$FQ$75,MATCH(B4175,'DISTRIBUIÇÃO NF4267'!$E$3:$FQ$3,0)+1,0)</f>
        <v>2</v>
      </c>
      <c r="F4175" s="28">
        <f t="shared" si="207"/>
        <v>3</v>
      </c>
    </row>
    <row r="4176" spans="1:6" x14ac:dyDescent="0.35">
      <c r="A4176">
        <f t="shared" si="208"/>
        <v>0</v>
      </c>
      <c r="B4176" t="str">
        <f t="shared" si="209"/>
        <v>GJ</v>
      </c>
      <c r="C4176" s="9" t="s">
        <v>117</v>
      </c>
      <c r="D4176" s="18">
        <f>VLOOKUP(C4176,'DISTRIBUIÇÃO NF4267'!$E$3:$FQ$75,MATCH(B4176,'DISTRIBUIÇÃO NF4267'!$E$3:$FQ$3,0)+1,0)</f>
        <v>1</v>
      </c>
      <c r="F4176" s="28">
        <f t="shared" si="207"/>
        <v>3</v>
      </c>
    </row>
    <row r="4177" spans="1:6" x14ac:dyDescent="0.35">
      <c r="A4177">
        <f t="shared" si="208"/>
        <v>0</v>
      </c>
      <c r="B4177" t="str">
        <f t="shared" si="209"/>
        <v>GJ</v>
      </c>
      <c r="C4177" s="9" t="s">
        <v>118</v>
      </c>
      <c r="D4177" s="18">
        <f>VLOOKUP(C4177,'DISTRIBUIÇÃO NF4267'!$E$3:$FQ$75,MATCH(B4177,'DISTRIBUIÇÃO NF4267'!$E$3:$FQ$3,0)+1,0)</f>
        <v>0</v>
      </c>
      <c r="F4177" s="28">
        <f t="shared" si="207"/>
        <v>3</v>
      </c>
    </row>
    <row r="4178" spans="1:6" x14ac:dyDescent="0.35">
      <c r="A4178">
        <f t="shared" si="208"/>
        <v>0</v>
      </c>
      <c r="B4178" t="str">
        <f t="shared" si="209"/>
        <v>GJ</v>
      </c>
      <c r="C4178" s="10" t="s">
        <v>119</v>
      </c>
      <c r="D4178" s="18">
        <f>VLOOKUP(C4178,'DISTRIBUIÇÃO NF4267'!$E$3:$FQ$75,MATCH(B4178,'DISTRIBUIÇÃO NF4267'!$E$3:$FQ$3,0)+1,0)</f>
        <v>0</v>
      </c>
      <c r="F4178" s="28">
        <f t="shared" si="207"/>
        <v>3</v>
      </c>
    </row>
    <row r="4179" spans="1:6" x14ac:dyDescent="0.35">
      <c r="A4179">
        <f t="shared" si="208"/>
        <v>0</v>
      </c>
      <c r="B4179" t="str">
        <f t="shared" si="209"/>
        <v>GJ</v>
      </c>
      <c r="C4179" s="10" t="s">
        <v>120</v>
      </c>
      <c r="D4179" s="18">
        <f>VLOOKUP(C4179,'DISTRIBUIÇÃO NF4267'!$E$3:$FQ$75,MATCH(B4179,'DISTRIBUIÇÃO NF4267'!$E$3:$FQ$3,0)+1,0)</f>
        <v>48</v>
      </c>
      <c r="F4179" s="28">
        <f t="shared" si="207"/>
        <v>3</v>
      </c>
    </row>
    <row r="4180" spans="1:6" x14ac:dyDescent="0.35">
      <c r="A4180">
        <f t="shared" si="208"/>
        <v>0</v>
      </c>
      <c r="B4180" t="str">
        <f t="shared" si="209"/>
        <v>GJ</v>
      </c>
      <c r="C4180" s="10" t="s">
        <v>121</v>
      </c>
      <c r="D4180" s="18">
        <f>VLOOKUP(C4180,'DISTRIBUIÇÃO NF4267'!$E$3:$FQ$75,MATCH(B4180,'DISTRIBUIÇÃO NF4267'!$E$3:$FQ$3,0)+1,0)</f>
        <v>16</v>
      </c>
      <c r="F4180" s="28">
        <f t="shared" si="207"/>
        <v>3</v>
      </c>
    </row>
    <row r="4181" spans="1:6" x14ac:dyDescent="0.35">
      <c r="A4181">
        <f t="shared" si="208"/>
        <v>0</v>
      </c>
      <c r="B4181" t="str">
        <f t="shared" si="209"/>
        <v>GJ</v>
      </c>
      <c r="C4181" s="10" t="s">
        <v>122</v>
      </c>
      <c r="D4181" s="18">
        <f>VLOOKUP(C4181,'DISTRIBUIÇÃO NF4267'!$E$3:$FQ$75,MATCH(B4181,'DISTRIBUIÇÃO NF4267'!$E$3:$FQ$3,0)+1,0)</f>
        <v>16</v>
      </c>
      <c r="F4181" s="28">
        <f t="shared" si="207"/>
        <v>3</v>
      </c>
    </row>
    <row r="4182" spans="1:6" x14ac:dyDescent="0.35">
      <c r="A4182">
        <f t="shared" si="208"/>
        <v>0</v>
      </c>
      <c r="B4182" t="str">
        <f t="shared" si="209"/>
        <v>GJ</v>
      </c>
      <c r="C4182" s="10" t="s">
        <v>123</v>
      </c>
      <c r="D4182" s="18">
        <f>VLOOKUP(C4182,'DISTRIBUIÇÃO NF4267'!$E$3:$FQ$75,MATCH(B4182,'DISTRIBUIÇÃO NF4267'!$E$3:$FQ$3,0)+1,0)</f>
        <v>0</v>
      </c>
      <c r="F4182" s="28">
        <f t="shared" si="207"/>
        <v>3</v>
      </c>
    </row>
    <row r="4183" spans="1:6" x14ac:dyDescent="0.35">
      <c r="A4183">
        <f t="shared" si="208"/>
        <v>0</v>
      </c>
      <c r="B4183" t="str">
        <f t="shared" si="209"/>
        <v>GJ</v>
      </c>
      <c r="C4183" s="10" t="s">
        <v>124</v>
      </c>
      <c r="D4183" s="18">
        <f>VLOOKUP(C4183,'DISTRIBUIÇÃO NF4267'!$E$3:$FQ$75,MATCH(B4183,'DISTRIBUIÇÃO NF4267'!$E$3:$FQ$3,0)+1,0)</f>
        <v>0</v>
      </c>
      <c r="F4183" s="28">
        <f t="shared" si="207"/>
        <v>3</v>
      </c>
    </row>
    <row r="4184" spans="1:6" x14ac:dyDescent="0.35">
      <c r="A4184">
        <f t="shared" si="208"/>
        <v>0</v>
      </c>
      <c r="B4184" t="str">
        <f t="shared" si="209"/>
        <v>GJ</v>
      </c>
      <c r="C4184" s="11" t="s">
        <v>16</v>
      </c>
      <c r="D4184" s="18">
        <f>VLOOKUP(C4184,'DISTRIBUIÇÃO NF4267'!$E$3:$FQ$75,MATCH(B4184,'DISTRIBUIÇÃO NF4267'!$E$3:$FQ$3,0)+1,0)</f>
        <v>0</v>
      </c>
      <c r="F4184" s="28">
        <f t="shared" si="207"/>
        <v>3</v>
      </c>
    </row>
    <row r="4185" spans="1:6" x14ac:dyDescent="0.35">
      <c r="A4185">
        <f t="shared" si="208"/>
        <v>0</v>
      </c>
      <c r="B4185" t="str">
        <f t="shared" si="209"/>
        <v>GJ</v>
      </c>
      <c r="C4185" s="11" t="s">
        <v>17</v>
      </c>
      <c r="D4185" s="18">
        <f>VLOOKUP(C4185,'DISTRIBUIÇÃO NF4267'!$E$3:$FQ$75,MATCH(B4185,'DISTRIBUIÇÃO NF4267'!$E$3:$FQ$3,0)+1,0)</f>
        <v>9</v>
      </c>
      <c r="F4185" s="28">
        <f t="shared" si="207"/>
        <v>3</v>
      </c>
    </row>
    <row r="4186" spans="1:6" x14ac:dyDescent="0.35">
      <c r="A4186">
        <f t="shared" si="208"/>
        <v>0</v>
      </c>
      <c r="B4186" t="str">
        <f t="shared" si="209"/>
        <v>GJ</v>
      </c>
      <c r="C4186" s="11" t="s">
        <v>18</v>
      </c>
      <c r="D4186" s="18">
        <f>VLOOKUP(C4186,'DISTRIBUIÇÃO NF4267'!$E$3:$FQ$75,MATCH(B4186,'DISTRIBUIÇÃO NF4267'!$E$3:$FQ$3,0)+1,0)</f>
        <v>3</v>
      </c>
      <c r="F4186" s="28">
        <f t="shared" si="207"/>
        <v>3</v>
      </c>
    </row>
    <row r="4187" spans="1:6" x14ac:dyDescent="0.35">
      <c r="A4187">
        <f t="shared" si="208"/>
        <v>0</v>
      </c>
      <c r="B4187" t="str">
        <f t="shared" si="209"/>
        <v>GJ</v>
      </c>
      <c r="C4187" s="11" t="s">
        <v>19</v>
      </c>
      <c r="D4187" s="18">
        <f>VLOOKUP(C4187,'DISTRIBUIÇÃO NF4267'!$E$3:$FQ$75,MATCH(B4187,'DISTRIBUIÇÃO NF4267'!$E$3:$FQ$3,0)+1,0)</f>
        <v>3</v>
      </c>
      <c r="F4187" s="28">
        <f t="shared" si="207"/>
        <v>3</v>
      </c>
    </row>
    <row r="4188" spans="1:6" x14ac:dyDescent="0.35">
      <c r="A4188">
        <f t="shared" si="208"/>
        <v>0</v>
      </c>
      <c r="B4188" t="str">
        <f t="shared" si="209"/>
        <v>GJ</v>
      </c>
      <c r="C4188" s="11" t="s">
        <v>20</v>
      </c>
      <c r="D4188" s="18">
        <f>VLOOKUP(C4188,'DISTRIBUIÇÃO NF4267'!$E$3:$FQ$75,MATCH(B4188,'DISTRIBUIÇÃO NF4267'!$E$3:$FQ$3,0)+1,0)</f>
        <v>15</v>
      </c>
      <c r="F4188" s="28">
        <f t="shared" si="207"/>
        <v>3</v>
      </c>
    </row>
    <row r="4189" spans="1:6" x14ac:dyDescent="0.35">
      <c r="A4189">
        <f t="shared" si="208"/>
        <v>0</v>
      </c>
      <c r="B4189" t="str">
        <f t="shared" si="209"/>
        <v>GJ</v>
      </c>
      <c r="C4189" s="11" t="s">
        <v>21</v>
      </c>
      <c r="D4189" s="18">
        <f>VLOOKUP(C4189,'DISTRIBUIÇÃO NF4267'!$E$3:$FQ$75,MATCH(B4189,'DISTRIBUIÇÃO NF4267'!$E$3:$FQ$3,0)+1,0)</f>
        <v>0</v>
      </c>
      <c r="F4189" s="28">
        <f t="shared" si="207"/>
        <v>3</v>
      </c>
    </row>
    <row r="4190" spans="1:6" x14ac:dyDescent="0.35">
      <c r="A4190">
        <f t="shared" si="208"/>
        <v>0</v>
      </c>
      <c r="B4190" t="str">
        <f t="shared" si="209"/>
        <v>GJ</v>
      </c>
      <c r="C4190" s="12" t="s">
        <v>130</v>
      </c>
      <c r="D4190" s="18">
        <f>VLOOKUP(C4190,'DISTRIBUIÇÃO NF4267'!$E$3:$FQ$75,MATCH(B4190,'DISTRIBUIÇÃO NF4267'!$E$3:$FQ$3,0)+1,0)</f>
        <v>0</v>
      </c>
      <c r="F4190" s="28">
        <f t="shared" si="207"/>
        <v>3</v>
      </c>
    </row>
    <row r="4191" spans="1:6" x14ac:dyDescent="0.35">
      <c r="A4191">
        <f t="shared" si="208"/>
        <v>0</v>
      </c>
      <c r="B4191" t="str">
        <f t="shared" si="209"/>
        <v>GJ</v>
      </c>
      <c r="C4191" s="12" t="s">
        <v>131</v>
      </c>
      <c r="D4191" s="18">
        <f>VLOOKUP(C4191,'DISTRIBUIÇÃO NF4267'!$E$3:$FQ$75,MATCH(B4191,'DISTRIBUIÇÃO NF4267'!$E$3:$FQ$3,0)+1,0)</f>
        <v>0</v>
      </c>
      <c r="F4191" s="28">
        <f t="shared" si="207"/>
        <v>3</v>
      </c>
    </row>
    <row r="4192" spans="1:6" x14ac:dyDescent="0.35">
      <c r="A4192">
        <f t="shared" si="208"/>
        <v>0</v>
      </c>
      <c r="B4192" t="str">
        <f t="shared" si="209"/>
        <v>GJ</v>
      </c>
      <c r="C4192" s="12" t="s">
        <v>132</v>
      </c>
      <c r="D4192" s="18">
        <f>VLOOKUP(C4192,'DISTRIBUIÇÃO NF4267'!$E$3:$FQ$75,MATCH(B4192,'DISTRIBUIÇÃO NF4267'!$E$3:$FQ$3,0)+1,0)</f>
        <v>0</v>
      </c>
      <c r="F4192" s="28">
        <f t="shared" si="207"/>
        <v>3</v>
      </c>
    </row>
    <row r="4193" spans="1:6" x14ac:dyDescent="0.35">
      <c r="A4193">
        <f t="shared" si="208"/>
        <v>0</v>
      </c>
      <c r="B4193" t="str">
        <f t="shared" si="209"/>
        <v>GJ</v>
      </c>
      <c r="C4193" s="12" t="s">
        <v>133</v>
      </c>
      <c r="D4193" s="18">
        <f>VLOOKUP(C4193,'DISTRIBUIÇÃO NF4267'!$E$3:$FQ$75,MATCH(B4193,'DISTRIBUIÇÃO NF4267'!$E$3:$FQ$3,0)+1,0)</f>
        <v>0</v>
      </c>
      <c r="F4193" s="28">
        <f t="shared" si="207"/>
        <v>3</v>
      </c>
    </row>
    <row r="4194" spans="1:6" x14ac:dyDescent="0.35">
      <c r="A4194">
        <f t="shared" si="208"/>
        <v>0</v>
      </c>
      <c r="B4194" t="str">
        <f t="shared" si="209"/>
        <v>GJ</v>
      </c>
      <c r="C4194" s="12" t="s">
        <v>134</v>
      </c>
      <c r="D4194" s="18">
        <f>VLOOKUP(C4194,'DISTRIBUIÇÃO NF4267'!$E$3:$FQ$75,MATCH(B4194,'DISTRIBUIÇÃO NF4267'!$E$3:$FQ$3,0)+1,0)</f>
        <v>0</v>
      </c>
      <c r="F4194" s="28">
        <f t="shared" si="207"/>
        <v>3</v>
      </c>
    </row>
    <row r="4195" spans="1:6" x14ac:dyDescent="0.35">
      <c r="A4195">
        <f t="shared" si="208"/>
        <v>0</v>
      </c>
      <c r="B4195" t="str">
        <f t="shared" si="209"/>
        <v>GJ</v>
      </c>
      <c r="C4195" s="12" t="s">
        <v>135</v>
      </c>
      <c r="D4195" s="18">
        <f>VLOOKUP(C4195,'DISTRIBUIÇÃO NF4267'!$E$3:$FQ$75,MATCH(B4195,'DISTRIBUIÇÃO NF4267'!$E$3:$FQ$3,0)+1,0)</f>
        <v>0</v>
      </c>
      <c r="F4195" s="28">
        <f t="shared" si="207"/>
        <v>3</v>
      </c>
    </row>
    <row r="4196" spans="1:6" x14ac:dyDescent="0.35">
      <c r="A4196">
        <f t="shared" si="208"/>
        <v>0</v>
      </c>
      <c r="B4196" t="str">
        <f t="shared" si="209"/>
        <v>GJ</v>
      </c>
      <c r="C4196" s="13" t="s">
        <v>22</v>
      </c>
      <c r="D4196" s="18">
        <f>VLOOKUP(C4196,'DISTRIBUIÇÃO NF4267'!$E$3:$FQ$75,MATCH(B4196,'DISTRIBUIÇÃO NF4267'!$E$3:$FQ$3,0)+1,0)</f>
        <v>0</v>
      </c>
      <c r="F4196" s="28">
        <f t="shared" si="207"/>
        <v>3</v>
      </c>
    </row>
    <row r="4197" spans="1:6" x14ac:dyDescent="0.35">
      <c r="A4197">
        <f t="shared" si="208"/>
        <v>0</v>
      </c>
      <c r="B4197" t="str">
        <f t="shared" si="209"/>
        <v>GJ</v>
      </c>
      <c r="C4197" s="13" t="s">
        <v>23</v>
      </c>
      <c r="D4197" s="18">
        <f>VLOOKUP(C4197,'DISTRIBUIÇÃO NF4267'!$E$3:$FQ$75,MATCH(B4197,'DISTRIBUIÇÃO NF4267'!$E$3:$FQ$3,0)+1,0)</f>
        <v>0</v>
      </c>
      <c r="F4197" s="28">
        <f t="shared" si="207"/>
        <v>3</v>
      </c>
    </row>
    <row r="4198" spans="1:6" x14ac:dyDescent="0.35">
      <c r="A4198">
        <f t="shared" si="208"/>
        <v>0</v>
      </c>
      <c r="B4198" t="str">
        <f t="shared" si="209"/>
        <v>GJ</v>
      </c>
      <c r="C4198" s="13" t="s">
        <v>24</v>
      </c>
      <c r="D4198" s="18">
        <f>VLOOKUP(C4198,'DISTRIBUIÇÃO NF4267'!$E$3:$FQ$75,MATCH(B4198,'DISTRIBUIÇÃO NF4267'!$E$3:$FQ$3,0)+1,0)</f>
        <v>0</v>
      </c>
      <c r="F4198" s="28">
        <f t="shared" si="207"/>
        <v>3</v>
      </c>
    </row>
    <row r="4199" spans="1:6" x14ac:dyDescent="0.35">
      <c r="A4199">
        <f t="shared" si="208"/>
        <v>0</v>
      </c>
      <c r="B4199" t="str">
        <f t="shared" si="209"/>
        <v>GJ</v>
      </c>
      <c r="C4199" s="13" t="s">
        <v>25</v>
      </c>
      <c r="D4199" s="18">
        <f>VLOOKUP(C4199,'DISTRIBUIÇÃO NF4267'!$E$3:$FQ$75,MATCH(B4199,'DISTRIBUIÇÃO NF4267'!$E$3:$FQ$3,0)+1,0)</f>
        <v>0</v>
      </c>
      <c r="F4199" s="28">
        <f t="shared" si="207"/>
        <v>3</v>
      </c>
    </row>
    <row r="4200" spans="1:6" x14ac:dyDescent="0.35">
      <c r="A4200">
        <f t="shared" si="208"/>
        <v>0</v>
      </c>
      <c r="B4200" t="str">
        <f t="shared" si="209"/>
        <v>GJ</v>
      </c>
      <c r="C4200" s="13" t="s">
        <v>26</v>
      </c>
      <c r="D4200" s="18">
        <f>VLOOKUP(C4200,'DISTRIBUIÇÃO NF4267'!$E$3:$FQ$75,MATCH(B4200,'DISTRIBUIÇÃO NF4267'!$E$3:$FQ$3,0)+1,0)</f>
        <v>0</v>
      </c>
      <c r="F4200" s="28">
        <f t="shared" si="207"/>
        <v>3</v>
      </c>
    </row>
    <row r="4201" spans="1:6" x14ac:dyDescent="0.35">
      <c r="A4201">
        <f t="shared" si="208"/>
        <v>0</v>
      </c>
      <c r="B4201" t="str">
        <f t="shared" si="209"/>
        <v>GJ</v>
      </c>
      <c r="C4201" s="13" t="s">
        <v>27</v>
      </c>
      <c r="D4201" s="18">
        <f>VLOOKUP(C4201,'DISTRIBUIÇÃO NF4267'!$E$3:$FQ$75,MATCH(B4201,'DISTRIBUIÇÃO NF4267'!$E$3:$FQ$3,0)+1,0)</f>
        <v>0</v>
      </c>
      <c r="F4201" s="28">
        <f t="shared" si="207"/>
        <v>3</v>
      </c>
    </row>
    <row r="4202" spans="1:6" x14ac:dyDescent="0.35">
      <c r="A4202">
        <f t="shared" si="208"/>
        <v>0</v>
      </c>
      <c r="B4202" t="str">
        <f t="shared" si="209"/>
        <v>GJ</v>
      </c>
      <c r="C4202" s="14" t="s">
        <v>138</v>
      </c>
      <c r="D4202" s="18">
        <f>VLOOKUP(C4202,'DISTRIBUIÇÃO NF4267'!$E$3:$FQ$75,MATCH(B4202,'DISTRIBUIÇÃO NF4267'!$E$3:$FQ$3,0)+1,0)</f>
        <v>0</v>
      </c>
      <c r="F4202" s="28">
        <f t="shared" si="207"/>
        <v>3</v>
      </c>
    </row>
    <row r="4203" spans="1:6" x14ac:dyDescent="0.35">
      <c r="A4203">
        <f t="shared" si="208"/>
        <v>0</v>
      </c>
      <c r="B4203" t="str">
        <f t="shared" si="209"/>
        <v>GJ</v>
      </c>
      <c r="C4203" s="14" t="s">
        <v>139</v>
      </c>
      <c r="D4203" s="18">
        <f>VLOOKUP(C4203,'DISTRIBUIÇÃO NF4267'!$E$3:$FQ$75,MATCH(B4203,'DISTRIBUIÇÃO NF4267'!$E$3:$FQ$3,0)+1,0)</f>
        <v>2</v>
      </c>
      <c r="F4203" s="28">
        <f t="shared" si="207"/>
        <v>3</v>
      </c>
    </row>
    <row r="4204" spans="1:6" x14ac:dyDescent="0.35">
      <c r="A4204">
        <f t="shared" si="208"/>
        <v>0</v>
      </c>
      <c r="B4204" t="str">
        <f t="shared" si="209"/>
        <v>GJ</v>
      </c>
      <c r="C4204" s="14" t="s">
        <v>140</v>
      </c>
      <c r="D4204" s="18">
        <f>VLOOKUP(C4204,'DISTRIBUIÇÃO NF4267'!$E$3:$FQ$75,MATCH(B4204,'DISTRIBUIÇÃO NF4267'!$E$3:$FQ$3,0)+1,0)</f>
        <v>4</v>
      </c>
      <c r="F4204" s="28">
        <f t="shared" si="207"/>
        <v>3</v>
      </c>
    </row>
    <row r="4205" spans="1:6" x14ac:dyDescent="0.35">
      <c r="A4205">
        <f t="shared" si="208"/>
        <v>0</v>
      </c>
      <c r="B4205" t="str">
        <f t="shared" si="209"/>
        <v>GJ</v>
      </c>
      <c r="C4205" s="14" t="s">
        <v>141</v>
      </c>
      <c r="D4205" s="18">
        <f>VLOOKUP(C4205,'DISTRIBUIÇÃO NF4267'!$E$3:$FQ$75,MATCH(B4205,'DISTRIBUIÇÃO NF4267'!$E$3:$FQ$3,0)+1,0)</f>
        <v>2</v>
      </c>
      <c r="F4205" s="28">
        <f t="shared" si="207"/>
        <v>3</v>
      </c>
    </row>
    <row r="4206" spans="1:6" x14ac:dyDescent="0.35">
      <c r="A4206">
        <f t="shared" si="208"/>
        <v>0</v>
      </c>
      <c r="B4206" t="str">
        <f t="shared" si="209"/>
        <v>GJ</v>
      </c>
      <c r="C4206" s="14" t="s">
        <v>142</v>
      </c>
      <c r="D4206" s="18">
        <f>VLOOKUP(C4206,'DISTRIBUIÇÃO NF4267'!$E$3:$FQ$75,MATCH(B4206,'DISTRIBUIÇÃO NF4267'!$E$3:$FQ$3,0)+1,0)</f>
        <v>2</v>
      </c>
      <c r="F4206" s="28">
        <f t="shared" si="207"/>
        <v>3</v>
      </c>
    </row>
    <row r="4207" spans="1:6" x14ac:dyDescent="0.35">
      <c r="A4207">
        <f t="shared" si="208"/>
        <v>0</v>
      </c>
      <c r="B4207" t="str">
        <f t="shared" si="209"/>
        <v>GJ</v>
      </c>
      <c r="C4207" s="14" t="s">
        <v>143</v>
      </c>
      <c r="D4207" s="18">
        <f>VLOOKUP(C4207,'DISTRIBUIÇÃO NF4267'!$E$3:$FQ$75,MATCH(B4207,'DISTRIBUIÇÃO NF4267'!$E$3:$FQ$3,0)+1,0)</f>
        <v>0</v>
      </c>
      <c r="F4207" s="28">
        <f t="shared" si="207"/>
        <v>3</v>
      </c>
    </row>
    <row r="4208" spans="1:6" x14ac:dyDescent="0.35">
      <c r="A4208">
        <f t="shared" si="208"/>
        <v>0</v>
      </c>
      <c r="B4208" t="str">
        <f t="shared" si="209"/>
        <v>GJ</v>
      </c>
      <c r="C4208" s="15" t="s">
        <v>145</v>
      </c>
      <c r="D4208" s="18">
        <f>VLOOKUP(C4208,'DISTRIBUIÇÃO NF4267'!$E$3:$FQ$75,MATCH(B4208,'DISTRIBUIÇÃO NF4267'!$E$3:$FQ$3,0)+1,0)</f>
        <v>0</v>
      </c>
      <c r="F4208" s="28">
        <f t="shared" si="207"/>
        <v>3</v>
      </c>
    </row>
    <row r="4209" spans="1:6" x14ac:dyDescent="0.35">
      <c r="A4209">
        <f t="shared" si="208"/>
        <v>0</v>
      </c>
      <c r="B4209" t="str">
        <f t="shared" si="209"/>
        <v>GJ</v>
      </c>
      <c r="C4209" s="15" t="s">
        <v>146</v>
      </c>
      <c r="D4209" s="18">
        <f>VLOOKUP(C4209,'DISTRIBUIÇÃO NF4267'!$E$3:$FQ$75,MATCH(B4209,'DISTRIBUIÇÃO NF4267'!$E$3:$FQ$3,0)+1,0)</f>
        <v>2</v>
      </c>
      <c r="F4209" s="28">
        <f t="shared" si="207"/>
        <v>3</v>
      </c>
    </row>
    <row r="4210" spans="1:6" x14ac:dyDescent="0.35">
      <c r="A4210">
        <f t="shared" si="208"/>
        <v>0</v>
      </c>
      <c r="B4210" t="str">
        <f t="shared" si="209"/>
        <v>GJ</v>
      </c>
      <c r="C4210" s="15" t="s">
        <v>147</v>
      </c>
      <c r="D4210" s="18">
        <f>VLOOKUP(C4210,'DISTRIBUIÇÃO NF4267'!$E$3:$FQ$75,MATCH(B4210,'DISTRIBUIÇÃO NF4267'!$E$3:$FQ$3,0)+1,0)</f>
        <v>4</v>
      </c>
      <c r="F4210" s="28">
        <f t="shared" si="207"/>
        <v>3</v>
      </c>
    </row>
    <row r="4211" spans="1:6" x14ac:dyDescent="0.35">
      <c r="A4211">
        <f t="shared" si="208"/>
        <v>0</v>
      </c>
      <c r="B4211" t="str">
        <f t="shared" si="209"/>
        <v>GJ</v>
      </c>
      <c r="C4211" s="15" t="s">
        <v>148</v>
      </c>
      <c r="D4211" s="18">
        <f>VLOOKUP(C4211,'DISTRIBUIÇÃO NF4267'!$E$3:$FQ$75,MATCH(B4211,'DISTRIBUIÇÃO NF4267'!$E$3:$FQ$3,0)+1,0)</f>
        <v>2</v>
      </c>
      <c r="F4211" s="28">
        <f t="shared" si="207"/>
        <v>3</v>
      </c>
    </row>
    <row r="4212" spans="1:6" x14ac:dyDescent="0.35">
      <c r="A4212">
        <f t="shared" si="208"/>
        <v>0</v>
      </c>
      <c r="B4212" t="str">
        <f t="shared" si="209"/>
        <v>GJ</v>
      </c>
      <c r="C4212" s="15" t="s">
        <v>149</v>
      </c>
      <c r="D4212" s="18">
        <f>VLOOKUP(C4212,'DISTRIBUIÇÃO NF4267'!$E$3:$FQ$75,MATCH(B4212,'DISTRIBUIÇÃO NF4267'!$E$3:$FQ$3,0)+1,0)</f>
        <v>2</v>
      </c>
      <c r="F4212" s="28">
        <f t="shared" si="207"/>
        <v>3</v>
      </c>
    </row>
    <row r="4213" spans="1:6" x14ac:dyDescent="0.35">
      <c r="A4213">
        <f t="shared" si="208"/>
        <v>0</v>
      </c>
      <c r="B4213" t="str">
        <f t="shared" si="209"/>
        <v>GJ</v>
      </c>
      <c r="C4213" s="15" t="s">
        <v>150</v>
      </c>
      <c r="D4213" s="18">
        <f>VLOOKUP(C4213,'DISTRIBUIÇÃO NF4267'!$E$3:$FQ$75,MATCH(B4213,'DISTRIBUIÇÃO NF4267'!$E$3:$FQ$3,0)+1,0)</f>
        <v>0</v>
      </c>
      <c r="F4213" s="28">
        <f t="shared" si="207"/>
        <v>3</v>
      </c>
    </row>
    <row r="4214" spans="1:6" x14ac:dyDescent="0.35">
      <c r="A4214">
        <f t="shared" si="208"/>
        <v>0</v>
      </c>
      <c r="B4214" t="s">
        <v>86</v>
      </c>
      <c r="C4214" s="7" t="s">
        <v>98</v>
      </c>
      <c r="D4214" s="18">
        <f>VLOOKUP(C4214,'DISTRIBUIÇÃO NF4267'!$E$3:$FQ$75,MATCH(B4214,'DISTRIBUIÇÃO NF4267'!$E$3:$FQ$3,0)+1,0)</f>
        <v>0</v>
      </c>
      <c r="F4214" s="28">
        <f t="shared" si="207"/>
        <v>3</v>
      </c>
    </row>
    <row r="4215" spans="1:6" x14ac:dyDescent="0.35">
      <c r="A4215">
        <f t="shared" si="208"/>
        <v>0</v>
      </c>
      <c r="B4215" t="str">
        <f>B4214</f>
        <v>KD</v>
      </c>
      <c r="C4215" s="7" t="s">
        <v>99</v>
      </c>
      <c r="D4215" s="18">
        <f>VLOOKUP(C4215,'DISTRIBUIÇÃO NF4267'!$E$3:$FQ$75,MATCH(B4215,'DISTRIBUIÇÃO NF4267'!$E$3:$FQ$3,0)+1,0)</f>
        <v>4</v>
      </c>
      <c r="F4215" s="28">
        <f t="shared" si="207"/>
        <v>3</v>
      </c>
    </row>
    <row r="4216" spans="1:6" x14ac:dyDescent="0.35">
      <c r="A4216">
        <f t="shared" si="208"/>
        <v>0</v>
      </c>
      <c r="B4216" t="str">
        <f t="shared" ref="B4216:B4267" si="210">B4215</f>
        <v>KD</v>
      </c>
      <c r="C4216" s="7" t="s">
        <v>100</v>
      </c>
      <c r="D4216" s="18">
        <f>VLOOKUP(C4216,'DISTRIBUIÇÃO NF4267'!$E$3:$FQ$75,MATCH(B4216,'DISTRIBUIÇÃO NF4267'!$E$3:$FQ$3,0)+1,0)</f>
        <v>8</v>
      </c>
      <c r="F4216" s="28">
        <f t="shared" ref="F4216:F4279" si="211">ROUNDUP(SUMIFS(D:D,B:B,B4216)/80,0)</f>
        <v>3</v>
      </c>
    </row>
    <row r="4217" spans="1:6" x14ac:dyDescent="0.35">
      <c r="A4217">
        <f t="shared" si="208"/>
        <v>0</v>
      </c>
      <c r="B4217" t="str">
        <f t="shared" si="210"/>
        <v>KD</v>
      </c>
      <c r="C4217" s="7" t="s">
        <v>101</v>
      </c>
      <c r="D4217" s="18">
        <f>VLOOKUP(C4217,'DISTRIBUIÇÃO NF4267'!$E$3:$FQ$75,MATCH(B4217,'DISTRIBUIÇÃO NF4267'!$E$3:$FQ$3,0)+1,0)</f>
        <v>4</v>
      </c>
      <c r="F4217" s="28">
        <f t="shared" si="211"/>
        <v>3</v>
      </c>
    </row>
    <row r="4218" spans="1:6" x14ac:dyDescent="0.35">
      <c r="A4218">
        <f t="shared" si="208"/>
        <v>0</v>
      </c>
      <c r="B4218" t="str">
        <f t="shared" si="210"/>
        <v>KD</v>
      </c>
      <c r="C4218" s="7" t="s">
        <v>102</v>
      </c>
      <c r="D4218" s="18">
        <f>VLOOKUP(C4218,'DISTRIBUIÇÃO NF4267'!$E$3:$FQ$75,MATCH(B4218,'DISTRIBUIÇÃO NF4267'!$E$3:$FQ$3,0)+1,0)</f>
        <v>4</v>
      </c>
      <c r="F4218" s="28">
        <f t="shared" si="211"/>
        <v>3</v>
      </c>
    </row>
    <row r="4219" spans="1:6" x14ac:dyDescent="0.35">
      <c r="A4219">
        <f t="shared" si="208"/>
        <v>0</v>
      </c>
      <c r="B4219" t="str">
        <f t="shared" si="210"/>
        <v>KD</v>
      </c>
      <c r="C4219" s="7" t="s">
        <v>103</v>
      </c>
      <c r="D4219" s="18">
        <f>VLOOKUP(C4219,'DISTRIBUIÇÃO NF4267'!$E$3:$FQ$75,MATCH(B4219,'DISTRIBUIÇÃO NF4267'!$E$3:$FQ$3,0)+1,0)</f>
        <v>0</v>
      </c>
      <c r="F4219" s="28">
        <f t="shared" si="211"/>
        <v>3</v>
      </c>
    </row>
    <row r="4220" spans="1:6" x14ac:dyDescent="0.35">
      <c r="A4220">
        <f t="shared" si="208"/>
        <v>0</v>
      </c>
      <c r="B4220" t="str">
        <f t="shared" si="210"/>
        <v>KD</v>
      </c>
      <c r="C4220" s="8" t="s">
        <v>107</v>
      </c>
      <c r="D4220" s="18">
        <f>VLOOKUP(C4220,'DISTRIBUIÇÃO NF4267'!$E$3:$FQ$75,MATCH(B4220,'DISTRIBUIÇÃO NF4267'!$E$3:$FQ$3,0)+1,0)</f>
        <v>0</v>
      </c>
      <c r="F4220" s="28">
        <f t="shared" si="211"/>
        <v>3</v>
      </c>
    </row>
    <row r="4221" spans="1:6" x14ac:dyDescent="0.35">
      <c r="A4221">
        <f t="shared" si="208"/>
        <v>0</v>
      </c>
      <c r="B4221" t="str">
        <f t="shared" si="210"/>
        <v>KD</v>
      </c>
      <c r="C4221" s="8" t="s">
        <v>108</v>
      </c>
      <c r="D4221" s="18">
        <f>VLOOKUP(C4221,'DISTRIBUIÇÃO NF4267'!$E$3:$FQ$75,MATCH(B4221,'DISTRIBUIÇÃO NF4267'!$E$3:$FQ$3,0)+1,0)</f>
        <v>2</v>
      </c>
      <c r="F4221" s="28">
        <f t="shared" si="211"/>
        <v>3</v>
      </c>
    </row>
    <row r="4222" spans="1:6" x14ac:dyDescent="0.35">
      <c r="A4222">
        <f t="shared" si="208"/>
        <v>0</v>
      </c>
      <c r="B4222" t="str">
        <f t="shared" si="210"/>
        <v>KD</v>
      </c>
      <c r="C4222" s="8" t="s">
        <v>109</v>
      </c>
      <c r="D4222" s="18">
        <f>VLOOKUP(C4222,'DISTRIBUIÇÃO NF4267'!$E$3:$FQ$75,MATCH(B4222,'DISTRIBUIÇÃO NF4267'!$E$3:$FQ$3,0)+1,0)</f>
        <v>4</v>
      </c>
      <c r="F4222" s="28">
        <f t="shared" si="211"/>
        <v>3</v>
      </c>
    </row>
    <row r="4223" spans="1:6" x14ac:dyDescent="0.35">
      <c r="A4223">
        <f t="shared" si="208"/>
        <v>0</v>
      </c>
      <c r="B4223" t="str">
        <f t="shared" si="210"/>
        <v>KD</v>
      </c>
      <c r="C4223" s="8" t="s">
        <v>110</v>
      </c>
      <c r="D4223" s="18">
        <f>VLOOKUP(C4223,'DISTRIBUIÇÃO NF4267'!$E$3:$FQ$75,MATCH(B4223,'DISTRIBUIÇÃO NF4267'!$E$3:$FQ$3,0)+1,0)</f>
        <v>2</v>
      </c>
      <c r="F4223" s="28">
        <f t="shared" si="211"/>
        <v>3</v>
      </c>
    </row>
    <row r="4224" spans="1:6" x14ac:dyDescent="0.35">
      <c r="A4224">
        <f t="shared" si="208"/>
        <v>0</v>
      </c>
      <c r="B4224" t="str">
        <f t="shared" si="210"/>
        <v>KD</v>
      </c>
      <c r="C4224" s="8" t="s">
        <v>111</v>
      </c>
      <c r="D4224" s="18">
        <f>VLOOKUP(C4224,'DISTRIBUIÇÃO NF4267'!$E$3:$FQ$75,MATCH(B4224,'DISTRIBUIÇÃO NF4267'!$E$3:$FQ$3,0)+1,0)</f>
        <v>2</v>
      </c>
      <c r="F4224" s="28">
        <f t="shared" si="211"/>
        <v>3</v>
      </c>
    </row>
    <row r="4225" spans="1:6" x14ac:dyDescent="0.35">
      <c r="A4225">
        <f t="shared" si="208"/>
        <v>0</v>
      </c>
      <c r="B4225" t="str">
        <f t="shared" si="210"/>
        <v>KD</v>
      </c>
      <c r="C4225" s="8" t="s">
        <v>112</v>
      </c>
      <c r="D4225" s="18">
        <f>VLOOKUP(C4225,'DISTRIBUIÇÃO NF4267'!$E$3:$FQ$75,MATCH(B4225,'DISTRIBUIÇÃO NF4267'!$E$3:$FQ$3,0)+1,0)</f>
        <v>0</v>
      </c>
      <c r="F4225" s="28">
        <f t="shared" si="211"/>
        <v>3</v>
      </c>
    </row>
    <row r="4226" spans="1:6" x14ac:dyDescent="0.35">
      <c r="A4226">
        <f t="shared" ref="A4226:A4289" si="212">IF(ISERROR(VLOOKUP(C4226,I:I,1,0)),0,1)</f>
        <v>0</v>
      </c>
      <c r="B4226" t="str">
        <f t="shared" si="210"/>
        <v>KD</v>
      </c>
      <c r="C4226" s="9" t="s">
        <v>113</v>
      </c>
      <c r="D4226" s="18">
        <f>VLOOKUP(C4226,'DISTRIBUIÇÃO NF4267'!$E$3:$FQ$75,MATCH(B4226,'DISTRIBUIÇÃO NF4267'!$E$3:$FQ$3,0)+1,0)</f>
        <v>0</v>
      </c>
      <c r="F4226" s="28">
        <f t="shared" si="211"/>
        <v>3</v>
      </c>
    </row>
    <row r="4227" spans="1:6" x14ac:dyDescent="0.35">
      <c r="A4227">
        <f t="shared" si="212"/>
        <v>0</v>
      </c>
      <c r="B4227" t="str">
        <f t="shared" si="210"/>
        <v>KD</v>
      </c>
      <c r="C4227" s="9" t="s">
        <v>114</v>
      </c>
      <c r="D4227" s="18">
        <f>VLOOKUP(C4227,'DISTRIBUIÇÃO NF4267'!$E$3:$FQ$75,MATCH(B4227,'DISTRIBUIÇÃO NF4267'!$E$3:$FQ$3,0)+1,0)</f>
        <v>3</v>
      </c>
      <c r="F4227" s="28">
        <f t="shared" si="211"/>
        <v>3</v>
      </c>
    </row>
    <row r="4228" spans="1:6" x14ac:dyDescent="0.35">
      <c r="A4228">
        <f t="shared" si="212"/>
        <v>0</v>
      </c>
      <c r="B4228" t="str">
        <f t="shared" si="210"/>
        <v>KD</v>
      </c>
      <c r="C4228" s="9" t="s">
        <v>115</v>
      </c>
      <c r="D4228" s="18">
        <f>VLOOKUP(C4228,'DISTRIBUIÇÃO NF4267'!$E$3:$FQ$75,MATCH(B4228,'DISTRIBUIÇÃO NF4267'!$E$3:$FQ$3,0)+1,0)</f>
        <v>4</v>
      </c>
      <c r="F4228" s="28">
        <f t="shared" si="211"/>
        <v>3</v>
      </c>
    </row>
    <row r="4229" spans="1:6" x14ac:dyDescent="0.35">
      <c r="A4229">
        <f t="shared" si="212"/>
        <v>0</v>
      </c>
      <c r="B4229" t="str">
        <f t="shared" si="210"/>
        <v>KD</v>
      </c>
      <c r="C4229" s="9" t="s">
        <v>116</v>
      </c>
      <c r="D4229" s="18">
        <f>VLOOKUP(C4229,'DISTRIBUIÇÃO NF4267'!$E$3:$FQ$75,MATCH(B4229,'DISTRIBUIÇÃO NF4267'!$E$3:$FQ$3,0)+1,0)</f>
        <v>2</v>
      </c>
      <c r="F4229" s="28">
        <f t="shared" si="211"/>
        <v>3</v>
      </c>
    </row>
    <row r="4230" spans="1:6" x14ac:dyDescent="0.35">
      <c r="A4230">
        <f t="shared" si="212"/>
        <v>0</v>
      </c>
      <c r="B4230" t="str">
        <f t="shared" si="210"/>
        <v>KD</v>
      </c>
      <c r="C4230" s="9" t="s">
        <v>117</v>
      </c>
      <c r="D4230" s="18">
        <f>VLOOKUP(C4230,'DISTRIBUIÇÃO NF4267'!$E$3:$FQ$75,MATCH(B4230,'DISTRIBUIÇÃO NF4267'!$E$3:$FQ$3,0)+1,0)</f>
        <v>1</v>
      </c>
      <c r="F4230" s="28">
        <f t="shared" si="211"/>
        <v>3</v>
      </c>
    </row>
    <row r="4231" spans="1:6" x14ac:dyDescent="0.35">
      <c r="A4231">
        <f t="shared" si="212"/>
        <v>0</v>
      </c>
      <c r="B4231" t="str">
        <f t="shared" si="210"/>
        <v>KD</v>
      </c>
      <c r="C4231" s="9" t="s">
        <v>118</v>
      </c>
      <c r="D4231" s="18">
        <f>VLOOKUP(C4231,'DISTRIBUIÇÃO NF4267'!$E$3:$FQ$75,MATCH(B4231,'DISTRIBUIÇÃO NF4267'!$E$3:$FQ$3,0)+1,0)</f>
        <v>0</v>
      </c>
      <c r="F4231" s="28">
        <f t="shared" si="211"/>
        <v>3</v>
      </c>
    </row>
    <row r="4232" spans="1:6" x14ac:dyDescent="0.35">
      <c r="A4232">
        <f t="shared" si="212"/>
        <v>0</v>
      </c>
      <c r="B4232" t="str">
        <f t="shared" si="210"/>
        <v>KD</v>
      </c>
      <c r="C4232" s="10" t="s">
        <v>119</v>
      </c>
      <c r="D4232" s="18">
        <f>VLOOKUP(C4232,'DISTRIBUIÇÃO NF4267'!$E$3:$FQ$75,MATCH(B4232,'DISTRIBUIÇÃO NF4267'!$E$3:$FQ$3,0)+1,0)</f>
        <v>0</v>
      </c>
      <c r="F4232" s="28">
        <f t="shared" si="211"/>
        <v>3</v>
      </c>
    </row>
    <row r="4233" spans="1:6" x14ac:dyDescent="0.35">
      <c r="A4233">
        <f t="shared" si="212"/>
        <v>0</v>
      </c>
      <c r="B4233" t="str">
        <f t="shared" si="210"/>
        <v>KD</v>
      </c>
      <c r="C4233" s="10" t="s">
        <v>120</v>
      </c>
      <c r="D4233" s="18">
        <f>VLOOKUP(C4233,'DISTRIBUIÇÃO NF4267'!$E$3:$FQ$75,MATCH(B4233,'DISTRIBUIÇÃO NF4267'!$E$3:$FQ$3,0)+1,0)</f>
        <v>48</v>
      </c>
      <c r="F4233" s="28">
        <f t="shared" si="211"/>
        <v>3</v>
      </c>
    </row>
    <row r="4234" spans="1:6" x14ac:dyDescent="0.35">
      <c r="A4234">
        <f t="shared" si="212"/>
        <v>0</v>
      </c>
      <c r="B4234" t="str">
        <f t="shared" si="210"/>
        <v>KD</v>
      </c>
      <c r="C4234" s="10" t="s">
        <v>121</v>
      </c>
      <c r="D4234" s="18">
        <f>VLOOKUP(C4234,'DISTRIBUIÇÃO NF4267'!$E$3:$FQ$75,MATCH(B4234,'DISTRIBUIÇÃO NF4267'!$E$3:$FQ$3,0)+1,0)</f>
        <v>16</v>
      </c>
      <c r="F4234" s="28">
        <f t="shared" si="211"/>
        <v>3</v>
      </c>
    </row>
    <row r="4235" spans="1:6" x14ac:dyDescent="0.35">
      <c r="A4235">
        <f t="shared" si="212"/>
        <v>0</v>
      </c>
      <c r="B4235" t="str">
        <f t="shared" si="210"/>
        <v>KD</v>
      </c>
      <c r="C4235" s="10" t="s">
        <v>122</v>
      </c>
      <c r="D4235" s="18">
        <f>VLOOKUP(C4235,'DISTRIBUIÇÃO NF4267'!$E$3:$FQ$75,MATCH(B4235,'DISTRIBUIÇÃO NF4267'!$E$3:$FQ$3,0)+1,0)</f>
        <v>16</v>
      </c>
      <c r="F4235" s="28">
        <f t="shared" si="211"/>
        <v>3</v>
      </c>
    </row>
    <row r="4236" spans="1:6" x14ac:dyDescent="0.35">
      <c r="A4236">
        <f t="shared" si="212"/>
        <v>0</v>
      </c>
      <c r="B4236" t="str">
        <f t="shared" si="210"/>
        <v>KD</v>
      </c>
      <c r="C4236" s="10" t="s">
        <v>123</v>
      </c>
      <c r="D4236" s="18">
        <f>VLOOKUP(C4236,'DISTRIBUIÇÃO NF4267'!$E$3:$FQ$75,MATCH(B4236,'DISTRIBUIÇÃO NF4267'!$E$3:$FQ$3,0)+1,0)</f>
        <v>0</v>
      </c>
      <c r="F4236" s="28">
        <f t="shared" si="211"/>
        <v>3</v>
      </c>
    </row>
    <row r="4237" spans="1:6" x14ac:dyDescent="0.35">
      <c r="A4237">
        <f t="shared" si="212"/>
        <v>0</v>
      </c>
      <c r="B4237" t="str">
        <f t="shared" si="210"/>
        <v>KD</v>
      </c>
      <c r="C4237" s="10" t="s">
        <v>124</v>
      </c>
      <c r="D4237" s="18">
        <f>VLOOKUP(C4237,'DISTRIBUIÇÃO NF4267'!$E$3:$FQ$75,MATCH(B4237,'DISTRIBUIÇÃO NF4267'!$E$3:$FQ$3,0)+1,0)</f>
        <v>0</v>
      </c>
      <c r="F4237" s="28">
        <f t="shared" si="211"/>
        <v>3</v>
      </c>
    </row>
    <row r="4238" spans="1:6" x14ac:dyDescent="0.35">
      <c r="A4238">
        <f t="shared" si="212"/>
        <v>0</v>
      </c>
      <c r="B4238" t="str">
        <f t="shared" si="210"/>
        <v>KD</v>
      </c>
      <c r="C4238" s="11" t="s">
        <v>16</v>
      </c>
      <c r="D4238" s="18">
        <f>VLOOKUP(C4238,'DISTRIBUIÇÃO NF4267'!$E$3:$FQ$75,MATCH(B4238,'DISTRIBUIÇÃO NF4267'!$E$3:$FQ$3,0)+1,0)</f>
        <v>0</v>
      </c>
      <c r="F4238" s="28">
        <f t="shared" si="211"/>
        <v>3</v>
      </c>
    </row>
    <row r="4239" spans="1:6" x14ac:dyDescent="0.35">
      <c r="A4239">
        <f t="shared" si="212"/>
        <v>0</v>
      </c>
      <c r="B4239" t="str">
        <f t="shared" si="210"/>
        <v>KD</v>
      </c>
      <c r="C4239" s="11" t="s">
        <v>17</v>
      </c>
      <c r="D4239" s="18">
        <f>VLOOKUP(C4239,'DISTRIBUIÇÃO NF4267'!$E$3:$FQ$75,MATCH(B4239,'DISTRIBUIÇÃO NF4267'!$E$3:$FQ$3,0)+1,0)</f>
        <v>9</v>
      </c>
      <c r="F4239" s="28">
        <f t="shared" si="211"/>
        <v>3</v>
      </c>
    </row>
    <row r="4240" spans="1:6" x14ac:dyDescent="0.35">
      <c r="A4240">
        <f t="shared" si="212"/>
        <v>0</v>
      </c>
      <c r="B4240" t="str">
        <f t="shared" si="210"/>
        <v>KD</v>
      </c>
      <c r="C4240" s="11" t="s">
        <v>18</v>
      </c>
      <c r="D4240" s="18">
        <f>VLOOKUP(C4240,'DISTRIBUIÇÃO NF4267'!$E$3:$FQ$75,MATCH(B4240,'DISTRIBUIÇÃO NF4267'!$E$3:$FQ$3,0)+1,0)</f>
        <v>3</v>
      </c>
      <c r="F4240" s="28">
        <f t="shared" si="211"/>
        <v>3</v>
      </c>
    </row>
    <row r="4241" spans="1:6" x14ac:dyDescent="0.35">
      <c r="A4241">
        <f t="shared" si="212"/>
        <v>0</v>
      </c>
      <c r="B4241" t="str">
        <f t="shared" si="210"/>
        <v>KD</v>
      </c>
      <c r="C4241" s="11" t="s">
        <v>19</v>
      </c>
      <c r="D4241" s="18">
        <f>VLOOKUP(C4241,'DISTRIBUIÇÃO NF4267'!$E$3:$FQ$75,MATCH(B4241,'DISTRIBUIÇÃO NF4267'!$E$3:$FQ$3,0)+1,0)</f>
        <v>3</v>
      </c>
      <c r="F4241" s="28">
        <f t="shared" si="211"/>
        <v>3</v>
      </c>
    </row>
    <row r="4242" spans="1:6" x14ac:dyDescent="0.35">
      <c r="A4242">
        <f t="shared" si="212"/>
        <v>0</v>
      </c>
      <c r="B4242" t="str">
        <f t="shared" si="210"/>
        <v>KD</v>
      </c>
      <c r="C4242" s="11" t="s">
        <v>20</v>
      </c>
      <c r="D4242" s="18">
        <f>VLOOKUP(C4242,'DISTRIBUIÇÃO NF4267'!$E$3:$FQ$75,MATCH(B4242,'DISTRIBUIÇÃO NF4267'!$E$3:$FQ$3,0)+1,0)</f>
        <v>15</v>
      </c>
      <c r="F4242" s="28">
        <f t="shared" si="211"/>
        <v>3</v>
      </c>
    </row>
    <row r="4243" spans="1:6" x14ac:dyDescent="0.35">
      <c r="A4243">
        <f t="shared" si="212"/>
        <v>0</v>
      </c>
      <c r="B4243" t="str">
        <f t="shared" si="210"/>
        <v>KD</v>
      </c>
      <c r="C4243" s="11" t="s">
        <v>21</v>
      </c>
      <c r="D4243" s="18">
        <f>VLOOKUP(C4243,'DISTRIBUIÇÃO NF4267'!$E$3:$FQ$75,MATCH(B4243,'DISTRIBUIÇÃO NF4267'!$E$3:$FQ$3,0)+1,0)</f>
        <v>0</v>
      </c>
      <c r="F4243" s="28">
        <f t="shared" si="211"/>
        <v>3</v>
      </c>
    </row>
    <row r="4244" spans="1:6" x14ac:dyDescent="0.35">
      <c r="A4244">
        <f t="shared" si="212"/>
        <v>0</v>
      </c>
      <c r="B4244" t="str">
        <f t="shared" si="210"/>
        <v>KD</v>
      </c>
      <c r="C4244" s="12" t="s">
        <v>130</v>
      </c>
      <c r="D4244" s="18">
        <f>VLOOKUP(C4244,'DISTRIBUIÇÃO NF4267'!$E$3:$FQ$75,MATCH(B4244,'DISTRIBUIÇÃO NF4267'!$E$3:$FQ$3,0)+1,0)</f>
        <v>0</v>
      </c>
      <c r="F4244" s="28">
        <f t="shared" si="211"/>
        <v>3</v>
      </c>
    </row>
    <row r="4245" spans="1:6" x14ac:dyDescent="0.35">
      <c r="A4245">
        <f t="shared" si="212"/>
        <v>0</v>
      </c>
      <c r="B4245" t="str">
        <f t="shared" si="210"/>
        <v>KD</v>
      </c>
      <c r="C4245" s="12" t="s">
        <v>131</v>
      </c>
      <c r="D4245" s="18">
        <f>VLOOKUP(C4245,'DISTRIBUIÇÃO NF4267'!$E$3:$FQ$75,MATCH(B4245,'DISTRIBUIÇÃO NF4267'!$E$3:$FQ$3,0)+1,0)</f>
        <v>0</v>
      </c>
      <c r="F4245" s="28">
        <f t="shared" si="211"/>
        <v>3</v>
      </c>
    </row>
    <row r="4246" spans="1:6" x14ac:dyDescent="0.35">
      <c r="A4246">
        <f t="shared" si="212"/>
        <v>0</v>
      </c>
      <c r="B4246" t="str">
        <f t="shared" si="210"/>
        <v>KD</v>
      </c>
      <c r="C4246" s="12" t="s">
        <v>132</v>
      </c>
      <c r="D4246" s="18">
        <f>VLOOKUP(C4246,'DISTRIBUIÇÃO NF4267'!$E$3:$FQ$75,MATCH(B4246,'DISTRIBUIÇÃO NF4267'!$E$3:$FQ$3,0)+1,0)</f>
        <v>0</v>
      </c>
      <c r="F4246" s="28">
        <f t="shared" si="211"/>
        <v>3</v>
      </c>
    </row>
    <row r="4247" spans="1:6" x14ac:dyDescent="0.35">
      <c r="A4247">
        <f t="shared" si="212"/>
        <v>0</v>
      </c>
      <c r="B4247" t="str">
        <f t="shared" si="210"/>
        <v>KD</v>
      </c>
      <c r="C4247" s="12" t="s">
        <v>133</v>
      </c>
      <c r="D4247" s="18">
        <f>VLOOKUP(C4247,'DISTRIBUIÇÃO NF4267'!$E$3:$FQ$75,MATCH(B4247,'DISTRIBUIÇÃO NF4267'!$E$3:$FQ$3,0)+1,0)</f>
        <v>0</v>
      </c>
      <c r="F4247" s="28">
        <f t="shared" si="211"/>
        <v>3</v>
      </c>
    </row>
    <row r="4248" spans="1:6" x14ac:dyDescent="0.35">
      <c r="A4248">
        <f t="shared" si="212"/>
        <v>0</v>
      </c>
      <c r="B4248" t="str">
        <f t="shared" si="210"/>
        <v>KD</v>
      </c>
      <c r="C4248" s="12" t="s">
        <v>134</v>
      </c>
      <c r="D4248" s="18">
        <f>VLOOKUP(C4248,'DISTRIBUIÇÃO NF4267'!$E$3:$FQ$75,MATCH(B4248,'DISTRIBUIÇÃO NF4267'!$E$3:$FQ$3,0)+1,0)</f>
        <v>0</v>
      </c>
      <c r="F4248" s="28">
        <f t="shared" si="211"/>
        <v>3</v>
      </c>
    </row>
    <row r="4249" spans="1:6" x14ac:dyDescent="0.35">
      <c r="A4249">
        <f t="shared" si="212"/>
        <v>0</v>
      </c>
      <c r="B4249" t="str">
        <f t="shared" si="210"/>
        <v>KD</v>
      </c>
      <c r="C4249" s="12" t="s">
        <v>135</v>
      </c>
      <c r="D4249" s="18">
        <f>VLOOKUP(C4249,'DISTRIBUIÇÃO NF4267'!$E$3:$FQ$75,MATCH(B4249,'DISTRIBUIÇÃO NF4267'!$E$3:$FQ$3,0)+1,0)</f>
        <v>0</v>
      </c>
      <c r="F4249" s="28">
        <f t="shared" si="211"/>
        <v>3</v>
      </c>
    </row>
    <row r="4250" spans="1:6" x14ac:dyDescent="0.35">
      <c r="A4250">
        <f t="shared" si="212"/>
        <v>0</v>
      </c>
      <c r="B4250" t="str">
        <f t="shared" si="210"/>
        <v>KD</v>
      </c>
      <c r="C4250" s="13" t="s">
        <v>22</v>
      </c>
      <c r="D4250" s="18">
        <f>VLOOKUP(C4250,'DISTRIBUIÇÃO NF4267'!$E$3:$FQ$75,MATCH(B4250,'DISTRIBUIÇÃO NF4267'!$E$3:$FQ$3,0)+1,0)</f>
        <v>0</v>
      </c>
      <c r="F4250" s="28">
        <f t="shared" si="211"/>
        <v>3</v>
      </c>
    </row>
    <row r="4251" spans="1:6" x14ac:dyDescent="0.35">
      <c r="A4251">
        <f t="shared" si="212"/>
        <v>0</v>
      </c>
      <c r="B4251" t="str">
        <f t="shared" si="210"/>
        <v>KD</v>
      </c>
      <c r="C4251" s="13" t="s">
        <v>23</v>
      </c>
      <c r="D4251" s="18">
        <f>VLOOKUP(C4251,'DISTRIBUIÇÃO NF4267'!$E$3:$FQ$75,MATCH(B4251,'DISTRIBUIÇÃO NF4267'!$E$3:$FQ$3,0)+1,0)</f>
        <v>0</v>
      </c>
      <c r="F4251" s="28">
        <f t="shared" si="211"/>
        <v>3</v>
      </c>
    </row>
    <row r="4252" spans="1:6" x14ac:dyDescent="0.35">
      <c r="A4252">
        <f t="shared" si="212"/>
        <v>0</v>
      </c>
      <c r="B4252" t="str">
        <f t="shared" si="210"/>
        <v>KD</v>
      </c>
      <c r="C4252" s="13" t="s">
        <v>24</v>
      </c>
      <c r="D4252" s="18">
        <f>VLOOKUP(C4252,'DISTRIBUIÇÃO NF4267'!$E$3:$FQ$75,MATCH(B4252,'DISTRIBUIÇÃO NF4267'!$E$3:$FQ$3,0)+1,0)</f>
        <v>0</v>
      </c>
      <c r="F4252" s="28">
        <f t="shared" si="211"/>
        <v>3</v>
      </c>
    </row>
    <row r="4253" spans="1:6" x14ac:dyDescent="0.35">
      <c r="A4253">
        <f t="shared" si="212"/>
        <v>0</v>
      </c>
      <c r="B4253" t="str">
        <f t="shared" si="210"/>
        <v>KD</v>
      </c>
      <c r="C4253" s="13" t="s">
        <v>25</v>
      </c>
      <c r="D4253" s="18">
        <f>VLOOKUP(C4253,'DISTRIBUIÇÃO NF4267'!$E$3:$FQ$75,MATCH(B4253,'DISTRIBUIÇÃO NF4267'!$E$3:$FQ$3,0)+1,0)</f>
        <v>0</v>
      </c>
      <c r="F4253" s="28">
        <f t="shared" si="211"/>
        <v>3</v>
      </c>
    </row>
    <row r="4254" spans="1:6" x14ac:dyDescent="0.35">
      <c r="A4254">
        <f t="shared" si="212"/>
        <v>0</v>
      </c>
      <c r="B4254" t="str">
        <f t="shared" si="210"/>
        <v>KD</v>
      </c>
      <c r="C4254" s="13" t="s">
        <v>26</v>
      </c>
      <c r="D4254" s="18">
        <f>VLOOKUP(C4254,'DISTRIBUIÇÃO NF4267'!$E$3:$FQ$75,MATCH(B4254,'DISTRIBUIÇÃO NF4267'!$E$3:$FQ$3,0)+1,0)</f>
        <v>0</v>
      </c>
      <c r="F4254" s="28">
        <f t="shared" si="211"/>
        <v>3</v>
      </c>
    </row>
    <row r="4255" spans="1:6" x14ac:dyDescent="0.35">
      <c r="A4255">
        <f t="shared" si="212"/>
        <v>0</v>
      </c>
      <c r="B4255" t="str">
        <f t="shared" si="210"/>
        <v>KD</v>
      </c>
      <c r="C4255" s="13" t="s">
        <v>27</v>
      </c>
      <c r="D4255" s="18">
        <f>VLOOKUP(C4255,'DISTRIBUIÇÃO NF4267'!$E$3:$FQ$75,MATCH(B4255,'DISTRIBUIÇÃO NF4267'!$E$3:$FQ$3,0)+1,0)</f>
        <v>0</v>
      </c>
      <c r="F4255" s="28">
        <f t="shared" si="211"/>
        <v>3</v>
      </c>
    </row>
    <row r="4256" spans="1:6" x14ac:dyDescent="0.35">
      <c r="A4256">
        <f t="shared" si="212"/>
        <v>0</v>
      </c>
      <c r="B4256" t="str">
        <f t="shared" si="210"/>
        <v>KD</v>
      </c>
      <c r="C4256" s="14" t="s">
        <v>138</v>
      </c>
      <c r="D4256" s="18">
        <f>VLOOKUP(C4256,'DISTRIBUIÇÃO NF4267'!$E$3:$FQ$75,MATCH(B4256,'DISTRIBUIÇÃO NF4267'!$E$3:$FQ$3,0)+1,0)</f>
        <v>0</v>
      </c>
      <c r="F4256" s="28">
        <f t="shared" si="211"/>
        <v>3</v>
      </c>
    </row>
    <row r="4257" spans="1:6" x14ac:dyDescent="0.35">
      <c r="A4257">
        <f t="shared" si="212"/>
        <v>0</v>
      </c>
      <c r="B4257" t="str">
        <f t="shared" si="210"/>
        <v>KD</v>
      </c>
      <c r="C4257" s="14" t="s">
        <v>139</v>
      </c>
      <c r="D4257" s="18">
        <f>VLOOKUP(C4257,'DISTRIBUIÇÃO NF4267'!$E$3:$FQ$75,MATCH(B4257,'DISTRIBUIÇÃO NF4267'!$E$3:$FQ$3,0)+1,0)</f>
        <v>2</v>
      </c>
      <c r="F4257" s="28">
        <f t="shared" si="211"/>
        <v>3</v>
      </c>
    </row>
    <row r="4258" spans="1:6" x14ac:dyDescent="0.35">
      <c r="A4258">
        <f t="shared" si="212"/>
        <v>0</v>
      </c>
      <c r="B4258" t="str">
        <f t="shared" si="210"/>
        <v>KD</v>
      </c>
      <c r="C4258" s="14" t="s">
        <v>140</v>
      </c>
      <c r="D4258" s="18">
        <f>VLOOKUP(C4258,'DISTRIBUIÇÃO NF4267'!$E$3:$FQ$75,MATCH(B4258,'DISTRIBUIÇÃO NF4267'!$E$3:$FQ$3,0)+1,0)</f>
        <v>4</v>
      </c>
      <c r="F4258" s="28">
        <f t="shared" si="211"/>
        <v>3</v>
      </c>
    </row>
    <row r="4259" spans="1:6" x14ac:dyDescent="0.35">
      <c r="A4259">
        <f t="shared" si="212"/>
        <v>0</v>
      </c>
      <c r="B4259" t="str">
        <f t="shared" si="210"/>
        <v>KD</v>
      </c>
      <c r="C4259" s="14" t="s">
        <v>141</v>
      </c>
      <c r="D4259" s="18">
        <f>VLOOKUP(C4259,'DISTRIBUIÇÃO NF4267'!$E$3:$FQ$75,MATCH(B4259,'DISTRIBUIÇÃO NF4267'!$E$3:$FQ$3,0)+1,0)</f>
        <v>2</v>
      </c>
      <c r="F4259" s="28">
        <f t="shared" si="211"/>
        <v>3</v>
      </c>
    </row>
    <row r="4260" spans="1:6" x14ac:dyDescent="0.35">
      <c r="A4260">
        <f t="shared" si="212"/>
        <v>0</v>
      </c>
      <c r="B4260" t="str">
        <f t="shared" si="210"/>
        <v>KD</v>
      </c>
      <c r="C4260" s="14" t="s">
        <v>142</v>
      </c>
      <c r="D4260" s="18">
        <f>VLOOKUP(C4260,'DISTRIBUIÇÃO NF4267'!$E$3:$FQ$75,MATCH(B4260,'DISTRIBUIÇÃO NF4267'!$E$3:$FQ$3,0)+1,0)</f>
        <v>2</v>
      </c>
      <c r="F4260" s="28">
        <f t="shared" si="211"/>
        <v>3</v>
      </c>
    </row>
    <row r="4261" spans="1:6" x14ac:dyDescent="0.35">
      <c r="A4261">
        <f t="shared" si="212"/>
        <v>0</v>
      </c>
      <c r="B4261" t="str">
        <f t="shared" si="210"/>
        <v>KD</v>
      </c>
      <c r="C4261" s="14" t="s">
        <v>143</v>
      </c>
      <c r="D4261" s="18">
        <f>VLOOKUP(C4261,'DISTRIBUIÇÃO NF4267'!$E$3:$FQ$75,MATCH(B4261,'DISTRIBUIÇÃO NF4267'!$E$3:$FQ$3,0)+1,0)</f>
        <v>0</v>
      </c>
      <c r="F4261" s="28">
        <f t="shared" si="211"/>
        <v>3</v>
      </c>
    </row>
    <row r="4262" spans="1:6" x14ac:dyDescent="0.35">
      <c r="A4262">
        <f t="shared" si="212"/>
        <v>0</v>
      </c>
      <c r="B4262" t="str">
        <f t="shared" si="210"/>
        <v>KD</v>
      </c>
      <c r="C4262" s="15" t="s">
        <v>145</v>
      </c>
      <c r="D4262" s="18">
        <f>VLOOKUP(C4262,'DISTRIBUIÇÃO NF4267'!$E$3:$FQ$75,MATCH(B4262,'DISTRIBUIÇÃO NF4267'!$E$3:$FQ$3,0)+1,0)</f>
        <v>0</v>
      </c>
      <c r="F4262" s="28">
        <f t="shared" si="211"/>
        <v>3</v>
      </c>
    </row>
    <row r="4263" spans="1:6" x14ac:dyDescent="0.35">
      <c r="A4263">
        <f t="shared" si="212"/>
        <v>0</v>
      </c>
      <c r="B4263" t="str">
        <f t="shared" si="210"/>
        <v>KD</v>
      </c>
      <c r="C4263" s="15" t="s">
        <v>146</v>
      </c>
      <c r="D4263" s="18">
        <f>VLOOKUP(C4263,'DISTRIBUIÇÃO NF4267'!$E$3:$FQ$75,MATCH(B4263,'DISTRIBUIÇÃO NF4267'!$E$3:$FQ$3,0)+1,0)</f>
        <v>2</v>
      </c>
      <c r="F4263" s="28">
        <f t="shared" si="211"/>
        <v>3</v>
      </c>
    </row>
    <row r="4264" spans="1:6" x14ac:dyDescent="0.35">
      <c r="A4264">
        <f t="shared" si="212"/>
        <v>0</v>
      </c>
      <c r="B4264" t="str">
        <f t="shared" si="210"/>
        <v>KD</v>
      </c>
      <c r="C4264" s="15" t="s">
        <v>147</v>
      </c>
      <c r="D4264" s="18">
        <f>VLOOKUP(C4264,'DISTRIBUIÇÃO NF4267'!$E$3:$FQ$75,MATCH(B4264,'DISTRIBUIÇÃO NF4267'!$E$3:$FQ$3,0)+1,0)</f>
        <v>4</v>
      </c>
      <c r="F4264" s="28">
        <f t="shared" si="211"/>
        <v>3</v>
      </c>
    </row>
    <row r="4265" spans="1:6" x14ac:dyDescent="0.35">
      <c r="A4265">
        <f t="shared" si="212"/>
        <v>0</v>
      </c>
      <c r="B4265" t="str">
        <f t="shared" si="210"/>
        <v>KD</v>
      </c>
      <c r="C4265" s="15" t="s">
        <v>148</v>
      </c>
      <c r="D4265" s="18">
        <f>VLOOKUP(C4265,'DISTRIBUIÇÃO NF4267'!$E$3:$FQ$75,MATCH(B4265,'DISTRIBUIÇÃO NF4267'!$E$3:$FQ$3,0)+1,0)</f>
        <v>2</v>
      </c>
      <c r="F4265" s="28">
        <f t="shared" si="211"/>
        <v>3</v>
      </c>
    </row>
    <row r="4266" spans="1:6" x14ac:dyDescent="0.35">
      <c r="A4266">
        <f t="shared" si="212"/>
        <v>0</v>
      </c>
      <c r="B4266" t="str">
        <f t="shared" si="210"/>
        <v>KD</v>
      </c>
      <c r="C4266" s="15" t="s">
        <v>149</v>
      </c>
      <c r="D4266" s="18">
        <f>VLOOKUP(C4266,'DISTRIBUIÇÃO NF4267'!$E$3:$FQ$75,MATCH(B4266,'DISTRIBUIÇÃO NF4267'!$E$3:$FQ$3,0)+1,0)</f>
        <v>2</v>
      </c>
      <c r="F4266" s="28">
        <f t="shared" si="211"/>
        <v>3</v>
      </c>
    </row>
    <row r="4267" spans="1:6" x14ac:dyDescent="0.35">
      <c r="A4267">
        <f t="shared" si="212"/>
        <v>0</v>
      </c>
      <c r="B4267" t="str">
        <f t="shared" si="210"/>
        <v>KD</v>
      </c>
      <c r="C4267" s="15" t="s">
        <v>150</v>
      </c>
      <c r="D4267" s="18">
        <f>VLOOKUP(C4267,'DISTRIBUIÇÃO NF4267'!$E$3:$FQ$75,MATCH(B4267,'DISTRIBUIÇÃO NF4267'!$E$3:$FQ$3,0)+1,0)</f>
        <v>0</v>
      </c>
      <c r="F4267" s="28">
        <f t="shared" si="211"/>
        <v>3</v>
      </c>
    </row>
    <row r="4268" spans="1:6" x14ac:dyDescent="0.35">
      <c r="A4268">
        <f t="shared" si="212"/>
        <v>0</v>
      </c>
      <c r="B4268" t="s">
        <v>87</v>
      </c>
      <c r="C4268" s="7" t="s">
        <v>98</v>
      </c>
      <c r="D4268" s="18">
        <f>VLOOKUP(C4268,'DISTRIBUIÇÃO NF4267'!$E$3:$FQ$75,MATCH(B4268,'DISTRIBUIÇÃO NF4267'!$E$3:$FQ$3,0)+1,0)</f>
        <v>0</v>
      </c>
      <c r="F4268" s="28">
        <f t="shared" si="211"/>
        <v>3</v>
      </c>
    </row>
    <row r="4269" spans="1:6" x14ac:dyDescent="0.35">
      <c r="A4269">
        <f t="shared" si="212"/>
        <v>0</v>
      </c>
      <c r="B4269" t="str">
        <f>B4268</f>
        <v>KK</v>
      </c>
      <c r="C4269" s="7" t="s">
        <v>99</v>
      </c>
      <c r="D4269" s="18">
        <f>VLOOKUP(C4269,'DISTRIBUIÇÃO NF4267'!$E$3:$FQ$75,MATCH(B4269,'DISTRIBUIÇÃO NF4267'!$E$3:$FQ$3,0)+1,0)</f>
        <v>4</v>
      </c>
      <c r="F4269" s="28">
        <f t="shared" si="211"/>
        <v>3</v>
      </c>
    </row>
    <row r="4270" spans="1:6" x14ac:dyDescent="0.35">
      <c r="A4270">
        <f t="shared" si="212"/>
        <v>0</v>
      </c>
      <c r="B4270" t="str">
        <f t="shared" ref="B4270:B4321" si="213">B4269</f>
        <v>KK</v>
      </c>
      <c r="C4270" s="7" t="s">
        <v>100</v>
      </c>
      <c r="D4270" s="18">
        <f>VLOOKUP(C4270,'DISTRIBUIÇÃO NF4267'!$E$3:$FQ$75,MATCH(B4270,'DISTRIBUIÇÃO NF4267'!$E$3:$FQ$3,0)+1,0)</f>
        <v>8</v>
      </c>
      <c r="F4270" s="28">
        <f t="shared" si="211"/>
        <v>3</v>
      </c>
    </row>
    <row r="4271" spans="1:6" x14ac:dyDescent="0.35">
      <c r="A4271">
        <f t="shared" si="212"/>
        <v>0</v>
      </c>
      <c r="B4271" t="str">
        <f t="shared" si="213"/>
        <v>KK</v>
      </c>
      <c r="C4271" s="7" t="s">
        <v>101</v>
      </c>
      <c r="D4271" s="18">
        <f>VLOOKUP(C4271,'DISTRIBUIÇÃO NF4267'!$E$3:$FQ$75,MATCH(B4271,'DISTRIBUIÇÃO NF4267'!$E$3:$FQ$3,0)+1,0)</f>
        <v>4</v>
      </c>
      <c r="F4271" s="28">
        <f t="shared" si="211"/>
        <v>3</v>
      </c>
    </row>
    <row r="4272" spans="1:6" x14ac:dyDescent="0.35">
      <c r="A4272">
        <f t="shared" si="212"/>
        <v>0</v>
      </c>
      <c r="B4272" t="str">
        <f t="shared" si="213"/>
        <v>KK</v>
      </c>
      <c r="C4272" s="7" t="s">
        <v>102</v>
      </c>
      <c r="D4272" s="18">
        <f>VLOOKUP(C4272,'DISTRIBUIÇÃO NF4267'!$E$3:$FQ$75,MATCH(B4272,'DISTRIBUIÇÃO NF4267'!$E$3:$FQ$3,0)+1,0)</f>
        <v>4</v>
      </c>
      <c r="F4272" s="28">
        <f t="shared" si="211"/>
        <v>3</v>
      </c>
    </row>
    <row r="4273" spans="1:6" x14ac:dyDescent="0.35">
      <c r="A4273">
        <f t="shared" si="212"/>
        <v>0</v>
      </c>
      <c r="B4273" t="str">
        <f t="shared" si="213"/>
        <v>KK</v>
      </c>
      <c r="C4273" s="7" t="s">
        <v>103</v>
      </c>
      <c r="D4273" s="18">
        <f>VLOOKUP(C4273,'DISTRIBUIÇÃO NF4267'!$E$3:$FQ$75,MATCH(B4273,'DISTRIBUIÇÃO NF4267'!$E$3:$FQ$3,0)+1,0)</f>
        <v>0</v>
      </c>
      <c r="F4273" s="28">
        <f t="shared" si="211"/>
        <v>3</v>
      </c>
    </row>
    <row r="4274" spans="1:6" x14ac:dyDescent="0.35">
      <c r="A4274">
        <f t="shared" si="212"/>
        <v>0</v>
      </c>
      <c r="B4274" t="str">
        <f t="shared" si="213"/>
        <v>KK</v>
      </c>
      <c r="C4274" s="8" t="s">
        <v>107</v>
      </c>
      <c r="D4274" s="18">
        <f>VLOOKUP(C4274,'DISTRIBUIÇÃO NF4267'!$E$3:$FQ$75,MATCH(B4274,'DISTRIBUIÇÃO NF4267'!$E$3:$FQ$3,0)+1,0)</f>
        <v>0</v>
      </c>
      <c r="F4274" s="28">
        <f t="shared" si="211"/>
        <v>3</v>
      </c>
    </row>
    <row r="4275" spans="1:6" x14ac:dyDescent="0.35">
      <c r="A4275">
        <f t="shared" si="212"/>
        <v>0</v>
      </c>
      <c r="B4275" t="str">
        <f t="shared" si="213"/>
        <v>KK</v>
      </c>
      <c r="C4275" s="8" t="s">
        <v>108</v>
      </c>
      <c r="D4275" s="18">
        <f>VLOOKUP(C4275,'DISTRIBUIÇÃO NF4267'!$E$3:$FQ$75,MATCH(B4275,'DISTRIBUIÇÃO NF4267'!$E$3:$FQ$3,0)+1,0)</f>
        <v>2</v>
      </c>
      <c r="F4275" s="28">
        <f t="shared" si="211"/>
        <v>3</v>
      </c>
    </row>
    <row r="4276" spans="1:6" x14ac:dyDescent="0.35">
      <c r="A4276">
        <f t="shared" si="212"/>
        <v>0</v>
      </c>
      <c r="B4276" t="str">
        <f t="shared" si="213"/>
        <v>KK</v>
      </c>
      <c r="C4276" s="8" t="s">
        <v>109</v>
      </c>
      <c r="D4276" s="18">
        <f>VLOOKUP(C4276,'DISTRIBUIÇÃO NF4267'!$E$3:$FQ$75,MATCH(B4276,'DISTRIBUIÇÃO NF4267'!$E$3:$FQ$3,0)+1,0)</f>
        <v>4</v>
      </c>
      <c r="F4276" s="28">
        <f t="shared" si="211"/>
        <v>3</v>
      </c>
    </row>
    <row r="4277" spans="1:6" x14ac:dyDescent="0.35">
      <c r="A4277">
        <f t="shared" si="212"/>
        <v>0</v>
      </c>
      <c r="B4277" t="str">
        <f t="shared" si="213"/>
        <v>KK</v>
      </c>
      <c r="C4277" s="8" t="s">
        <v>110</v>
      </c>
      <c r="D4277" s="18">
        <f>VLOOKUP(C4277,'DISTRIBUIÇÃO NF4267'!$E$3:$FQ$75,MATCH(B4277,'DISTRIBUIÇÃO NF4267'!$E$3:$FQ$3,0)+1,0)</f>
        <v>2</v>
      </c>
      <c r="F4277" s="28">
        <f t="shared" si="211"/>
        <v>3</v>
      </c>
    </row>
    <row r="4278" spans="1:6" x14ac:dyDescent="0.35">
      <c r="A4278">
        <f t="shared" si="212"/>
        <v>0</v>
      </c>
      <c r="B4278" t="str">
        <f t="shared" si="213"/>
        <v>KK</v>
      </c>
      <c r="C4278" s="8" t="s">
        <v>111</v>
      </c>
      <c r="D4278" s="18">
        <f>VLOOKUP(C4278,'DISTRIBUIÇÃO NF4267'!$E$3:$FQ$75,MATCH(B4278,'DISTRIBUIÇÃO NF4267'!$E$3:$FQ$3,0)+1,0)</f>
        <v>2</v>
      </c>
      <c r="F4278" s="28">
        <f t="shared" si="211"/>
        <v>3</v>
      </c>
    </row>
    <row r="4279" spans="1:6" x14ac:dyDescent="0.35">
      <c r="A4279">
        <f t="shared" si="212"/>
        <v>0</v>
      </c>
      <c r="B4279" t="str">
        <f t="shared" si="213"/>
        <v>KK</v>
      </c>
      <c r="C4279" s="8" t="s">
        <v>112</v>
      </c>
      <c r="D4279" s="18">
        <f>VLOOKUP(C4279,'DISTRIBUIÇÃO NF4267'!$E$3:$FQ$75,MATCH(B4279,'DISTRIBUIÇÃO NF4267'!$E$3:$FQ$3,0)+1,0)</f>
        <v>0</v>
      </c>
      <c r="F4279" s="28">
        <f t="shared" si="211"/>
        <v>3</v>
      </c>
    </row>
    <row r="4280" spans="1:6" x14ac:dyDescent="0.35">
      <c r="A4280">
        <f t="shared" si="212"/>
        <v>0</v>
      </c>
      <c r="B4280" t="str">
        <f t="shared" si="213"/>
        <v>KK</v>
      </c>
      <c r="C4280" s="9" t="s">
        <v>113</v>
      </c>
      <c r="D4280" s="18">
        <f>VLOOKUP(C4280,'DISTRIBUIÇÃO NF4267'!$E$3:$FQ$75,MATCH(B4280,'DISTRIBUIÇÃO NF4267'!$E$3:$FQ$3,0)+1,0)</f>
        <v>0</v>
      </c>
      <c r="F4280" s="28">
        <f t="shared" ref="F4280:F4343" si="214">ROUNDUP(SUMIFS(D:D,B:B,B4280)/80,0)</f>
        <v>3</v>
      </c>
    </row>
    <row r="4281" spans="1:6" x14ac:dyDescent="0.35">
      <c r="A4281">
        <f t="shared" si="212"/>
        <v>0</v>
      </c>
      <c r="B4281" t="str">
        <f t="shared" si="213"/>
        <v>KK</v>
      </c>
      <c r="C4281" s="9" t="s">
        <v>114</v>
      </c>
      <c r="D4281" s="18">
        <f>VLOOKUP(C4281,'DISTRIBUIÇÃO NF4267'!$E$3:$FQ$75,MATCH(B4281,'DISTRIBUIÇÃO NF4267'!$E$3:$FQ$3,0)+1,0)</f>
        <v>3</v>
      </c>
      <c r="F4281" s="28">
        <f t="shared" si="214"/>
        <v>3</v>
      </c>
    </row>
    <row r="4282" spans="1:6" x14ac:dyDescent="0.35">
      <c r="A4282">
        <f t="shared" si="212"/>
        <v>0</v>
      </c>
      <c r="B4282" t="str">
        <f t="shared" si="213"/>
        <v>KK</v>
      </c>
      <c r="C4282" s="9" t="s">
        <v>115</v>
      </c>
      <c r="D4282" s="18">
        <f>VLOOKUP(C4282,'DISTRIBUIÇÃO NF4267'!$E$3:$FQ$75,MATCH(B4282,'DISTRIBUIÇÃO NF4267'!$E$3:$FQ$3,0)+1,0)</f>
        <v>4</v>
      </c>
      <c r="F4282" s="28">
        <f t="shared" si="214"/>
        <v>3</v>
      </c>
    </row>
    <row r="4283" spans="1:6" x14ac:dyDescent="0.35">
      <c r="A4283">
        <f t="shared" si="212"/>
        <v>0</v>
      </c>
      <c r="B4283" t="str">
        <f t="shared" si="213"/>
        <v>KK</v>
      </c>
      <c r="C4283" s="9" t="s">
        <v>116</v>
      </c>
      <c r="D4283" s="18">
        <f>VLOOKUP(C4283,'DISTRIBUIÇÃO NF4267'!$E$3:$FQ$75,MATCH(B4283,'DISTRIBUIÇÃO NF4267'!$E$3:$FQ$3,0)+1,0)</f>
        <v>2</v>
      </c>
      <c r="F4283" s="28">
        <f t="shared" si="214"/>
        <v>3</v>
      </c>
    </row>
    <row r="4284" spans="1:6" x14ac:dyDescent="0.35">
      <c r="A4284">
        <f t="shared" si="212"/>
        <v>0</v>
      </c>
      <c r="B4284" t="str">
        <f t="shared" si="213"/>
        <v>KK</v>
      </c>
      <c r="C4284" s="9" t="s">
        <v>117</v>
      </c>
      <c r="D4284" s="18">
        <f>VLOOKUP(C4284,'DISTRIBUIÇÃO NF4267'!$E$3:$FQ$75,MATCH(B4284,'DISTRIBUIÇÃO NF4267'!$E$3:$FQ$3,0)+1,0)</f>
        <v>1</v>
      </c>
      <c r="F4284" s="28">
        <f t="shared" si="214"/>
        <v>3</v>
      </c>
    </row>
    <row r="4285" spans="1:6" x14ac:dyDescent="0.35">
      <c r="A4285">
        <f t="shared" si="212"/>
        <v>0</v>
      </c>
      <c r="B4285" t="str">
        <f t="shared" si="213"/>
        <v>KK</v>
      </c>
      <c r="C4285" s="9" t="s">
        <v>118</v>
      </c>
      <c r="D4285" s="18">
        <f>VLOOKUP(C4285,'DISTRIBUIÇÃO NF4267'!$E$3:$FQ$75,MATCH(B4285,'DISTRIBUIÇÃO NF4267'!$E$3:$FQ$3,0)+1,0)</f>
        <v>0</v>
      </c>
      <c r="F4285" s="28">
        <f t="shared" si="214"/>
        <v>3</v>
      </c>
    </row>
    <row r="4286" spans="1:6" x14ac:dyDescent="0.35">
      <c r="A4286">
        <f t="shared" si="212"/>
        <v>0</v>
      </c>
      <c r="B4286" t="str">
        <f t="shared" si="213"/>
        <v>KK</v>
      </c>
      <c r="C4286" s="10" t="s">
        <v>119</v>
      </c>
      <c r="D4286" s="18">
        <f>VLOOKUP(C4286,'DISTRIBUIÇÃO NF4267'!$E$3:$FQ$75,MATCH(B4286,'DISTRIBUIÇÃO NF4267'!$E$3:$FQ$3,0)+1,0)</f>
        <v>0</v>
      </c>
      <c r="F4286" s="28">
        <f t="shared" si="214"/>
        <v>3</v>
      </c>
    </row>
    <row r="4287" spans="1:6" x14ac:dyDescent="0.35">
      <c r="A4287">
        <f t="shared" si="212"/>
        <v>0</v>
      </c>
      <c r="B4287" t="str">
        <f t="shared" si="213"/>
        <v>KK</v>
      </c>
      <c r="C4287" s="10" t="s">
        <v>120</v>
      </c>
      <c r="D4287" s="18">
        <f>VLOOKUP(C4287,'DISTRIBUIÇÃO NF4267'!$E$3:$FQ$75,MATCH(B4287,'DISTRIBUIÇÃO NF4267'!$E$3:$FQ$3,0)+1,0)</f>
        <v>48</v>
      </c>
      <c r="F4287" s="28">
        <f t="shared" si="214"/>
        <v>3</v>
      </c>
    </row>
    <row r="4288" spans="1:6" x14ac:dyDescent="0.35">
      <c r="A4288">
        <f t="shared" si="212"/>
        <v>0</v>
      </c>
      <c r="B4288" t="str">
        <f t="shared" si="213"/>
        <v>KK</v>
      </c>
      <c r="C4288" s="10" t="s">
        <v>121</v>
      </c>
      <c r="D4288" s="18">
        <f>VLOOKUP(C4288,'DISTRIBUIÇÃO NF4267'!$E$3:$FQ$75,MATCH(B4288,'DISTRIBUIÇÃO NF4267'!$E$3:$FQ$3,0)+1,0)</f>
        <v>16</v>
      </c>
      <c r="F4288" s="28">
        <f t="shared" si="214"/>
        <v>3</v>
      </c>
    </row>
    <row r="4289" spans="1:6" x14ac:dyDescent="0.35">
      <c r="A4289">
        <f t="shared" si="212"/>
        <v>0</v>
      </c>
      <c r="B4289" t="str">
        <f t="shared" si="213"/>
        <v>KK</v>
      </c>
      <c r="C4289" s="10" t="s">
        <v>122</v>
      </c>
      <c r="D4289" s="18">
        <f>VLOOKUP(C4289,'DISTRIBUIÇÃO NF4267'!$E$3:$FQ$75,MATCH(B4289,'DISTRIBUIÇÃO NF4267'!$E$3:$FQ$3,0)+1,0)</f>
        <v>16</v>
      </c>
      <c r="F4289" s="28">
        <f t="shared" si="214"/>
        <v>3</v>
      </c>
    </row>
    <row r="4290" spans="1:6" x14ac:dyDescent="0.35">
      <c r="A4290">
        <f t="shared" ref="A4290:A4353" si="215">IF(ISERROR(VLOOKUP(C4290,I:I,1,0)),0,1)</f>
        <v>0</v>
      </c>
      <c r="B4290" t="str">
        <f t="shared" si="213"/>
        <v>KK</v>
      </c>
      <c r="C4290" s="10" t="s">
        <v>123</v>
      </c>
      <c r="D4290" s="18">
        <f>VLOOKUP(C4290,'DISTRIBUIÇÃO NF4267'!$E$3:$FQ$75,MATCH(B4290,'DISTRIBUIÇÃO NF4267'!$E$3:$FQ$3,0)+1,0)</f>
        <v>0</v>
      </c>
      <c r="F4290" s="28">
        <f t="shared" si="214"/>
        <v>3</v>
      </c>
    </row>
    <row r="4291" spans="1:6" x14ac:dyDescent="0.35">
      <c r="A4291">
        <f t="shared" si="215"/>
        <v>0</v>
      </c>
      <c r="B4291" t="str">
        <f t="shared" si="213"/>
        <v>KK</v>
      </c>
      <c r="C4291" s="10" t="s">
        <v>124</v>
      </c>
      <c r="D4291" s="18">
        <f>VLOOKUP(C4291,'DISTRIBUIÇÃO NF4267'!$E$3:$FQ$75,MATCH(B4291,'DISTRIBUIÇÃO NF4267'!$E$3:$FQ$3,0)+1,0)</f>
        <v>0</v>
      </c>
      <c r="F4291" s="28">
        <f t="shared" si="214"/>
        <v>3</v>
      </c>
    </row>
    <row r="4292" spans="1:6" x14ac:dyDescent="0.35">
      <c r="A4292">
        <f t="shared" si="215"/>
        <v>0</v>
      </c>
      <c r="B4292" t="str">
        <f t="shared" si="213"/>
        <v>KK</v>
      </c>
      <c r="C4292" s="11" t="s">
        <v>16</v>
      </c>
      <c r="D4292" s="18">
        <f>VLOOKUP(C4292,'DISTRIBUIÇÃO NF4267'!$E$3:$FQ$75,MATCH(B4292,'DISTRIBUIÇÃO NF4267'!$E$3:$FQ$3,0)+1,0)</f>
        <v>0</v>
      </c>
      <c r="F4292" s="28">
        <f t="shared" si="214"/>
        <v>3</v>
      </c>
    </row>
    <row r="4293" spans="1:6" x14ac:dyDescent="0.35">
      <c r="A4293">
        <f t="shared" si="215"/>
        <v>0</v>
      </c>
      <c r="B4293" t="str">
        <f t="shared" si="213"/>
        <v>KK</v>
      </c>
      <c r="C4293" s="11" t="s">
        <v>17</v>
      </c>
      <c r="D4293" s="18">
        <f>VLOOKUP(C4293,'DISTRIBUIÇÃO NF4267'!$E$3:$FQ$75,MATCH(B4293,'DISTRIBUIÇÃO NF4267'!$E$3:$FQ$3,0)+1,0)</f>
        <v>9</v>
      </c>
      <c r="F4293" s="28">
        <f t="shared" si="214"/>
        <v>3</v>
      </c>
    </row>
    <row r="4294" spans="1:6" x14ac:dyDescent="0.35">
      <c r="A4294">
        <f t="shared" si="215"/>
        <v>0</v>
      </c>
      <c r="B4294" t="str">
        <f t="shared" si="213"/>
        <v>KK</v>
      </c>
      <c r="C4294" s="11" t="s">
        <v>18</v>
      </c>
      <c r="D4294" s="18">
        <f>VLOOKUP(C4294,'DISTRIBUIÇÃO NF4267'!$E$3:$FQ$75,MATCH(B4294,'DISTRIBUIÇÃO NF4267'!$E$3:$FQ$3,0)+1,0)</f>
        <v>3</v>
      </c>
      <c r="F4294" s="28">
        <f t="shared" si="214"/>
        <v>3</v>
      </c>
    </row>
    <row r="4295" spans="1:6" x14ac:dyDescent="0.35">
      <c r="A4295">
        <f t="shared" si="215"/>
        <v>0</v>
      </c>
      <c r="B4295" t="str">
        <f t="shared" si="213"/>
        <v>KK</v>
      </c>
      <c r="C4295" s="11" t="s">
        <v>19</v>
      </c>
      <c r="D4295" s="18">
        <f>VLOOKUP(C4295,'DISTRIBUIÇÃO NF4267'!$E$3:$FQ$75,MATCH(B4295,'DISTRIBUIÇÃO NF4267'!$E$3:$FQ$3,0)+1,0)</f>
        <v>3</v>
      </c>
      <c r="F4295" s="28">
        <f t="shared" si="214"/>
        <v>3</v>
      </c>
    </row>
    <row r="4296" spans="1:6" x14ac:dyDescent="0.35">
      <c r="A4296">
        <f t="shared" si="215"/>
        <v>0</v>
      </c>
      <c r="B4296" t="str">
        <f t="shared" si="213"/>
        <v>KK</v>
      </c>
      <c r="C4296" s="11" t="s">
        <v>20</v>
      </c>
      <c r="D4296" s="18">
        <f>VLOOKUP(C4296,'DISTRIBUIÇÃO NF4267'!$E$3:$FQ$75,MATCH(B4296,'DISTRIBUIÇÃO NF4267'!$E$3:$FQ$3,0)+1,0)</f>
        <v>15</v>
      </c>
      <c r="F4296" s="28">
        <f t="shared" si="214"/>
        <v>3</v>
      </c>
    </row>
    <row r="4297" spans="1:6" x14ac:dyDescent="0.35">
      <c r="A4297">
        <f t="shared" si="215"/>
        <v>0</v>
      </c>
      <c r="B4297" t="str">
        <f t="shared" si="213"/>
        <v>KK</v>
      </c>
      <c r="C4297" s="11" t="s">
        <v>21</v>
      </c>
      <c r="D4297" s="18">
        <f>VLOOKUP(C4297,'DISTRIBUIÇÃO NF4267'!$E$3:$FQ$75,MATCH(B4297,'DISTRIBUIÇÃO NF4267'!$E$3:$FQ$3,0)+1,0)</f>
        <v>0</v>
      </c>
      <c r="F4297" s="28">
        <f t="shared" si="214"/>
        <v>3</v>
      </c>
    </row>
    <row r="4298" spans="1:6" x14ac:dyDescent="0.35">
      <c r="A4298">
        <f t="shared" si="215"/>
        <v>0</v>
      </c>
      <c r="B4298" t="str">
        <f t="shared" si="213"/>
        <v>KK</v>
      </c>
      <c r="C4298" s="12" t="s">
        <v>130</v>
      </c>
      <c r="D4298" s="18">
        <f>VLOOKUP(C4298,'DISTRIBUIÇÃO NF4267'!$E$3:$FQ$75,MATCH(B4298,'DISTRIBUIÇÃO NF4267'!$E$3:$FQ$3,0)+1,0)</f>
        <v>0</v>
      </c>
      <c r="F4298" s="28">
        <f t="shared" si="214"/>
        <v>3</v>
      </c>
    </row>
    <row r="4299" spans="1:6" x14ac:dyDescent="0.35">
      <c r="A4299">
        <f t="shared" si="215"/>
        <v>0</v>
      </c>
      <c r="B4299" t="str">
        <f t="shared" si="213"/>
        <v>KK</v>
      </c>
      <c r="C4299" s="12" t="s">
        <v>131</v>
      </c>
      <c r="D4299" s="18">
        <f>VLOOKUP(C4299,'DISTRIBUIÇÃO NF4267'!$E$3:$FQ$75,MATCH(B4299,'DISTRIBUIÇÃO NF4267'!$E$3:$FQ$3,0)+1,0)</f>
        <v>0</v>
      </c>
      <c r="F4299" s="28">
        <f t="shared" si="214"/>
        <v>3</v>
      </c>
    </row>
    <row r="4300" spans="1:6" x14ac:dyDescent="0.35">
      <c r="A4300">
        <f t="shared" si="215"/>
        <v>0</v>
      </c>
      <c r="B4300" t="str">
        <f t="shared" si="213"/>
        <v>KK</v>
      </c>
      <c r="C4300" s="12" t="s">
        <v>132</v>
      </c>
      <c r="D4300" s="18">
        <f>VLOOKUP(C4300,'DISTRIBUIÇÃO NF4267'!$E$3:$FQ$75,MATCH(B4300,'DISTRIBUIÇÃO NF4267'!$E$3:$FQ$3,0)+1,0)</f>
        <v>0</v>
      </c>
      <c r="F4300" s="28">
        <f t="shared" si="214"/>
        <v>3</v>
      </c>
    </row>
    <row r="4301" spans="1:6" x14ac:dyDescent="0.35">
      <c r="A4301">
        <f t="shared" si="215"/>
        <v>0</v>
      </c>
      <c r="B4301" t="str">
        <f t="shared" si="213"/>
        <v>KK</v>
      </c>
      <c r="C4301" s="12" t="s">
        <v>133</v>
      </c>
      <c r="D4301" s="18">
        <f>VLOOKUP(C4301,'DISTRIBUIÇÃO NF4267'!$E$3:$FQ$75,MATCH(B4301,'DISTRIBUIÇÃO NF4267'!$E$3:$FQ$3,0)+1,0)</f>
        <v>0</v>
      </c>
      <c r="F4301" s="28">
        <f t="shared" si="214"/>
        <v>3</v>
      </c>
    </row>
    <row r="4302" spans="1:6" x14ac:dyDescent="0.35">
      <c r="A4302">
        <f t="shared" si="215"/>
        <v>0</v>
      </c>
      <c r="B4302" t="str">
        <f t="shared" si="213"/>
        <v>KK</v>
      </c>
      <c r="C4302" s="12" t="s">
        <v>134</v>
      </c>
      <c r="D4302" s="18">
        <f>VLOOKUP(C4302,'DISTRIBUIÇÃO NF4267'!$E$3:$FQ$75,MATCH(B4302,'DISTRIBUIÇÃO NF4267'!$E$3:$FQ$3,0)+1,0)</f>
        <v>0</v>
      </c>
      <c r="F4302" s="28">
        <f t="shared" si="214"/>
        <v>3</v>
      </c>
    </row>
    <row r="4303" spans="1:6" x14ac:dyDescent="0.35">
      <c r="A4303">
        <f t="shared" si="215"/>
        <v>0</v>
      </c>
      <c r="B4303" t="str">
        <f t="shared" si="213"/>
        <v>KK</v>
      </c>
      <c r="C4303" s="12" t="s">
        <v>135</v>
      </c>
      <c r="D4303" s="18">
        <f>VLOOKUP(C4303,'DISTRIBUIÇÃO NF4267'!$E$3:$FQ$75,MATCH(B4303,'DISTRIBUIÇÃO NF4267'!$E$3:$FQ$3,0)+1,0)</f>
        <v>0</v>
      </c>
      <c r="F4303" s="28">
        <f t="shared" si="214"/>
        <v>3</v>
      </c>
    </row>
    <row r="4304" spans="1:6" x14ac:dyDescent="0.35">
      <c r="A4304">
        <f t="shared" si="215"/>
        <v>0</v>
      </c>
      <c r="B4304" t="str">
        <f t="shared" si="213"/>
        <v>KK</v>
      </c>
      <c r="C4304" s="13" t="s">
        <v>22</v>
      </c>
      <c r="D4304" s="18">
        <f>VLOOKUP(C4304,'DISTRIBUIÇÃO NF4267'!$E$3:$FQ$75,MATCH(B4304,'DISTRIBUIÇÃO NF4267'!$E$3:$FQ$3,0)+1,0)</f>
        <v>0</v>
      </c>
      <c r="F4304" s="28">
        <f t="shared" si="214"/>
        <v>3</v>
      </c>
    </row>
    <row r="4305" spans="1:6" x14ac:dyDescent="0.35">
      <c r="A4305">
        <f t="shared" si="215"/>
        <v>0</v>
      </c>
      <c r="B4305" t="str">
        <f t="shared" si="213"/>
        <v>KK</v>
      </c>
      <c r="C4305" s="13" t="s">
        <v>23</v>
      </c>
      <c r="D4305" s="18">
        <f>VLOOKUP(C4305,'DISTRIBUIÇÃO NF4267'!$E$3:$FQ$75,MATCH(B4305,'DISTRIBUIÇÃO NF4267'!$E$3:$FQ$3,0)+1,0)</f>
        <v>0</v>
      </c>
      <c r="F4305" s="28">
        <f t="shared" si="214"/>
        <v>3</v>
      </c>
    </row>
    <row r="4306" spans="1:6" x14ac:dyDescent="0.35">
      <c r="A4306">
        <f t="shared" si="215"/>
        <v>0</v>
      </c>
      <c r="B4306" t="str">
        <f t="shared" si="213"/>
        <v>KK</v>
      </c>
      <c r="C4306" s="13" t="s">
        <v>24</v>
      </c>
      <c r="D4306" s="18">
        <f>VLOOKUP(C4306,'DISTRIBUIÇÃO NF4267'!$E$3:$FQ$75,MATCH(B4306,'DISTRIBUIÇÃO NF4267'!$E$3:$FQ$3,0)+1,0)</f>
        <v>0</v>
      </c>
      <c r="F4306" s="28">
        <f t="shared" si="214"/>
        <v>3</v>
      </c>
    </row>
    <row r="4307" spans="1:6" x14ac:dyDescent="0.35">
      <c r="A4307">
        <f t="shared" si="215"/>
        <v>0</v>
      </c>
      <c r="B4307" t="str">
        <f t="shared" si="213"/>
        <v>KK</v>
      </c>
      <c r="C4307" s="13" t="s">
        <v>25</v>
      </c>
      <c r="D4307" s="18">
        <f>VLOOKUP(C4307,'DISTRIBUIÇÃO NF4267'!$E$3:$FQ$75,MATCH(B4307,'DISTRIBUIÇÃO NF4267'!$E$3:$FQ$3,0)+1,0)</f>
        <v>0</v>
      </c>
      <c r="F4307" s="28">
        <f t="shared" si="214"/>
        <v>3</v>
      </c>
    </row>
    <row r="4308" spans="1:6" x14ac:dyDescent="0.35">
      <c r="A4308">
        <f t="shared" si="215"/>
        <v>0</v>
      </c>
      <c r="B4308" t="str">
        <f t="shared" si="213"/>
        <v>KK</v>
      </c>
      <c r="C4308" s="13" t="s">
        <v>26</v>
      </c>
      <c r="D4308" s="18">
        <f>VLOOKUP(C4308,'DISTRIBUIÇÃO NF4267'!$E$3:$FQ$75,MATCH(B4308,'DISTRIBUIÇÃO NF4267'!$E$3:$FQ$3,0)+1,0)</f>
        <v>0</v>
      </c>
      <c r="F4308" s="28">
        <f t="shared" si="214"/>
        <v>3</v>
      </c>
    </row>
    <row r="4309" spans="1:6" x14ac:dyDescent="0.35">
      <c r="A4309">
        <f t="shared" si="215"/>
        <v>0</v>
      </c>
      <c r="B4309" t="str">
        <f t="shared" si="213"/>
        <v>KK</v>
      </c>
      <c r="C4309" s="13" t="s">
        <v>27</v>
      </c>
      <c r="D4309" s="18">
        <f>VLOOKUP(C4309,'DISTRIBUIÇÃO NF4267'!$E$3:$FQ$75,MATCH(B4309,'DISTRIBUIÇÃO NF4267'!$E$3:$FQ$3,0)+1,0)</f>
        <v>0</v>
      </c>
      <c r="F4309" s="28">
        <f t="shared" si="214"/>
        <v>3</v>
      </c>
    </row>
    <row r="4310" spans="1:6" x14ac:dyDescent="0.35">
      <c r="A4310">
        <f t="shared" si="215"/>
        <v>0</v>
      </c>
      <c r="B4310" t="str">
        <f t="shared" si="213"/>
        <v>KK</v>
      </c>
      <c r="C4310" s="14" t="s">
        <v>138</v>
      </c>
      <c r="D4310" s="18">
        <f>VLOOKUP(C4310,'DISTRIBUIÇÃO NF4267'!$E$3:$FQ$75,MATCH(B4310,'DISTRIBUIÇÃO NF4267'!$E$3:$FQ$3,0)+1,0)</f>
        <v>0</v>
      </c>
      <c r="F4310" s="28">
        <f t="shared" si="214"/>
        <v>3</v>
      </c>
    </row>
    <row r="4311" spans="1:6" x14ac:dyDescent="0.35">
      <c r="A4311">
        <f t="shared" si="215"/>
        <v>0</v>
      </c>
      <c r="B4311" t="str">
        <f t="shared" si="213"/>
        <v>KK</v>
      </c>
      <c r="C4311" s="14" t="s">
        <v>139</v>
      </c>
      <c r="D4311" s="18">
        <f>VLOOKUP(C4311,'DISTRIBUIÇÃO NF4267'!$E$3:$FQ$75,MATCH(B4311,'DISTRIBUIÇÃO NF4267'!$E$3:$FQ$3,0)+1,0)</f>
        <v>2</v>
      </c>
      <c r="F4311" s="28">
        <f t="shared" si="214"/>
        <v>3</v>
      </c>
    </row>
    <row r="4312" spans="1:6" x14ac:dyDescent="0.35">
      <c r="A4312">
        <f t="shared" si="215"/>
        <v>0</v>
      </c>
      <c r="B4312" t="str">
        <f t="shared" si="213"/>
        <v>KK</v>
      </c>
      <c r="C4312" s="14" t="s">
        <v>140</v>
      </c>
      <c r="D4312" s="18">
        <f>VLOOKUP(C4312,'DISTRIBUIÇÃO NF4267'!$E$3:$FQ$75,MATCH(B4312,'DISTRIBUIÇÃO NF4267'!$E$3:$FQ$3,0)+1,0)</f>
        <v>4</v>
      </c>
      <c r="F4312" s="28">
        <f t="shared" si="214"/>
        <v>3</v>
      </c>
    </row>
    <row r="4313" spans="1:6" x14ac:dyDescent="0.35">
      <c r="A4313">
        <f t="shared" si="215"/>
        <v>0</v>
      </c>
      <c r="B4313" t="str">
        <f t="shared" si="213"/>
        <v>KK</v>
      </c>
      <c r="C4313" s="14" t="s">
        <v>141</v>
      </c>
      <c r="D4313" s="18">
        <f>VLOOKUP(C4313,'DISTRIBUIÇÃO NF4267'!$E$3:$FQ$75,MATCH(B4313,'DISTRIBUIÇÃO NF4267'!$E$3:$FQ$3,0)+1,0)</f>
        <v>2</v>
      </c>
      <c r="F4313" s="28">
        <f t="shared" si="214"/>
        <v>3</v>
      </c>
    </row>
    <row r="4314" spans="1:6" x14ac:dyDescent="0.35">
      <c r="A4314">
        <f t="shared" si="215"/>
        <v>0</v>
      </c>
      <c r="B4314" t="str">
        <f t="shared" si="213"/>
        <v>KK</v>
      </c>
      <c r="C4314" s="14" t="s">
        <v>142</v>
      </c>
      <c r="D4314" s="18">
        <f>VLOOKUP(C4314,'DISTRIBUIÇÃO NF4267'!$E$3:$FQ$75,MATCH(B4314,'DISTRIBUIÇÃO NF4267'!$E$3:$FQ$3,0)+1,0)</f>
        <v>2</v>
      </c>
      <c r="F4314" s="28">
        <f t="shared" si="214"/>
        <v>3</v>
      </c>
    </row>
    <row r="4315" spans="1:6" x14ac:dyDescent="0.35">
      <c r="A4315">
        <f t="shared" si="215"/>
        <v>0</v>
      </c>
      <c r="B4315" t="str">
        <f t="shared" si="213"/>
        <v>KK</v>
      </c>
      <c r="C4315" s="14" t="s">
        <v>143</v>
      </c>
      <c r="D4315" s="18">
        <f>VLOOKUP(C4315,'DISTRIBUIÇÃO NF4267'!$E$3:$FQ$75,MATCH(B4315,'DISTRIBUIÇÃO NF4267'!$E$3:$FQ$3,0)+1,0)</f>
        <v>0</v>
      </c>
      <c r="F4315" s="28">
        <f t="shared" si="214"/>
        <v>3</v>
      </c>
    </row>
    <row r="4316" spans="1:6" x14ac:dyDescent="0.35">
      <c r="A4316">
        <f t="shared" si="215"/>
        <v>0</v>
      </c>
      <c r="B4316" t="str">
        <f t="shared" si="213"/>
        <v>KK</v>
      </c>
      <c r="C4316" s="15" t="s">
        <v>145</v>
      </c>
      <c r="D4316" s="18">
        <f>VLOOKUP(C4316,'DISTRIBUIÇÃO NF4267'!$E$3:$FQ$75,MATCH(B4316,'DISTRIBUIÇÃO NF4267'!$E$3:$FQ$3,0)+1,0)</f>
        <v>0</v>
      </c>
      <c r="F4316" s="28">
        <f t="shared" si="214"/>
        <v>3</v>
      </c>
    </row>
    <row r="4317" spans="1:6" x14ac:dyDescent="0.35">
      <c r="A4317">
        <f t="shared" si="215"/>
        <v>0</v>
      </c>
      <c r="B4317" t="str">
        <f t="shared" si="213"/>
        <v>KK</v>
      </c>
      <c r="C4317" s="15" t="s">
        <v>146</v>
      </c>
      <c r="D4317" s="18">
        <f>VLOOKUP(C4317,'DISTRIBUIÇÃO NF4267'!$E$3:$FQ$75,MATCH(B4317,'DISTRIBUIÇÃO NF4267'!$E$3:$FQ$3,0)+1,0)</f>
        <v>2</v>
      </c>
      <c r="F4317" s="28">
        <f t="shared" si="214"/>
        <v>3</v>
      </c>
    </row>
    <row r="4318" spans="1:6" x14ac:dyDescent="0.35">
      <c r="A4318">
        <f t="shared" si="215"/>
        <v>0</v>
      </c>
      <c r="B4318" t="str">
        <f t="shared" si="213"/>
        <v>KK</v>
      </c>
      <c r="C4318" s="15" t="s">
        <v>147</v>
      </c>
      <c r="D4318" s="18">
        <f>VLOOKUP(C4318,'DISTRIBUIÇÃO NF4267'!$E$3:$FQ$75,MATCH(B4318,'DISTRIBUIÇÃO NF4267'!$E$3:$FQ$3,0)+1,0)</f>
        <v>4</v>
      </c>
      <c r="F4318" s="28">
        <f t="shared" si="214"/>
        <v>3</v>
      </c>
    </row>
    <row r="4319" spans="1:6" x14ac:dyDescent="0.35">
      <c r="A4319">
        <f t="shared" si="215"/>
        <v>0</v>
      </c>
      <c r="B4319" t="str">
        <f t="shared" si="213"/>
        <v>KK</v>
      </c>
      <c r="C4319" s="15" t="s">
        <v>148</v>
      </c>
      <c r="D4319" s="18">
        <f>VLOOKUP(C4319,'DISTRIBUIÇÃO NF4267'!$E$3:$FQ$75,MATCH(B4319,'DISTRIBUIÇÃO NF4267'!$E$3:$FQ$3,0)+1,0)</f>
        <v>2</v>
      </c>
      <c r="F4319" s="28">
        <f t="shared" si="214"/>
        <v>3</v>
      </c>
    </row>
    <row r="4320" spans="1:6" x14ac:dyDescent="0.35">
      <c r="A4320">
        <f t="shared" si="215"/>
        <v>0</v>
      </c>
      <c r="B4320" t="str">
        <f t="shared" si="213"/>
        <v>KK</v>
      </c>
      <c r="C4320" s="15" t="s">
        <v>149</v>
      </c>
      <c r="D4320" s="18">
        <f>VLOOKUP(C4320,'DISTRIBUIÇÃO NF4267'!$E$3:$FQ$75,MATCH(B4320,'DISTRIBUIÇÃO NF4267'!$E$3:$FQ$3,0)+1,0)</f>
        <v>2</v>
      </c>
      <c r="F4320" s="28">
        <f t="shared" si="214"/>
        <v>3</v>
      </c>
    </row>
    <row r="4321" spans="1:6" x14ac:dyDescent="0.35">
      <c r="A4321">
        <f t="shared" si="215"/>
        <v>0</v>
      </c>
      <c r="B4321" t="str">
        <f t="shared" si="213"/>
        <v>KK</v>
      </c>
      <c r="C4321" s="15" t="s">
        <v>150</v>
      </c>
      <c r="D4321" s="18">
        <f>VLOOKUP(C4321,'DISTRIBUIÇÃO NF4267'!$E$3:$FQ$75,MATCH(B4321,'DISTRIBUIÇÃO NF4267'!$E$3:$FQ$3,0)+1,0)</f>
        <v>0</v>
      </c>
      <c r="F4321" s="28">
        <f t="shared" si="214"/>
        <v>3</v>
      </c>
    </row>
    <row r="4322" spans="1:6" x14ac:dyDescent="0.35">
      <c r="A4322">
        <f t="shared" si="215"/>
        <v>0</v>
      </c>
      <c r="B4322" t="s">
        <v>88</v>
      </c>
      <c r="C4322" s="7" t="s">
        <v>98</v>
      </c>
      <c r="D4322" s="18">
        <f>VLOOKUP(C4322,'DISTRIBUIÇÃO NF4267'!$E$3:$FQ$75,MATCH(B4322,'DISTRIBUIÇÃO NF4267'!$E$3:$FQ$3,0)+1,0)</f>
        <v>0</v>
      </c>
      <c r="F4322" s="28">
        <f t="shared" si="214"/>
        <v>3</v>
      </c>
    </row>
    <row r="4323" spans="1:6" x14ac:dyDescent="0.35">
      <c r="A4323">
        <f t="shared" si="215"/>
        <v>0</v>
      </c>
      <c r="B4323" t="str">
        <f>B4322</f>
        <v>KR</v>
      </c>
      <c r="C4323" s="7" t="s">
        <v>99</v>
      </c>
      <c r="D4323" s="18">
        <f>VLOOKUP(C4323,'DISTRIBUIÇÃO NF4267'!$E$3:$FQ$75,MATCH(B4323,'DISTRIBUIÇÃO NF4267'!$E$3:$FQ$3,0)+1,0)</f>
        <v>4</v>
      </c>
      <c r="F4323" s="28">
        <f t="shared" si="214"/>
        <v>3</v>
      </c>
    </row>
    <row r="4324" spans="1:6" x14ac:dyDescent="0.35">
      <c r="A4324">
        <f t="shared" si="215"/>
        <v>0</v>
      </c>
      <c r="B4324" t="str">
        <f t="shared" ref="B4324:B4375" si="216">B4323</f>
        <v>KR</v>
      </c>
      <c r="C4324" s="7" t="s">
        <v>100</v>
      </c>
      <c r="D4324" s="18">
        <f>VLOOKUP(C4324,'DISTRIBUIÇÃO NF4267'!$E$3:$FQ$75,MATCH(B4324,'DISTRIBUIÇÃO NF4267'!$E$3:$FQ$3,0)+1,0)</f>
        <v>8</v>
      </c>
      <c r="F4324" s="28">
        <f t="shared" si="214"/>
        <v>3</v>
      </c>
    </row>
    <row r="4325" spans="1:6" x14ac:dyDescent="0.35">
      <c r="A4325">
        <f t="shared" si="215"/>
        <v>0</v>
      </c>
      <c r="B4325" t="str">
        <f t="shared" si="216"/>
        <v>KR</v>
      </c>
      <c r="C4325" s="7" t="s">
        <v>101</v>
      </c>
      <c r="D4325" s="18">
        <f>VLOOKUP(C4325,'DISTRIBUIÇÃO NF4267'!$E$3:$FQ$75,MATCH(B4325,'DISTRIBUIÇÃO NF4267'!$E$3:$FQ$3,0)+1,0)</f>
        <v>4</v>
      </c>
      <c r="F4325" s="28">
        <f t="shared" si="214"/>
        <v>3</v>
      </c>
    </row>
    <row r="4326" spans="1:6" x14ac:dyDescent="0.35">
      <c r="A4326">
        <f t="shared" si="215"/>
        <v>0</v>
      </c>
      <c r="B4326" t="str">
        <f t="shared" si="216"/>
        <v>KR</v>
      </c>
      <c r="C4326" s="7" t="s">
        <v>102</v>
      </c>
      <c r="D4326" s="18">
        <f>VLOOKUP(C4326,'DISTRIBUIÇÃO NF4267'!$E$3:$FQ$75,MATCH(B4326,'DISTRIBUIÇÃO NF4267'!$E$3:$FQ$3,0)+1,0)</f>
        <v>4</v>
      </c>
      <c r="F4326" s="28">
        <f t="shared" si="214"/>
        <v>3</v>
      </c>
    </row>
    <row r="4327" spans="1:6" x14ac:dyDescent="0.35">
      <c r="A4327">
        <f t="shared" si="215"/>
        <v>0</v>
      </c>
      <c r="B4327" t="str">
        <f t="shared" si="216"/>
        <v>KR</v>
      </c>
      <c r="C4327" s="7" t="s">
        <v>103</v>
      </c>
      <c r="D4327" s="18">
        <f>VLOOKUP(C4327,'DISTRIBUIÇÃO NF4267'!$E$3:$FQ$75,MATCH(B4327,'DISTRIBUIÇÃO NF4267'!$E$3:$FQ$3,0)+1,0)</f>
        <v>0</v>
      </c>
      <c r="F4327" s="28">
        <f t="shared" si="214"/>
        <v>3</v>
      </c>
    </row>
    <row r="4328" spans="1:6" x14ac:dyDescent="0.35">
      <c r="A4328">
        <f t="shared" si="215"/>
        <v>0</v>
      </c>
      <c r="B4328" t="str">
        <f t="shared" si="216"/>
        <v>KR</v>
      </c>
      <c r="C4328" s="8" t="s">
        <v>107</v>
      </c>
      <c r="D4328" s="18">
        <f>VLOOKUP(C4328,'DISTRIBUIÇÃO NF4267'!$E$3:$FQ$75,MATCH(B4328,'DISTRIBUIÇÃO NF4267'!$E$3:$FQ$3,0)+1,0)</f>
        <v>0</v>
      </c>
      <c r="F4328" s="28">
        <f t="shared" si="214"/>
        <v>3</v>
      </c>
    </row>
    <row r="4329" spans="1:6" x14ac:dyDescent="0.35">
      <c r="A4329">
        <f t="shared" si="215"/>
        <v>0</v>
      </c>
      <c r="B4329" t="str">
        <f t="shared" si="216"/>
        <v>KR</v>
      </c>
      <c r="C4329" s="8" t="s">
        <v>108</v>
      </c>
      <c r="D4329" s="18">
        <f>VLOOKUP(C4329,'DISTRIBUIÇÃO NF4267'!$E$3:$FQ$75,MATCH(B4329,'DISTRIBUIÇÃO NF4267'!$E$3:$FQ$3,0)+1,0)</f>
        <v>2</v>
      </c>
      <c r="F4329" s="28">
        <f t="shared" si="214"/>
        <v>3</v>
      </c>
    </row>
    <row r="4330" spans="1:6" x14ac:dyDescent="0.35">
      <c r="A4330">
        <f t="shared" si="215"/>
        <v>0</v>
      </c>
      <c r="B4330" t="str">
        <f t="shared" si="216"/>
        <v>KR</v>
      </c>
      <c r="C4330" s="8" t="s">
        <v>109</v>
      </c>
      <c r="D4330" s="18">
        <f>VLOOKUP(C4330,'DISTRIBUIÇÃO NF4267'!$E$3:$FQ$75,MATCH(B4330,'DISTRIBUIÇÃO NF4267'!$E$3:$FQ$3,0)+1,0)</f>
        <v>4</v>
      </c>
      <c r="F4330" s="28">
        <f t="shared" si="214"/>
        <v>3</v>
      </c>
    </row>
    <row r="4331" spans="1:6" x14ac:dyDescent="0.35">
      <c r="A4331">
        <f t="shared" si="215"/>
        <v>0</v>
      </c>
      <c r="B4331" t="str">
        <f t="shared" si="216"/>
        <v>KR</v>
      </c>
      <c r="C4331" s="8" t="s">
        <v>110</v>
      </c>
      <c r="D4331" s="18">
        <f>VLOOKUP(C4331,'DISTRIBUIÇÃO NF4267'!$E$3:$FQ$75,MATCH(B4331,'DISTRIBUIÇÃO NF4267'!$E$3:$FQ$3,0)+1,0)</f>
        <v>2</v>
      </c>
      <c r="F4331" s="28">
        <f t="shared" si="214"/>
        <v>3</v>
      </c>
    </row>
    <row r="4332" spans="1:6" x14ac:dyDescent="0.35">
      <c r="A4332">
        <f t="shared" si="215"/>
        <v>0</v>
      </c>
      <c r="B4332" t="str">
        <f t="shared" si="216"/>
        <v>KR</v>
      </c>
      <c r="C4332" s="8" t="s">
        <v>111</v>
      </c>
      <c r="D4332" s="18">
        <f>VLOOKUP(C4332,'DISTRIBUIÇÃO NF4267'!$E$3:$FQ$75,MATCH(B4332,'DISTRIBUIÇÃO NF4267'!$E$3:$FQ$3,0)+1,0)</f>
        <v>2</v>
      </c>
      <c r="F4332" s="28">
        <f t="shared" si="214"/>
        <v>3</v>
      </c>
    </row>
    <row r="4333" spans="1:6" x14ac:dyDescent="0.35">
      <c r="A4333">
        <f t="shared" si="215"/>
        <v>0</v>
      </c>
      <c r="B4333" t="str">
        <f t="shared" si="216"/>
        <v>KR</v>
      </c>
      <c r="C4333" s="8" t="s">
        <v>112</v>
      </c>
      <c r="D4333" s="18">
        <f>VLOOKUP(C4333,'DISTRIBUIÇÃO NF4267'!$E$3:$FQ$75,MATCH(B4333,'DISTRIBUIÇÃO NF4267'!$E$3:$FQ$3,0)+1,0)</f>
        <v>0</v>
      </c>
      <c r="F4333" s="28">
        <f t="shared" si="214"/>
        <v>3</v>
      </c>
    </row>
    <row r="4334" spans="1:6" x14ac:dyDescent="0.35">
      <c r="A4334">
        <f t="shared" si="215"/>
        <v>0</v>
      </c>
      <c r="B4334" t="str">
        <f t="shared" si="216"/>
        <v>KR</v>
      </c>
      <c r="C4334" s="9" t="s">
        <v>113</v>
      </c>
      <c r="D4334" s="18">
        <f>VLOOKUP(C4334,'DISTRIBUIÇÃO NF4267'!$E$3:$FQ$75,MATCH(B4334,'DISTRIBUIÇÃO NF4267'!$E$3:$FQ$3,0)+1,0)</f>
        <v>0</v>
      </c>
      <c r="F4334" s="28">
        <f t="shared" si="214"/>
        <v>3</v>
      </c>
    </row>
    <row r="4335" spans="1:6" x14ac:dyDescent="0.35">
      <c r="A4335">
        <f t="shared" si="215"/>
        <v>0</v>
      </c>
      <c r="B4335" t="str">
        <f t="shared" si="216"/>
        <v>KR</v>
      </c>
      <c r="C4335" s="9" t="s">
        <v>114</v>
      </c>
      <c r="D4335" s="18">
        <f>VLOOKUP(C4335,'DISTRIBUIÇÃO NF4267'!$E$3:$FQ$75,MATCH(B4335,'DISTRIBUIÇÃO NF4267'!$E$3:$FQ$3,0)+1,0)</f>
        <v>3</v>
      </c>
      <c r="F4335" s="28">
        <f t="shared" si="214"/>
        <v>3</v>
      </c>
    </row>
    <row r="4336" spans="1:6" x14ac:dyDescent="0.35">
      <c r="A4336">
        <f t="shared" si="215"/>
        <v>0</v>
      </c>
      <c r="B4336" t="str">
        <f t="shared" si="216"/>
        <v>KR</v>
      </c>
      <c r="C4336" s="9" t="s">
        <v>115</v>
      </c>
      <c r="D4336" s="18">
        <f>VLOOKUP(C4336,'DISTRIBUIÇÃO NF4267'!$E$3:$FQ$75,MATCH(B4336,'DISTRIBUIÇÃO NF4267'!$E$3:$FQ$3,0)+1,0)</f>
        <v>4</v>
      </c>
      <c r="F4336" s="28">
        <f t="shared" si="214"/>
        <v>3</v>
      </c>
    </row>
    <row r="4337" spans="1:6" x14ac:dyDescent="0.35">
      <c r="A4337">
        <f t="shared" si="215"/>
        <v>0</v>
      </c>
      <c r="B4337" t="str">
        <f t="shared" si="216"/>
        <v>KR</v>
      </c>
      <c r="C4337" s="9" t="s">
        <v>116</v>
      </c>
      <c r="D4337" s="18">
        <f>VLOOKUP(C4337,'DISTRIBUIÇÃO NF4267'!$E$3:$FQ$75,MATCH(B4337,'DISTRIBUIÇÃO NF4267'!$E$3:$FQ$3,0)+1,0)</f>
        <v>2</v>
      </c>
      <c r="F4337" s="28">
        <f t="shared" si="214"/>
        <v>3</v>
      </c>
    </row>
    <row r="4338" spans="1:6" x14ac:dyDescent="0.35">
      <c r="A4338">
        <f t="shared" si="215"/>
        <v>0</v>
      </c>
      <c r="B4338" t="str">
        <f t="shared" si="216"/>
        <v>KR</v>
      </c>
      <c r="C4338" s="9" t="s">
        <v>117</v>
      </c>
      <c r="D4338" s="18">
        <f>VLOOKUP(C4338,'DISTRIBUIÇÃO NF4267'!$E$3:$FQ$75,MATCH(B4338,'DISTRIBUIÇÃO NF4267'!$E$3:$FQ$3,0)+1,0)</f>
        <v>1</v>
      </c>
      <c r="F4338" s="28">
        <f t="shared" si="214"/>
        <v>3</v>
      </c>
    </row>
    <row r="4339" spans="1:6" x14ac:dyDescent="0.35">
      <c r="A4339">
        <f t="shared" si="215"/>
        <v>0</v>
      </c>
      <c r="B4339" t="str">
        <f t="shared" si="216"/>
        <v>KR</v>
      </c>
      <c r="C4339" s="9" t="s">
        <v>118</v>
      </c>
      <c r="D4339" s="18">
        <f>VLOOKUP(C4339,'DISTRIBUIÇÃO NF4267'!$E$3:$FQ$75,MATCH(B4339,'DISTRIBUIÇÃO NF4267'!$E$3:$FQ$3,0)+1,0)</f>
        <v>0</v>
      </c>
      <c r="F4339" s="28">
        <f t="shared" si="214"/>
        <v>3</v>
      </c>
    </row>
    <row r="4340" spans="1:6" x14ac:dyDescent="0.35">
      <c r="A4340">
        <f t="shared" si="215"/>
        <v>0</v>
      </c>
      <c r="B4340" t="str">
        <f t="shared" si="216"/>
        <v>KR</v>
      </c>
      <c r="C4340" s="10" t="s">
        <v>119</v>
      </c>
      <c r="D4340" s="18">
        <f>VLOOKUP(C4340,'DISTRIBUIÇÃO NF4267'!$E$3:$FQ$75,MATCH(B4340,'DISTRIBUIÇÃO NF4267'!$E$3:$FQ$3,0)+1,0)</f>
        <v>0</v>
      </c>
      <c r="F4340" s="28">
        <f t="shared" si="214"/>
        <v>3</v>
      </c>
    </row>
    <row r="4341" spans="1:6" x14ac:dyDescent="0.35">
      <c r="A4341">
        <f t="shared" si="215"/>
        <v>0</v>
      </c>
      <c r="B4341" t="str">
        <f t="shared" si="216"/>
        <v>KR</v>
      </c>
      <c r="C4341" s="10" t="s">
        <v>120</v>
      </c>
      <c r="D4341" s="18">
        <f>VLOOKUP(C4341,'DISTRIBUIÇÃO NF4267'!$E$3:$FQ$75,MATCH(B4341,'DISTRIBUIÇÃO NF4267'!$E$3:$FQ$3,0)+1,0)</f>
        <v>48</v>
      </c>
      <c r="F4341" s="28">
        <f t="shared" si="214"/>
        <v>3</v>
      </c>
    </row>
    <row r="4342" spans="1:6" x14ac:dyDescent="0.35">
      <c r="A4342">
        <f t="shared" si="215"/>
        <v>0</v>
      </c>
      <c r="B4342" t="str">
        <f t="shared" si="216"/>
        <v>KR</v>
      </c>
      <c r="C4342" s="10" t="s">
        <v>121</v>
      </c>
      <c r="D4342" s="18">
        <f>VLOOKUP(C4342,'DISTRIBUIÇÃO NF4267'!$E$3:$FQ$75,MATCH(B4342,'DISTRIBUIÇÃO NF4267'!$E$3:$FQ$3,0)+1,0)</f>
        <v>16</v>
      </c>
      <c r="F4342" s="28">
        <f t="shared" si="214"/>
        <v>3</v>
      </c>
    </row>
    <row r="4343" spans="1:6" x14ac:dyDescent="0.35">
      <c r="A4343">
        <f t="shared" si="215"/>
        <v>0</v>
      </c>
      <c r="B4343" t="str">
        <f t="shared" si="216"/>
        <v>KR</v>
      </c>
      <c r="C4343" s="10" t="s">
        <v>122</v>
      </c>
      <c r="D4343" s="18">
        <f>VLOOKUP(C4343,'DISTRIBUIÇÃO NF4267'!$E$3:$FQ$75,MATCH(B4343,'DISTRIBUIÇÃO NF4267'!$E$3:$FQ$3,0)+1,0)</f>
        <v>16</v>
      </c>
      <c r="F4343" s="28">
        <f t="shared" si="214"/>
        <v>3</v>
      </c>
    </row>
    <row r="4344" spans="1:6" x14ac:dyDescent="0.35">
      <c r="A4344">
        <f t="shared" si="215"/>
        <v>0</v>
      </c>
      <c r="B4344" t="str">
        <f t="shared" si="216"/>
        <v>KR</v>
      </c>
      <c r="C4344" s="10" t="s">
        <v>123</v>
      </c>
      <c r="D4344" s="18">
        <f>VLOOKUP(C4344,'DISTRIBUIÇÃO NF4267'!$E$3:$FQ$75,MATCH(B4344,'DISTRIBUIÇÃO NF4267'!$E$3:$FQ$3,0)+1,0)</f>
        <v>0</v>
      </c>
      <c r="F4344" s="28">
        <f t="shared" ref="F4344:F4407" si="217">ROUNDUP(SUMIFS(D:D,B:B,B4344)/80,0)</f>
        <v>3</v>
      </c>
    </row>
    <row r="4345" spans="1:6" x14ac:dyDescent="0.35">
      <c r="A4345">
        <f t="shared" si="215"/>
        <v>0</v>
      </c>
      <c r="B4345" t="str">
        <f t="shared" si="216"/>
        <v>KR</v>
      </c>
      <c r="C4345" s="10" t="s">
        <v>124</v>
      </c>
      <c r="D4345" s="18">
        <f>VLOOKUP(C4345,'DISTRIBUIÇÃO NF4267'!$E$3:$FQ$75,MATCH(B4345,'DISTRIBUIÇÃO NF4267'!$E$3:$FQ$3,0)+1,0)</f>
        <v>0</v>
      </c>
      <c r="F4345" s="28">
        <f t="shared" si="217"/>
        <v>3</v>
      </c>
    </row>
    <row r="4346" spans="1:6" x14ac:dyDescent="0.35">
      <c r="A4346">
        <f t="shared" si="215"/>
        <v>0</v>
      </c>
      <c r="B4346" t="str">
        <f t="shared" si="216"/>
        <v>KR</v>
      </c>
      <c r="C4346" s="11" t="s">
        <v>16</v>
      </c>
      <c r="D4346" s="18">
        <f>VLOOKUP(C4346,'DISTRIBUIÇÃO NF4267'!$E$3:$FQ$75,MATCH(B4346,'DISTRIBUIÇÃO NF4267'!$E$3:$FQ$3,0)+1,0)</f>
        <v>0</v>
      </c>
      <c r="F4346" s="28">
        <f t="shared" si="217"/>
        <v>3</v>
      </c>
    </row>
    <row r="4347" spans="1:6" x14ac:dyDescent="0.35">
      <c r="A4347">
        <f t="shared" si="215"/>
        <v>0</v>
      </c>
      <c r="B4347" t="str">
        <f t="shared" si="216"/>
        <v>KR</v>
      </c>
      <c r="C4347" s="11" t="s">
        <v>17</v>
      </c>
      <c r="D4347" s="18">
        <f>VLOOKUP(C4347,'DISTRIBUIÇÃO NF4267'!$E$3:$FQ$75,MATCH(B4347,'DISTRIBUIÇÃO NF4267'!$E$3:$FQ$3,0)+1,0)</f>
        <v>9</v>
      </c>
      <c r="F4347" s="28">
        <f t="shared" si="217"/>
        <v>3</v>
      </c>
    </row>
    <row r="4348" spans="1:6" x14ac:dyDescent="0.35">
      <c r="A4348">
        <f t="shared" si="215"/>
        <v>0</v>
      </c>
      <c r="B4348" t="str">
        <f t="shared" si="216"/>
        <v>KR</v>
      </c>
      <c r="C4348" s="11" t="s">
        <v>18</v>
      </c>
      <c r="D4348" s="18">
        <f>VLOOKUP(C4348,'DISTRIBUIÇÃO NF4267'!$E$3:$FQ$75,MATCH(B4348,'DISTRIBUIÇÃO NF4267'!$E$3:$FQ$3,0)+1,0)</f>
        <v>3</v>
      </c>
      <c r="F4348" s="28">
        <f t="shared" si="217"/>
        <v>3</v>
      </c>
    </row>
    <row r="4349" spans="1:6" x14ac:dyDescent="0.35">
      <c r="A4349">
        <f t="shared" si="215"/>
        <v>0</v>
      </c>
      <c r="B4349" t="str">
        <f t="shared" si="216"/>
        <v>KR</v>
      </c>
      <c r="C4349" s="11" t="s">
        <v>19</v>
      </c>
      <c r="D4349" s="18">
        <f>VLOOKUP(C4349,'DISTRIBUIÇÃO NF4267'!$E$3:$FQ$75,MATCH(B4349,'DISTRIBUIÇÃO NF4267'!$E$3:$FQ$3,0)+1,0)</f>
        <v>3</v>
      </c>
      <c r="F4349" s="28">
        <f t="shared" si="217"/>
        <v>3</v>
      </c>
    </row>
    <row r="4350" spans="1:6" x14ac:dyDescent="0.35">
      <c r="A4350">
        <f t="shared" si="215"/>
        <v>0</v>
      </c>
      <c r="B4350" t="str">
        <f t="shared" si="216"/>
        <v>KR</v>
      </c>
      <c r="C4350" s="11" t="s">
        <v>20</v>
      </c>
      <c r="D4350" s="18">
        <f>VLOOKUP(C4350,'DISTRIBUIÇÃO NF4267'!$E$3:$FQ$75,MATCH(B4350,'DISTRIBUIÇÃO NF4267'!$E$3:$FQ$3,0)+1,0)</f>
        <v>15</v>
      </c>
      <c r="F4350" s="28">
        <f t="shared" si="217"/>
        <v>3</v>
      </c>
    </row>
    <row r="4351" spans="1:6" x14ac:dyDescent="0.35">
      <c r="A4351">
        <f t="shared" si="215"/>
        <v>0</v>
      </c>
      <c r="B4351" t="str">
        <f t="shared" si="216"/>
        <v>KR</v>
      </c>
      <c r="C4351" s="11" t="s">
        <v>21</v>
      </c>
      <c r="D4351" s="18">
        <f>VLOOKUP(C4351,'DISTRIBUIÇÃO NF4267'!$E$3:$FQ$75,MATCH(B4351,'DISTRIBUIÇÃO NF4267'!$E$3:$FQ$3,0)+1,0)</f>
        <v>0</v>
      </c>
      <c r="F4351" s="28">
        <f t="shared" si="217"/>
        <v>3</v>
      </c>
    </row>
    <row r="4352" spans="1:6" x14ac:dyDescent="0.35">
      <c r="A4352">
        <f t="shared" si="215"/>
        <v>0</v>
      </c>
      <c r="B4352" t="str">
        <f t="shared" si="216"/>
        <v>KR</v>
      </c>
      <c r="C4352" s="12" t="s">
        <v>130</v>
      </c>
      <c r="D4352" s="18">
        <f>VLOOKUP(C4352,'DISTRIBUIÇÃO NF4267'!$E$3:$FQ$75,MATCH(B4352,'DISTRIBUIÇÃO NF4267'!$E$3:$FQ$3,0)+1,0)</f>
        <v>0</v>
      </c>
      <c r="F4352" s="28">
        <f t="shared" si="217"/>
        <v>3</v>
      </c>
    </row>
    <row r="4353" spans="1:6" x14ac:dyDescent="0.35">
      <c r="A4353">
        <f t="shared" si="215"/>
        <v>0</v>
      </c>
      <c r="B4353" t="str">
        <f t="shared" si="216"/>
        <v>KR</v>
      </c>
      <c r="C4353" s="12" t="s">
        <v>131</v>
      </c>
      <c r="D4353" s="18">
        <f>VLOOKUP(C4353,'DISTRIBUIÇÃO NF4267'!$E$3:$FQ$75,MATCH(B4353,'DISTRIBUIÇÃO NF4267'!$E$3:$FQ$3,0)+1,0)</f>
        <v>0</v>
      </c>
      <c r="F4353" s="28">
        <f t="shared" si="217"/>
        <v>3</v>
      </c>
    </row>
    <row r="4354" spans="1:6" x14ac:dyDescent="0.35">
      <c r="A4354">
        <f t="shared" ref="A4354:A4417" si="218">IF(ISERROR(VLOOKUP(C4354,I:I,1,0)),0,1)</f>
        <v>0</v>
      </c>
      <c r="B4354" t="str">
        <f t="shared" si="216"/>
        <v>KR</v>
      </c>
      <c r="C4354" s="12" t="s">
        <v>132</v>
      </c>
      <c r="D4354" s="18">
        <f>VLOOKUP(C4354,'DISTRIBUIÇÃO NF4267'!$E$3:$FQ$75,MATCH(B4354,'DISTRIBUIÇÃO NF4267'!$E$3:$FQ$3,0)+1,0)</f>
        <v>0</v>
      </c>
      <c r="F4354" s="28">
        <f t="shared" si="217"/>
        <v>3</v>
      </c>
    </row>
    <row r="4355" spans="1:6" x14ac:dyDescent="0.35">
      <c r="A4355">
        <f t="shared" si="218"/>
        <v>0</v>
      </c>
      <c r="B4355" t="str">
        <f t="shared" si="216"/>
        <v>KR</v>
      </c>
      <c r="C4355" s="12" t="s">
        <v>133</v>
      </c>
      <c r="D4355" s="18">
        <f>VLOOKUP(C4355,'DISTRIBUIÇÃO NF4267'!$E$3:$FQ$75,MATCH(B4355,'DISTRIBUIÇÃO NF4267'!$E$3:$FQ$3,0)+1,0)</f>
        <v>0</v>
      </c>
      <c r="F4355" s="28">
        <f t="shared" si="217"/>
        <v>3</v>
      </c>
    </row>
    <row r="4356" spans="1:6" x14ac:dyDescent="0.35">
      <c r="A4356">
        <f t="shared" si="218"/>
        <v>0</v>
      </c>
      <c r="B4356" t="str">
        <f t="shared" si="216"/>
        <v>KR</v>
      </c>
      <c r="C4356" s="12" t="s">
        <v>134</v>
      </c>
      <c r="D4356" s="18">
        <f>VLOOKUP(C4356,'DISTRIBUIÇÃO NF4267'!$E$3:$FQ$75,MATCH(B4356,'DISTRIBUIÇÃO NF4267'!$E$3:$FQ$3,0)+1,0)</f>
        <v>0</v>
      </c>
      <c r="F4356" s="28">
        <f t="shared" si="217"/>
        <v>3</v>
      </c>
    </row>
    <row r="4357" spans="1:6" x14ac:dyDescent="0.35">
      <c r="A4357">
        <f t="shared" si="218"/>
        <v>0</v>
      </c>
      <c r="B4357" t="str">
        <f t="shared" si="216"/>
        <v>KR</v>
      </c>
      <c r="C4357" s="12" t="s">
        <v>135</v>
      </c>
      <c r="D4357" s="18">
        <f>VLOOKUP(C4357,'DISTRIBUIÇÃO NF4267'!$E$3:$FQ$75,MATCH(B4357,'DISTRIBUIÇÃO NF4267'!$E$3:$FQ$3,0)+1,0)</f>
        <v>0</v>
      </c>
      <c r="F4357" s="28">
        <f t="shared" si="217"/>
        <v>3</v>
      </c>
    </row>
    <row r="4358" spans="1:6" x14ac:dyDescent="0.35">
      <c r="A4358">
        <f t="shared" si="218"/>
        <v>0</v>
      </c>
      <c r="B4358" t="str">
        <f t="shared" si="216"/>
        <v>KR</v>
      </c>
      <c r="C4358" s="13" t="s">
        <v>22</v>
      </c>
      <c r="D4358" s="18">
        <f>VLOOKUP(C4358,'DISTRIBUIÇÃO NF4267'!$E$3:$FQ$75,MATCH(B4358,'DISTRIBUIÇÃO NF4267'!$E$3:$FQ$3,0)+1,0)</f>
        <v>0</v>
      </c>
      <c r="F4358" s="28">
        <f t="shared" si="217"/>
        <v>3</v>
      </c>
    </row>
    <row r="4359" spans="1:6" x14ac:dyDescent="0.35">
      <c r="A4359">
        <f t="shared" si="218"/>
        <v>0</v>
      </c>
      <c r="B4359" t="str">
        <f t="shared" si="216"/>
        <v>KR</v>
      </c>
      <c r="C4359" s="13" t="s">
        <v>23</v>
      </c>
      <c r="D4359" s="18">
        <f>VLOOKUP(C4359,'DISTRIBUIÇÃO NF4267'!$E$3:$FQ$75,MATCH(B4359,'DISTRIBUIÇÃO NF4267'!$E$3:$FQ$3,0)+1,0)</f>
        <v>0</v>
      </c>
      <c r="F4359" s="28">
        <f t="shared" si="217"/>
        <v>3</v>
      </c>
    </row>
    <row r="4360" spans="1:6" x14ac:dyDescent="0.35">
      <c r="A4360">
        <f t="shared" si="218"/>
        <v>0</v>
      </c>
      <c r="B4360" t="str">
        <f t="shared" si="216"/>
        <v>KR</v>
      </c>
      <c r="C4360" s="13" t="s">
        <v>24</v>
      </c>
      <c r="D4360" s="18">
        <f>VLOOKUP(C4360,'DISTRIBUIÇÃO NF4267'!$E$3:$FQ$75,MATCH(B4360,'DISTRIBUIÇÃO NF4267'!$E$3:$FQ$3,0)+1,0)</f>
        <v>0</v>
      </c>
      <c r="F4360" s="28">
        <f t="shared" si="217"/>
        <v>3</v>
      </c>
    </row>
    <row r="4361" spans="1:6" x14ac:dyDescent="0.35">
      <c r="A4361">
        <f t="shared" si="218"/>
        <v>0</v>
      </c>
      <c r="B4361" t="str">
        <f t="shared" si="216"/>
        <v>KR</v>
      </c>
      <c r="C4361" s="13" t="s">
        <v>25</v>
      </c>
      <c r="D4361" s="18">
        <f>VLOOKUP(C4361,'DISTRIBUIÇÃO NF4267'!$E$3:$FQ$75,MATCH(B4361,'DISTRIBUIÇÃO NF4267'!$E$3:$FQ$3,0)+1,0)</f>
        <v>0</v>
      </c>
      <c r="F4361" s="28">
        <f t="shared" si="217"/>
        <v>3</v>
      </c>
    </row>
    <row r="4362" spans="1:6" x14ac:dyDescent="0.35">
      <c r="A4362">
        <f t="shared" si="218"/>
        <v>0</v>
      </c>
      <c r="B4362" t="str">
        <f t="shared" si="216"/>
        <v>KR</v>
      </c>
      <c r="C4362" s="13" t="s">
        <v>26</v>
      </c>
      <c r="D4362" s="18">
        <f>VLOOKUP(C4362,'DISTRIBUIÇÃO NF4267'!$E$3:$FQ$75,MATCH(B4362,'DISTRIBUIÇÃO NF4267'!$E$3:$FQ$3,0)+1,0)</f>
        <v>0</v>
      </c>
      <c r="F4362" s="28">
        <f t="shared" si="217"/>
        <v>3</v>
      </c>
    </row>
    <row r="4363" spans="1:6" x14ac:dyDescent="0.35">
      <c r="A4363">
        <f t="shared" si="218"/>
        <v>0</v>
      </c>
      <c r="B4363" t="str">
        <f t="shared" si="216"/>
        <v>KR</v>
      </c>
      <c r="C4363" s="13" t="s">
        <v>27</v>
      </c>
      <c r="D4363" s="18">
        <f>VLOOKUP(C4363,'DISTRIBUIÇÃO NF4267'!$E$3:$FQ$75,MATCH(B4363,'DISTRIBUIÇÃO NF4267'!$E$3:$FQ$3,0)+1,0)</f>
        <v>0</v>
      </c>
      <c r="F4363" s="28">
        <f t="shared" si="217"/>
        <v>3</v>
      </c>
    </row>
    <row r="4364" spans="1:6" x14ac:dyDescent="0.35">
      <c r="A4364">
        <f t="shared" si="218"/>
        <v>0</v>
      </c>
      <c r="B4364" t="str">
        <f t="shared" si="216"/>
        <v>KR</v>
      </c>
      <c r="C4364" s="14" t="s">
        <v>138</v>
      </c>
      <c r="D4364" s="18">
        <f>VLOOKUP(C4364,'DISTRIBUIÇÃO NF4267'!$E$3:$FQ$75,MATCH(B4364,'DISTRIBUIÇÃO NF4267'!$E$3:$FQ$3,0)+1,0)</f>
        <v>0</v>
      </c>
      <c r="F4364" s="28">
        <f t="shared" si="217"/>
        <v>3</v>
      </c>
    </row>
    <row r="4365" spans="1:6" x14ac:dyDescent="0.35">
      <c r="A4365">
        <f t="shared" si="218"/>
        <v>0</v>
      </c>
      <c r="B4365" t="str">
        <f t="shared" si="216"/>
        <v>KR</v>
      </c>
      <c r="C4365" s="14" t="s">
        <v>139</v>
      </c>
      <c r="D4365" s="18">
        <f>VLOOKUP(C4365,'DISTRIBUIÇÃO NF4267'!$E$3:$FQ$75,MATCH(B4365,'DISTRIBUIÇÃO NF4267'!$E$3:$FQ$3,0)+1,0)</f>
        <v>2</v>
      </c>
      <c r="F4365" s="28">
        <f t="shared" si="217"/>
        <v>3</v>
      </c>
    </row>
    <row r="4366" spans="1:6" x14ac:dyDescent="0.35">
      <c r="A4366">
        <f t="shared" si="218"/>
        <v>0</v>
      </c>
      <c r="B4366" t="str">
        <f t="shared" si="216"/>
        <v>KR</v>
      </c>
      <c r="C4366" s="14" t="s">
        <v>140</v>
      </c>
      <c r="D4366" s="18">
        <f>VLOOKUP(C4366,'DISTRIBUIÇÃO NF4267'!$E$3:$FQ$75,MATCH(B4366,'DISTRIBUIÇÃO NF4267'!$E$3:$FQ$3,0)+1,0)</f>
        <v>4</v>
      </c>
      <c r="F4366" s="28">
        <f t="shared" si="217"/>
        <v>3</v>
      </c>
    </row>
    <row r="4367" spans="1:6" x14ac:dyDescent="0.35">
      <c r="A4367">
        <f t="shared" si="218"/>
        <v>0</v>
      </c>
      <c r="B4367" t="str">
        <f t="shared" si="216"/>
        <v>KR</v>
      </c>
      <c r="C4367" s="14" t="s">
        <v>141</v>
      </c>
      <c r="D4367" s="18">
        <f>VLOOKUP(C4367,'DISTRIBUIÇÃO NF4267'!$E$3:$FQ$75,MATCH(B4367,'DISTRIBUIÇÃO NF4267'!$E$3:$FQ$3,0)+1,0)</f>
        <v>2</v>
      </c>
      <c r="F4367" s="28">
        <f t="shared" si="217"/>
        <v>3</v>
      </c>
    </row>
    <row r="4368" spans="1:6" x14ac:dyDescent="0.35">
      <c r="A4368">
        <f t="shared" si="218"/>
        <v>0</v>
      </c>
      <c r="B4368" t="str">
        <f t="shared" si="216"/>
        <v>KR</v>
      </c>
      <c r="C4368" s="14" t="s">
        <v>142</v>
      </c>
      <c r="D4368" s="18">
        <f>VLOOKUP(C4368,'DISTRIBUIÇÃO NF4267'!$E$3:$FQ$75,MATCH(B4368,'DISTRIBUIÇÃO NF4267'!$E$3:$FQ$3,0)+1,0)</f>
        <v>2</v>
      </c>
      <c r="F4368" s="28">
        <f t="shared" si="217"/>
        <v>3</v>
      </c>
    </row>
    <row r="4369" spans="1:6" x14ac:dyDescent="0.35">
      <c r="A4369">
        <f t="shared" si="218"/>
        <v>0</v>
      </c>
      <c r="B4369" t="str">
        <f t="shared" si="216"/>
        <v>KR</v>
      </c>
      <c r="C4369" s="14" t="s">
        <v>143</v>
      </c>
      <c r="D4369" s="18">
        <f>VLOOKUP(C4369,'DISTRIBUIÇÃO NF4267'!$E$3:$FQ$75,MATCH(B4369,'DISTRIBUIÇÃO NF4267'!$E$3:$FQ$3,0)+1,0)</f>
        <v>0</v>
      </c>
      <c r="F4369" s="28">
        <f t="shared" si="217"/>
        <v>3</v>
      </c>
    </row>
    <row r="4370" spans="1:6" x14ac:dyDescent="0.35">
      <c r="A4370">
        <f t="shared" si="218"/>
        <v>0</v>
      </c>
      <c r="B4370" t="str">
        <f t="shared" si="216"/>
        <v>KR</v>
      </c>
      <c r="C4370" s="15" t="s">
        <v>145</v>
      </c>
      <c r="D4370" s="18">
        <f>VLOOKUP(C4370,'DISTRIBUIÇÃO NF4267'!$E$3:$FQ$75,MATCH(B4370,'DISTRIBUIÇÃO NF4267'!$E$3:$FQ$3,0)+1,0)</f>
        <v>0</v>
      </c>
      <c r="F4370" s="28">
        <f t="shared" si="217"/>
        <v>3</v>
      </c>
    </row>
    <row r="4371" spans="1:6" x14ac:dyDescent="0.35">
      <c r="A4371">
        <f t="shared" si="218"/>
        <v>0</v>
      </c>
      <c r="B4371" t="str">
        <f t="shared" si="216"/>
        <v>KR</v>
      </c>
      <c r="C4371" s="15" t="s">
        <v>146</v>
      </c>
      <c r="D4371" s="18">
        <f>VLOOKUP(C4371,'DISTRIBUIÇÃO NF4267'!$E$3:$FQ$75,MATCH(B4371,'DISTRIBUIÇÃO NF4267'!$E$3:$FQ$3,0)+1,0)</f>
        <v>2</v>
      </c>
      <c r="F4371" s="28">
        <f t="shared" si="217"/>
        <v>3</v>
      </c>
    </row>
    <row r="4372" spans="1:6" x14ac:dyDescent="0.35">
      <c r="A4372">
        <f t="shared" si="218"/>
        <v>0</v>
      </c>
      <c r="B4372" t="str">
        <f t="shared" si="216"/>
        <v>KR</v>
      </c>
      <c r="C4372" s="15" t="s">
        <v>147</v>
      </c>
      <c r="D4372" s="18">
        <f>VLOOKUP(C4372,'DISTRIBUIÇÃO NF4267'!$E$3:$FQ$75,MATCH(B4372,'DISTRIBUIÇÃO NF4267'!$E$3:$FQ$3,0)+1,0)</f>
        <v>4</v>
      </c>
      <c r="F4372" s="28">
        <f t="shared" si="217"/>
        <v>3</v>
      </c>
    </row>
    <row r="4373" spans="1:6" x14ac:dyDescent="0.35">
      <c r="A4373">
        <f t="shared" si="218"/>
        <v>0</v>
      </c>
      <c r="B4373" t="str">
        <f t="shared" si="216"/>
        <v>KR</v>
      </c>
      <c r="C4373" s="15" t="s">
        <v>148</v>
      </c>
      <c r="D4373" s="18">
        <f>VLOOKUP(C4373,'DISTRIBUIÇÃO NF4267'!$E$3:$FQ$75,MATCH(B4373,'DISTRIBUIÇÃO NF4267'!$E$3:$FQ$3,0)+1,0)</f>
        <v>2</v>
      </c>
      <c r="F4373" s="28">
        <f t="shared" si="217"/>
        <v>3</v>
      </c>
    </row>
    <row r="4374" spans="1:6" x14ac:dyDescent="0.35">
      <c r="A4374">
        <f t="shared" si="218"/>
        <v>0</v>
      </c>
      <c r="B4374" t="str">
        <f t="shared" si="216"/>
        <v>KR</v>
      </c>
      <c r="C4374" s="15" t="s">
        <v>149</v>
      </c>
      <c r="D4374" s="18">
        <f>VLOOKUP(C4374,'DISTRIBUIÇÃO NF4267'!$E$3:$FQ$75,MATCH(B4374,'DISTRIBUIÇÃO NF4267'!$E$3:$FQ$3,0)+1,0)</f>
        <v>2</v>
      </c>
      <c r="F4374" s="28">
        <f t="shared" si="217"/>
        <v>3</v>
      </c>
    </row>
    <row r="4375" spans="1:6" x14ac:dyDescent="0.35">
      <c r="A4375">
        <f t="shared" si="218"/>
        <v>0</v>
      </c>
      <c r="B4375" t="str">
        <f t="shared" si="216"/>
        <v>KR</v>
      </c>
      <c r="C4375" s="15" t="s">
        <v>150</v>
      </c>
      <c r="D4375" s="18">
        <f>VLOOKUP(C4375,'DISTRIBUIÇÃO NF4267'!$E$3:$FQ$75,MATCH(B4375,'DISTRIBUIÇÃO NF4267'!$E$3:$FQ$3,0)+1,0)</f>
        <v>0</v>
      </c>
      <c r="F4375" s="28">
        <f t="shared" si="217"/>
        <v>3</v>
      </c>
    </row>
    <row r="4376" spans="1:6" x14ac:dyDescent="0.35">
      <c r="A4376">
        <f t="shared" si="218"/>
        <v>0</v>
      </c>
      <c r="B4376" t="s">
        <v>160</v>
      </c>
      <c r="C4376" s="13" t="s">
        <v>98</v>
      </c>
      <c r="D4376" s="18">
        <f>VLOOKUP(C4376,'DISTRIBUIÇÃO NF4267'!$E$3:$FQ$75,MATCH(B4376,'DISTRIBUIÇÃO NF4267'!$E$3:$FQ$3,0)+1,0)</f>
        <v>0</v>
      </c>
      <c r="F4376" s="28">
        <f t="shared" si="217"/>
        <v>3</v>
      </c>
    </row>
    <row r="4377" spans="1:6" x14ac:dyDescent="0.35">
      <c r="A4377">
        <f t="shared" si="218"/>
        <v>0</v>
      </c>
      <c r="B4377" t="s">
        <v>160</v>
      </c>
      <c r="C4377" s="13" t="s">
        <v>99</v>
      </c>
      <c r="D4377" s="18">
        <f>VLOOKUP(C4377,'DISTRIBUIÇÃO NF4267'!$E$3:$FQ$75,MATCH(B4377,'DISTRIBUIÇÃO NF4267'!$E$3:$FQ$3,0)+1,0)</f>
        <v>4</v>
      </c>
      <c r="F4377" s="28">
        <f t="shared" si="217"/>
        <v>3</v>
      </c>
    </row>
    <row r="4378" spans="1:6" x14ac:dyDescent="0.35">
      <c r="A4378">
        <f t="shared" si="218"/>
        <v>0</v>
      </c>
      <c r="B4378" t="s">
        <v>160</v>
      </c>
      <c r="C4378" s="13" t="s">
        <v>100</v>
      </c>
      <c r="D4378" s="18">
        <f>VLOOKUP(C4378,'DISTRIBUIÇÃO NF4267'!$E$3:$FQ$75,MATCH(B4378,'DISTRIBUIÇÃO NF4267'!$E$3:$FQ$3,0)+1,0)</f>
        <v>8</v>
      </c>
      <c r="F4378" s="28">
        <f t="shared" si="217"/>
        <v>3</v>
      </c>
    </row>
    <row r="4379" spans="1:6" x14ac:dyDescent="0.35">
      <c r="A4379">
        <f t="shared" si="218"/>
        <v>0</v>
      </c>
      <c r="B4379" t="s">
        <v>160</v>
      </c>
      <c r="C4379" s="13" t="s">
        <v>101</v>
      </c>
      <c r="D4379" s="18">
        <f>VLOOKUP(C4379,'DISTRIBUIÇÃO NF4267'!$E$3:$FQ$75,MATCH(B4379,'DISTRIBUIÇÃO NF4267'!$E$3:$FQ$3,0)+1,0)</f>
        <v>4</v>
      </c>
      <c r="F4379" s="28">
        <f t="shared" si="217"/>
        <v>3</v>
      </c>
    </row>
    <row r="4380" spans="1:6" x14ac:dyDescent="0.35">
      <c r="A4380">
        <f t="shared" si="218"/>
        <v>0</v>
      </c>
      <c r="B4380" t="s">
        <v>160</v>
      </c>
      <c r="C4380" s="13" t="s">
        <v>102</v>
      </c>
      <c r="D4380" s="18">
        <f>VLOOKUP(C4380,'DISTRIBUIÇÃO NF4267'!$E$3:$FQ$75,MATCH(B4380,'DISTRIBUIÇÃO NF4267'!$E$3:$FQ$3,0)+1,0)</f>
        <v>4</v>
      </c>
      <c r="F4380" s="28">
        <f t="shared" si="217"/>
        <v>3</v>
      </c>
    </row>
    <row r="4381" spans="1:6" x14ac:dyDescent="0.35">
      <c r="A4381">
        <f t="shared" si="218"/>
        <v>0</v>
      </c>
      <c r="B4381" t="s">
        <v>160</v>
      </c>
      <c r="C4381" s="13" t="s">
        <v>103</v>
      </c>
      <c r="D4381" s="18">
        <f>VLOOKUP(C4381,'DISTRIBUIÇÃO NF4267'!$E$3:$FQ$75,MATCH(B4381,'DISTRIBUIÇÃO NF4267'!$E$3:$FQ$3,0)+1,0)</f>
        <v>0</v>
      </c>
      <c r="F4381" s="28">
        <f t="shared" si="217"/>
        <v>3</v>
      </c>
    </row>
    <row r="4382" spans="1:6" x14ac:dyDescent="0.35">
      <c r="A4382">
        <f t="shared" si="218"/>
        <v>0</v>
      </c>
      <c r="B4382" t="s">
        <v>160</v>
      </c>
      <c r="C4382" s="14" t="s">
        <v>107</v>
      </c>
      <c r="D4382" s="18">
        <f>VLOOKUP(C4382,'DISTRIBUIÇÃO NF4267'!$E$3:$FQ$75,MATCH(B4382,'DISTRIBUIÇÃO NF4267'!$E$3:$FQ$3,0)+1,0)</f>
        <v>0</v>
      </c>
      <c r="F4382" s="28">
        <f t="shared" si="217"/>
        <v>3</v>
      </c>
    </row>
    <row r="4383" spans="1:6" x14ac:dyDescent="0.35">
      <c r="A4383">
        <f t="shared" si="218"/>
        <v>0</v>
      </c>
      <c r="B4383" t="s">
        <v>160</v>
      </c>
      <c r="C4383" s="14" t="s">
        <v>108</v>
      </c>
      <c r="D4383" s="18">
        <f>VLOOKUP(C4383,'DISTRIBUIÇÃO NF4267'!$E$3:$FQ$75,MATCH(B4383,'DISTRIBUIÇÃO NF4267'!$E$3:$FQ$3,0)+1,0)</f>
        <v>4</v>
      </c>
      <c r="F4383" s="28">
        <f t="shared" si="217"/>
        <v>3</v>
      </c>
    </row>
    <row r="4384" spans="1:6" x14ac:dyDescent="0.35">
      <c r="A4384">
        <f t="shared" si="218"/>
        <v>0</v>
      </c>
      <c r="B4384" t="s">
        <v>160</v>
      </c>
      <c r="C4384" s="14" t="s">
        <v>109</v>
      </c>
      <c r="D4384" s="18">
        <f>VLOOKUP(C4384,'DISTRIBUIÇÃO NF4267'!$E$3:$FQ$75,MATCH(B4384,'DISTRIBUIÇÃO NF4267'!$E$3:$FQ$3,0)+1,0)</f>
        <v>8</v>
      </c>
      <c r="F4384" s="28">
        <f t="shared" si="217"/>
        <v>3</v>
      </c>
    </row>
    <row r="4385" spans="1:6" x14ac:dyDescent="0.35">
      <c r="A4385">
        <f t="shared" si="218"/>
        <v>0</v>
      </c>
      <c r="B4385" t="s">
        <v>160</v>
      </c>
      <c r="C4385" s="14" t="s">
        <v>110</v>
      </c>
      <c r="D4385" s="18">
        <f>VLOOKUP(C4385,'DISTRIBUIÇÃO NF4267'!$E$3:$FQ$75,MATCH(B4385,'DISTRIBUIÇÃO NF4267'!$E$3:$FQ$3,0)+1,0)</f>
        <v>4</v>
      </c>
      <c r="F4385" s="28">
        <f t="shared" si="217"/>
        <v>3</v>
      </c>
    </row>
    <row r="4386" spans="1:6" x14ac:dyDescent="0.35">
      <c r="A4386">
        <f t="shared" si="218"/>
        <v>0</v>
      </c>
      <c r="B4386" t="s">
        <v>160</v>
      </c>
      <c r="C4386" s="14" t="s">
        <v>111</v>
      </c>
      <c r="D4386" s="18">
        <f>VLOOKUP(C4386,'DISTRIBUIÇÃO NF4267'!$E$3:$FQ$75,MATCH(B4386,'DISTRIBUIÇÃO NF4267'!$E$3:$FQ$3,0)+1,0)</f>
        <v>4</v>
      </c>
      <c r="F4386" s="28">
        <f t="shared" si="217"/>
        <v>3</v>
      </c>
    </row>
    <row r="4387" spans="1:6" x14ac:dyDescent="0.35">
      <c r="A4387">
        <f t="shared" si="218"/>
        <v>0</v>
      </c>
      <c r="B4387" t="s">
        <v>160</v>
      </c>
      <c r="C4387" s="14" t="s">
        <v>112</v>
      </c>
      <c r="D4387" s="18">
        <f>VLOOKUP(C4387,'DISTRIBUIÇÃO NF4267'!$E$3:$FQ$75,MATCH(B4387,'DISTRIBUIÇÃO NF4267'!$E$3:$FQ$3,0)+1,0)</f>
        <v>0</v>
      </c>
      <c r="F4387" s="28">
        <f t="shared" si="217"/>
        <v>3</v>
      </c>
    </row>
    <row r="4388" spans="1:6" x14ac:dyDescent="0.35">
      <c r="A4388">
        <f t="shared" si="218"/>
        <v>0</v>
      </c>
      <c r="B4388" t="s">
        <v>160</v>
      </c>
      <c r="C4388" s="15" t="s">
        <v>113</v>
      </c>
      <c r="D4388" s="18">
        <f>VLOOKUP(C4388,'DISTRIBUIÇÃO NF4267'!$E$3:$FQ$75,MATCH(B4388,'DISTRIBUIÇÃO NF4267'!$E$3:$FQ$3,0)+1,0)</f>
        <v>0</v>
      </c>
      <c r="F4388" s="28">
        <f t="shared" si="217"/>
        <v>3</v>
      </c>
    </row>
    <row r="4389" spans="1:6" x14ac:dyDescent="0.35">
      <c r="A4389">
        <f t="shared" si="218"/>
        <v>0</v>
      </c>
      <c r="B4389" t="s">
        <v>160</v>
      </c>
      <c r="C4389" s="15" t="s">
        <v>114</v>
      </c>
      <c r="D4389" s="18">
        <f>VLOOKUP(C4389,'DISTRIBUIÇÃO NF4267'!$E$3:$FQ$75,MATCH(B4389,'DISTRIBUIÇÃO NF4267'!$E$3:$FQ$3,0)+1,0)</f>
        <v>3</v>
      </c>
      <c r="F4389" s="28">
        <f t="shared" si="217"/>
        <v>3</v>
      </c>
    </row>
    <row r="4390" spans="1:6" x14ac:dyDescent="0.35">
      <c r="A4390">
        <f t="shared" si="218"/>
        <v>0</v>
      </c>
      <c r="B4390" t="s">
        <v>160</v>
      </c>
      <c r="C4390" s="15" t="s">
        <v>115</v>
      </c>
      <c r="D4390" s="18">
        <f>VLOOKUP(C4390,'DISTRIBUIÇÃO NF4267'!$E$3:$FQ$75,MATCH(B4390,'DISTRIBUIÇÃO NF4267'!$E$3:$FQ$3,0)+1,0)</f>
        <v>4</v>
      </c>
      <c r="F4390" s="28">
        <f t="shared" si="217"/>
        <v>3</v>
      </c>
    </row>
    <row r="4391" spans="1:6" x14ac:dyDescent="0.35">
      <c r="A4391">
        <f t="shared" si="218"/>
        <v>0</v>
      </c>
      <c r="B4391" t="s">
        <v>160</v>
      </c>
      <c r="C4391" s="15" t="s">
        <v>116</v>
      </c>
      <c r="D4391" s="18">
        <f>VLOOKUP(C4391,'DISTRIBUIÇÃO NF4267'!$E$3:$FQ$75,MATCH(B4391,'DISTRIBUIÇÃO NF4267'!$E$3:$FQ$3,0)+1,0)</f>
        <v>2</v>
      </c>
      <c r="F4391" s="28">
        <f t="shared" si="217"/>
        <v>3</v>
      </c>
    </row>
    <row r="4392" spans="1:6" x14ac:dyDescent="0.35">
      <c r="A4392">
        <f t="shared" si="218"/>
        <v>0</v>
      </c>
      <c r="B4392" t="s">
        <v>160</v>
      </c>
      <c r="C4392" s="15" t="s">
        <v>117</v>
      </c>
      <c r="D4392" s="18">
        <f>VLOOKUP(C4392,'DISTRIBUIÇÃO NF4267'!$E$3:$FQ$75,MATCH(B4392,'DISTRIBUIÇÃO NF4267'!$E$3:$FQ$3,0)+1,0)</f>
        <v>1</v>
      </c>
      <c r="F4392" s="28">
        <f t="shared" si="217"/>
        <v>3</v>
      </c>
    </row>
    <row r="4393" spans="1:6" x14ac:dyDescent="0.35">
      <c r="A4393">
        <f t="shared" si="218"/>
        <v>0</v>
      </c>
      <c r="B4393" t="s">
        <v>160</v>
      </c>
      <c r="C4393" s="15" t="s">
        <v>118</v>
      </c>
      <c r="D4393" s="18">
        <f>VLOOKUP(C4393,'DISTRIBUIÇÃO NF4267'!$E$3:$FQ$75,MATCH(B4393,'DISTRIBUIÇÃO NF4267'!$E$3:$FQ$3,0)+1,0)</f>
        <v>0</v>
      </c>
      <c r="F4393" s="28">
        <f t="shared" si="217"/>
        <v>3</v>
      </c>
    </row>
    <row r="4394" spans="1:6" x14ac:dyDescent="0.35">
      <c r="A4394">
        <f t="shared" si="218"/>
        <v>0</v>
      </c>
      <c r="B4394" t="s">
        <v>160</v>
      </c>
      <c r="C4394" s="7" t="s">
        <v>119</v>
      </c>
      <c r="D4394" s="18">
        <f>VLOOKUP(C4394,'DISTRIBUIÇÃO NF4267'!$E$3:$FQ$75,MATCH(B4394,'DISTRIBUIÇÃO NF4267'!$E$3:$FQ$3,0)+1,0)</f>
        <v>0</v>
      </c>
      <c r="F4394" s="28">
        <f t="shared" si="217"/>
        <v>3</v>
      </c>
    </row>
    <row r="4395" spans="1:6" x14ac:dyDescent="0.35">
      <c r="A4395">
        <f t="shared" si="218"/>
        <v>0</v>
      </c>
      <c r="B4395" t="s">
        <v>160</v>
      </c>
      <c r="C4395" s="7" t="s">
        <v>120</v>
      </c>
      <c r="D4395" s="18">
        <f>VLOOKUP(C4395,'DISTRIBUIÇÃO NF4267'!$E$3:$FQ$75,MATCH(B4395,'DISTRIBUIÇÃO NF4267'!$E$3:$FQ$3,0)+1,0)</f>
        <v>48</v>
      </c>
      <c r="F4395" s="28">
        <f t="shared" si="217"/>
        <v>3</v>
      </c>
    </row>
    <row r="4396" spans="1:6" x14ac:dyDescent="0.35">
      <c r="A4396">
        <f t="shared" si="218"/>
        <v>0</v>
      </c>
      <c r="B4396" t="s">
        <v>160</v>
      </c>
      <c r="C4396" s="7" t="s">
        <v>121</v>
      </c>
      <c r="D4396" s="18">
        <f>VLOOKUP(C4396,'DISTRIBUIÇÃO NF4267'!$E$3:$FQ$75,MATCH(B4396,'DISTRIBUIÇÃO NF4267'!$E$3:$FQ$3,0)+1,0)</f>
        <v>16</v>
      </c>
      <c r="F4396" s="28">
        <f t="shared" si="217"/>
        <v>3</v>
      </c>
    </row>
    <row r="4397" spans="1:6" x14ac:dyDescent="0.35">
      <c r="A4397">
        <f t="shared" si="218"/>
        <v>0</v>
      </c>
      <c r="B4397" t="s">
        <v>160</v>
      </c>
      <c r="C4397" s="7" t="s">
        <v>122</v>
      </c>
      <c r="D4397" s="18">
        <f>VLOOKUP(C4397,'DISTRIBUIÇÃO NF4267'!$E$3:$FQ$75,MATCH(B4397,'DISTRIBUIÇÃO NF4267'!$E$3:$FQ$3,0)+1,0)</f>
        <v>16</v>
      </c>
      <c r="F4397" s="28">
        <f t="shared" si="217"/>
        <v>3</v>
      </c>
    </row>
    <row r="4398" spans="1:6" x14ac:dyDescent="0.35">
      <c r="A4398">
        <f t="shared" si="218"/>
        <v>0</v>
      </c>
      <c r="B4398" t="s">
        <v>160</v>
      </c>
      <c r="C4398" s="7" t="s">
        <v>123</v>
      </c>
      <c r="D4398" s="18">
        <f>VLOOKUP(C4398,'DISTRIBUIÇÃO NF4267'!$E$3:$FQ$75,MATCH(B4398,'DISTRIBUIÇÃO NF4267'!$E$3:$FQ$3,0)+1,0)</f>
        <v>0</v>
      </c>
      <c r="F4398" s="28">
        <f t="shared" si="217"/>
        <v>3</v>
      </c>
    </row>
    <row r="4399" spans="1:6" x14ac:dyDescent="0.35">
      <c r="A4399">
        <f t="shared" si="218"/>
        <v>0</v>
      </c>
      <c r="B4399" t="s">
        <v>160</v>
      </c>
      <c r="C4399" s="7" t="s">
        <v>124</v>
      </c>
      <c r="D4399" s="18">
        <f>VLOOKUP(C4399,'DISTRIBUIÇÃO NF4267'!$E$3:$FQ$75,MATCH(B4399,'DISTRIBUIÇÃO NF4267'!$E$3:$FQ$3,0)+1,0)</f>
        <v>0</v>
      </c>
      <c r="F4399" s="28">
        <f t="shared" si="217"/>
        <v>3</v>
      </c>
    </row>
    <row r="4400" spans="1:6" x14ac:dyDescent="0.35">
      <c r="A4400">
        <f t="shared" si="218"/>
        <v>0</v>
      </c>
      <c r="B4400" t="s">
        <v>160</v>
      </c>
      <c r="C4400" s="16" t="s">
        <v>16</v>
      </c>
      <c r="D4400" s="18">
        <f>VLOOKUP(C4400,'DISTRIBUIÇÃO NF4267'!$E$3:$FQ$75,MATCH(B4400,'DISTRIBUIÇÃO NF4267'!$E$3:$FQ$3,0)+1,0)</f>
        <v>0</v>
      </c>
      <c r="F4400" s="28">
        <f t="shared" si="217"/>
        <v>3</v>
      </c>
    </row>
    <row r="4401" spans="1:6" x14ac:dyDescent="0.35">
      <c r="A4401">
        <f t="shared" si="218"/>
        <v>0</v>
      </c>
      <c r="B4401" t="s">
        <v>160</v>
      </c>
      <c r="C4401" s="16" t="s">
        <v>17</v>
      </c>
      <c r="D4401" s="18">
        <f>VLOOKUP(C4401,'DISTRIBUIÇÃO NF4267'!$E$3:$FQ$75,MATCH(B4401,'DISTRIBUIÇÃO NF4267'!$E$3:$FQ$3,0)+1,0)</f>
        <v>6</v>
      </c>
      <c r="F4401" s="28">
        <f t="shared" si="217"/>
        <v>3</v>
      </c>
    </row>
    <row r="4402" spans="1:6" x14ac:dyDescent="0.35">
      <c r="A4402">
        <f t="shared" si="218"/>
        <v>0</v>
      </c>
      <c r="B4402" t="s">
        <v>160</v>
      </c>
      <c r="C4402" s="16" t="s">
        <v>18</v>
      </c>
      <c r="D4402" s="18">
        <f>VLOOKUP(C4402,'DISTRIBUIÇÃO NF4267'!$E$3:$FQ$75,MATCH(B4402,'DISTRIBUIÇÃO NF4267'!$E$3:$FQ$3,0)+1,0)</f>
        <v>2</v>
      </c>
      <c r="F4402" s="28">
        <f t="shared" si="217"/>
        <v>3</v>
      </c>
    </row>
    <row r="4403" spans="1:6" x14ac:dyDescent="0.35">
      <c r="A4403">
        <f t="shared" si="218"/>
        <v>0</v>
      </c>
      <c r="B4403" t="s">
        <v>160</v>
      </c>
      <c r="C4403" s="16" t="s">
        <v>19</v>
      </c>
      <c r="D4403" s="18">
        <f>VLOOKUP(C4403,'DISTRIBUIÇÃO NF4267'!$E$3:$FQ$75,MATCH(B4403,'DISTRIBUIÇÃO NF4267'!$E$3:$FQ$3,0)+1,0)</f>
        <v>2</v>
      </c>
      <c r="F4403" s="28">
        <f t="shared" si="217"/>
        <v>3</v>
      </c>
    </row>
    <row r="4404" spans="1:6" x14ac:dyDescent="0.35">
      <c r="A4404">
        <f t="shared" si="218"/>
        <v>0</v>
      </c>
      <c r="B4404" t="s">
        <v>160</v>
      </c>
      <c r="C4404" s="16" t="s">
        <v>20</v>
      </c>
      <c r="D4404" s="18">
        <f>VLOOKUP(C4404,'DISTRIBUIÇÃO NF4267'!$E$3:$FQ$75,MATCH(B4404,'DISTRIBUIÇÃO NF4267'!$E$3:$FQ$3,0)+1,0)</f>
        <v>10</v>
      </c>
      <c r="F4404" s="28">
        <f t="shared" si="217"/>
        <v>3</v>
      </c>
    </row>
    <row r="4405" spans="1:6" x14ac:dyDescent="0.35">
      <c r="A4405">
        <f t="shared" si="218"/>
        <v>0</v>
      </c>
      <c r="B4405" t="s">
        <v>160</v>
      </c>
      <c r="C4405" s="16" t="s">
        <v>21</v>
      </c>
      <c r="D4405" s="18">
        <f>VLOOKUP(C4405,'DISTRIBUIÇÃO NF4267'!$E$3:$FQ$75,MATCH(B4405,'DISTRIBUIÇÃO NF4267'!$E$3:$FQ$3,0)+1,0)</f>
        <v>0</v>
      </c>
      <c r="F4405" s="28">
        <f t="shared" si="217"/>
        <v>3</v>
      </c>
    </row>
    <row r="4406" spans="1:6" x14ac:dyDescent="0.35">
      <c r="A4406">
        <f t="shared" si="218"/>
        <v>0</v>
      </c>
      <c r="B4406" t="s">
        <v>160</v>
      </c>
      <c r="C4406" s="7" t="s">
        <v>130</v>
      </c>
      <c r="D4406" s="18">
        <f>VLOOKUP(C4406,'DISTRIBUIÇÃO NF4267'!$E$3:$FQ$75,MATCH(B4406,'DISTRIBUIÇÃO NF4267'!$E$3:$FQ$3,0)+1,0)</f>
        <v>0</v>
      </c>
      <c r="F4406" s="28">
        <f t="shared" si="217"/>
        <v>3</v>
      </c>
    </row>
    <row r="4407" spans="1:6" x14ac:dyDescent="0.35">
      <c r="A4407">
        <f t="shared" si="218"/>
        <v>0</v>
      </c>
      <c r="B4407" t="s">
        <v>160</v>
      </c>
      <c r="C4407" s="7" t="s">
        <v>131</v>
      </c>
      <c r="D4407" s="18">
        <f>VLOOKUP(C4407,'DISTRIBUIÇÃO NF4267'!$E$3:$FQ$75,MATCH(B4407,'DISTRIBUIÇÃO NF4267'!$E$3:$FQ$3,0)+1,0)</f>
        <v>0</v>
      </c>
      <c r="F4407" s="28">
        <f t="shared" si="217"/>
        <v>3</v>
      </c>
    </row>
    <row r="4408" spans="1:6" x14ac:dyDescent="0.35">
      <c r="A4408">
        <f t="shared" si="218"/>
        <v>0</v>
      </c>
      <c r="B4408" t="s">
        <v>160</v>
      </c>
      <c r="C4408" s="7" t="s">
        <v>132</v>
      </c>
      <c r="D4408" s="18">
        <f>VLOOKUP(C4408,'DISTRIBUIÇÃO NF4267'!$E$3:$FQ$75,MATCH(B4408,'DISTRIBUIÇÃO NF4267'!$E$3:$FQ$3,0)+1,0)</f>
        <v>0</v>
      </c>
      <c r="F4408" s="28">
        <f t="shared" ref="F4408:F4429" si="219">ROUNDUP(SUMIFS(D:D,B:B,B4408)/80,0)</f>
        <v>3</v>
      </c>
    </row>
    <row r="4409" spans="1:6" x14ac:dyDescent="0.35">
      <c r="A4409">
        <f t="shared" si="218"/>
        <v>0</v>
      </c>
      <c r="B4409" t="s">
        <v>160</v>
      </c>
      <c r="C4409" s="7" t="s">
        <v>133</v>
      </c>
      <c r="D4409" s="18">
        <f>VLOOKUP(C4409,'DISTRIBUIÇÃO NF4267'!$E$3:$FQ$75,MATCH(B4409,'DISTRIBUIÇÃO NF4267'!$E$3:$FQ$3,0)+1,0)</f>
        <v>0</v>
      </c>
      <c r="F4409" s="28">
        <f t="shared" si="219"/>
        <v>3</v>
      </c>
    </row>
    <row r="4410" spans="1:6" x14ac:dyDescent="0.35">
      <c r="A4410">
        <f t="shared" si="218"/>
        <v>0</v>
      </c>
      <c r="B4410" t="s">
        <v>160</v>
      </c>
      <c r="C4410" s="7" t="s">
        <v>134</v>
      </c>
      <c r="D4410" s="18">
        <f>VLOOKUP(C4410,'DISTRIBUIÇÃO NF4267'!$E$3:$FQ$75,MATCH(B4410,'DISTRIBUIÇÃO NF4267'!$E$3:$FQ$3,0)+1,0)</f>
        <v>0</v>
      </c>
      <c r="F4410" s="28">
        <f t="shared" si="219"/>
        <v>3</v>
      </c>
    </row>
    <row r="4411" spans="1:6" x14ac:dyDescent="0.35">
      <c r="A4411">
        <f t="shared" si="218"/>
        <v>0</v>
      </c>
      <c r="B4411" t="s">
        <v>160</v>
      </c>
      <c r="C4411" s="7" t="s">
        <v>135</v>
      </c>
      <c r="D4411" s="18">
        <f>VLOOKUP(C4411,'DISTRIBUIÇÃO NF4267'!$E$3:$FQ$75,MATCH(B4411,'DISTRIBUIÇÃO NF4267'!$E$3:$FQ$3,0)+1,0)</f>
        <v>0</v>
      </c>
      <c r="F4411" s="28">
        <f t="shared" si="219"/>
        <v>3</v>
      </c>
    </row>
    <row r="4412" spans="1:6" x14ac:dyDescent="0.35">
      <c r="A4412">
        <f t="shared" si="218"/>
        <v>0</v>
      </c>
      <c r="B4412" t="s">
        <v>160</v>
      </c>
      <c r="C4412" s="7" t="s">
        <v>22</v>
      </c>
      <c r="D4412" s="18">
        <f>VLOOKUP(C4412,'DISTRIBUIÇÃO NF4267'!$E$3:$FQ$75,MATCH(B4412,'DISTRIBUIÇÃO NF4267'!$E$3:$FQ$3,0)+1,0)</f>
        <v>0</v>
      </c>
      <c r="F4412" s="28">
        <f t="shared" si="219"/>
        <v>3</v>
      </c>
    </row>
    <row r="4413" spans="1:6" x14ac:dyDescent="0.35">
      <c r="A4413">
        <f t="shared" si="218"/>
        <v>0</v>
      </c>
      <c r="B4413" t="s">
        <v>160</v>
      </c>
      <c r="C4413" s="7" t="s">
        <v>23</v>
      </c>
      <c r="D4413" s="18">
        <f>VLOOKUP(C4413,'DISTRIBUIÇÃO NF4267'!$E$3:$FQ$75,MATCH(B4413,'DISTRIBUIÇÃO NF4267'!$E$3:$FQ$3,0)+1,0)</f>
        <v>0</v>
      </c>
      <c r="F4413" s="28">
        <f t="shared" si="219"/>
        <v>3</v>
      </c>
    </row>
    <row r="4414" spans="1:6" x14ac:dyDescent="0.35">
      <c r="A4414">
        <f t="shared" si="218"/>
        <v>0</v>
      </c>
      <c r="B4414" t="s">
        <v>160</v>
      </c>
      <c r="C4414" s="7" t="s">
        <v>24</v>
      </c>
      <c r="D4414" s="18">
        <f>VLOOKUP(C4414,'DISTRIBUIÇÃO NF4267'!$E$3:$FQ$75,MATCH(B4414,'DISTRIBUIÇÃO NF4267'!$E$3:$FQ$3,0)+1,0)</f>
        <v>0</v>
      </c>
      <c r="F4414" s="28">
        <f t="shared" si="219"/>
        <v>3</v>
      </c>
    </row>
    <row r="4415" spans="1:6" x14ac:dyDescent="0.35">
      <c r="A4415">
        <f t="shared" si="218"/>
        <v>0</v>
      </c>
      <c r="B4415" t="s">
        <v>160</v>
      </c>
      <c r="C4415" s="7" t="s">
        <v>25</v>
      </c>
      <c r="D4415" s="18">
        <f>VLOOKUP(C4415,'DISTRIBUIÇÃO NF4267'!$E$3:$FQ$75,MATCH(B4415,'DISTRIBUIÇÃO NF4267'!$E$3:$FQ$3,0)+1,0)</f>
        <v>0</v>
      </c>
      <c r="F4415" s="28">
        <f t="shared" si="219"/>
        <v>3</v>
      </c>
    </row>
    <row r="4416" spans="1:6" x14ac:dyDescent="0.35">
      <c r="A4416">
        <f t="shared" si="218"/>
        <v>0</v>
      </c>
      <c r="B4416" t="s">
        <v>160</v>
      </c>
      <c r="C4416" s="7" t="s">
        <v>26</v>
      </c>
      <c r="D4416" s="18">
        <f>VLOOKUP(C4416,'DISTRIBUIÇÃO NF4267'!$E$3:$FQ$75,MATCH(B4416,'DISTRIBUIÇÃO NF4267'!$E$3:$FQ$3,0)+1,0)</f>
        <v>0</v>
      </c>
      <c r="F4416" s="28">
        <f t="shared" si="219"/>
        <v>3</v>
      </c>
    </row>
    <row r="4417" spans="1:6" x14ac:dyDescent="0.35">
      <c r="A4417">
        <f t="shared" si="218"/>
        <v>0</v>
      </c>
      <c r="B4417" t="s">
        <v>160</v>
      </c>
      <c r="C4417" s="7" t="s">
        <v>27</v>
      </c>
      <c r="D4417" s="18">
        <f>VLOOKUP(C4417,'DISTRIBUIÇÃO NF4267'!$E$3:$FQ$75,MATCH(B4417,'DISTRIBUIÇÃO NF4267'!$E$3:$FQ$3,0)+1,0)</f>
        <v>0</v>
      </c>
      <c r="F4417" s="28">
        <f t="shared" si="219"/>
        <v>3</v>
      </c>
    </row>
    <row r="4418" spans="1:6" x14ac:dyDescent="0.35">
      <c r="A4418">
        <f t="shared" ref="A4418:A4429" si="220">IF(ISERROR(VLOOKUP(C4418,I:I,1,0)),0,1)</f>
        <v>0</v>
      </c>
      <c r="B4418" t="s">
        <v>160</v>
      </c>
      <c r="C4418" s="8" t="s">
        <v>138</v>
      </c>
      <c r="D4418" s="18">
        <f>VLOOKUP(C4418,'DISTRIBUIÇÃO NF4267'!$E$3:$FQ$75,MATCH(B4418,'DISTRIBUIÇÃO NF4267'!$E$3:$FQ$3,0)+1,0)</f>
        <v>0</v>
      </c>
      <c r="F4418" s="28">
        <f t="shared" si="219"/>
        <v>3</v>
      </c>
    </row>
    <row r="4419" spans="1:6" x14ac:dyDescent="0.35">
      <c r="A4419">
        <f t="shared" si="220"/>
        <v>0</v>
      </c>
      <c r="B4419" t="s">
        <v>160</v>
      </c>
      <c r="C4419" s="8" t="s">
        <v>139</v>
      </c>
      <c r="D4419" s="18">
        <f>VLOOKUP(C4419,'DISTRIBUIÇÃO NF4267'!$E$3:$FQ$75,MATCH(B4419,'DISTRIBUIÇÃO NF4267'!$E$3:$FQ$3,0)+1,0)</f>
        <v>2</v>
      </c>
      <c r="F4419" s="28">
        <f t="shared" si="219"/>
        <v>3</v>
      </c>
    </row>
    <row r="4420" spans="1:6" x14ac:dyDescent="0.35">
      <c r="A4420">
        <f t="shared" si="220"/>
        <v>0</v>
      </c>
      <c r="B4420" t="s">
        <v>160</v>
      </c>
      <c r="C4420" s="8" t="s">
        <v>140</v>
      </c>
      <c r="D4420" s="18">
        <f>VLOOKUP(C4420,'DISTRIBUIÇÃO NF4267'!$E$3:$FQ$75,MATCH(B4420,'DISTRIBUIÇÃO NF4267'!$E$3:$FQ$3,0)+1,0)</f>
        <v>4</v>
      </c>
      <c r="F4420" s="28">
        <f t="shared" si="219"/>
        <v>3</v>
      </c>
    </row>
    <row r="4421" spans="1:6" x14ac:dyDescent="0.35">
      <c r="A4421">
        <f t="shared" si="220"/>
        <v>0</v>
      </c>
      <c r="B4421" t="s">
        <v>160</v>
      </c>
      <c r="C4421" s="8" t="s">
        <v>141</v>
      </c>
      <c r="D4421" s="18">
        <f>VLOOKUP(C4421,'DISTRIBUIÇÃO NF4267'!$E$3:$FQ$75,MATCH(B4421,'DISTRIBUIÇÃO NF4267'!$E$3:$FQ$3,0)+1,0)</f>
        <v>2</v>
      </c>
      <c r="F4421" s="28">
        <f t="shared" si="219"/>
        <v>3</v>
      </c>
    </row>
    <row r="4422" spans="1:6" x14ac:dyDescent="0.35">
      <c r="A4422">
        <f t="shared" si="220"/>
        <v>0</v>
      </c>
      <c r="B4422" t="s">
        <v>160</v>
      </c>
      <c r="C4422" s="8" t="s">
        <v>142</v>
      </c>
      <c r="D4422" s="18">
        <f>VLOOKUP(C4422,'DISTRIBUIÇÃO NF4267'!$E$3:$FQ$75,MATCH(B4422,'DISTRIBUIÇÃO NF4267'!$E$3:$FQ$3,0)+1,0)</f>
        <v>2</v>
      </c>
      <c r="F4422" s="28">
        <f t="shared" si="219"/>
        <v>3</v>
      </c>
    </row>
    <row r="4423" spans="1:6" x14ac:dyDescent="0.35">
      <c r="A4423">
        <f t="shared" si="220"/>
        <v>0</v>
      </c>
      <c r="B4423" t="s">
        <v>160</v>
      </c>
      <c r="C4423" s="8" t="s">
        <v>143</v>
      </c>
      <c r="D4423" s="18">
        <f>VLOOKUP(C4423,'DISTRIBUIÇÃO NF4267'!$E$3:$FQ$75,MATCH(B4423,'DISTRIBUIÇÃO NF4267'!$E$3:$FQ$3,0)+1,0)</f>
        <v>0</v>
      </c>
      <c r="F4423" s="28">
        <f t="shared" si="219"/>
        <v>3</v>
      </c>
    </row>
    <row r="4424" spans="1:6" x14ac:dyDescent="0.35">
      <c r="A4424">
        <f t="shared" si="220"/>
        <v>0</v>
      </c>
      <c r="B4424" t="s">
        <v>160</v>
      </c>
      <c r="C4424" s="9" t="s">
        <v>145</v>
      </c>
      <c r="D4424" s="18">
        <f>VLOOKUP(C4424,'DISTRIBUIÇÃO NF4267'!$E$3:$FQ$75,MATCH(B4424,'DISTRIBUIÇÃO NF4267'!$E$3:$FQ$3,0)+1,0)</f>
        <v>0</v>
      </c>
      <c r="F4424" s="28">
        <f t="shared" si="219"/>
        <v>3</v>
      </c>
    </row>
    <row r="4425" spans="1:6" x14ac:dyDescent="0.35">
      <c r="A4425">
        <f t="shared" si="220"/>
        <v>0</v>
      </c>
      <c r="B4425" t="s">
        <v>160</v>
      </c>
      <c r="C4425" s="9" t="s">
        <v>146</v>
      </c>
      <c r="D4425" s="18">
        <f>VLOOKUP(C4425,'DISTRIBUIÇÃO NF4267'!$E$3:$FQ$75,MATCH(B4425,'DISTRIBUIÇÃO NF4267'!$E$3:$FQ$3,0)+1,0)</f>
        <v>2</v>
      </c>
      <c r="F4425" s="28">
        <f t="shared" si="219"/>
        <v>3</v>
      </c>
    </row>
    <row r="4426" spans="1:6" x14ac:dyDescent="0.35">
      <c r="A4426">
        <f t="shared" si="220"/>
        <v>0</v>
      </c>
      <c r="B4426" t="s">
        <v>160</v>
      </c>
      <c r="C4426" s="9" t="s">
        <v>147</v>
      </c>
      <c r="D4426" s="18">
        <f>VLOOKUP(C4426,'DISTRIBUIÇÃO NF4267'!$E$3:$FQ$75,MATCH(B4426,'DISTRIBUIÇÃO NF4267'!$E$3:$FQ$3,0)+1,0)</f>
        <v>4</v>
      </c>
      <c r="F4426" s="28">
        <f t="shared" si="219"/>
        <v>3</v>
      </c>
    </row>
    <row r="4427" spans="1:6" x14ac:dyDescent="0.35">
      <c r="A4427">
        <f t="shared" si="220"/>
        <v>0</v>
      </c>
      <c r="B4427" t="s">
        <v>160</v>
      </c>
      <c r="C4427" s="9" t="s">
        <v>148</v>
      </c>
      <c r="D4427" s="18">
        <f>VLOOKUP(C4427,'DISTRIBUIÇÃO NF4267'!$E$3:$FQ$75,MATCH(B4427,'DISTRIBUIÇÃO NF4267'!$E$3:$FQ$3,0)+1,0)</f>
        <v>2</v>
      </c>
      <c r="F4427" s="28">
        <f t="shared" si="219"/>
        <v>3</v>
      </c>
    </row>
    <row r="4428" spans="1:6" x14ac:dyDescent="0.35">
      <c r="A4428">
        <f t="shared" si="220"/>
        <v>0</v>
      </c>
      <c r="B4428" t="s">
        <v>160</v>
      </c>
      <c r="C4428" s="9" t="s">
        <v>149</v>
      </c>
      <c r="D4428" s="18">
        <f>VLOOKUP(C4428,'DISTRIBUIÇÃO NF4267'!$E$3:$FQ$75,MATCH(B4428,'DISTRIBUIÇÃO NF4267'!$E$3:$FQ$3,0)+1,0)</f>
        <v>2</v>
      </c>
      <c r="F4428" s="28">
        <f t="shared" si="219"/>
        <v>3</v>
      </c>
    </row>
    <row r="4429" spans="1:6" x14ac:dyDescent="0.35">
      <c r="A4429">
        <f t="shared" si="220"/>
        <v>0</v>
      </c>
      <c r="B4429" t="s">
        <v>160</v>
      </c>
      <c r="C4429" s="9" t="s">
        <v>150</v>
      </c>
      <c r="D4429" s="18">
        <f>VLOOKUP(C4429,'DISTRIBUIÇÃO NF4267'!$E$3:$FQ$75,MATCH(B4429,'DISTRIBUIÇÃO NF4267'!$E$3:$FQ$3,0)+1,0)</f>
        <v>0</v>
      </c>
      <c r="F4429" s="28">
        <f t="shared" si="219"/>
        <v>3</v>
      </c>
    </row>
    <row r="4430" spans="1:6" x14ac:dyDescent="0.35">
      <c r="C4430" s="10"/>
      <c r="D4430" s="18"/>
      <c r="F4430" s="28"/>
    </row>
    <row r="4431" spans="1:6" x14ac:dyDescent="0.35">
      <c r="C4431" s="10"/>
      <c r="D4431" s="18"/>
      <c r="F4431" s="28"/>
    </row>
    <row r="4432" spans="1:6" x14ac:dyDescent="0.35">
      <c r="C4432" s="10"/>
      <c r="D4432" s="18"/>
      <c r="F4432" s="28"/>
    </row>
    <row r="4433" spans="3:6" x14ac:dyDescent="0.35">
      <c r="C4433" s="10"/>
      <c r="D4433" s="18"/>
      <c r="F4433" s="28"/>
    </row>
    <row r="4434" spans="3:6" x14ac:dyDescent="0.35">
      <c r="C4434" s="10"/>
      <c r="D4434" s="18"/>
      <c r="F4434" s="28"/>
    </row>
    <row r="4435" spans="3:6" x14ac:dyDescent="0.35">
      <c r="C4435" s="10"/>
      <c r="D4435" s="18"/>
      <c r="F4435" s="28"/>
    </row>
    <row r="4436" spans="3:6" x14ac:dyDescent="0.35">
      <c r="C4436" s="11"/>
      <c r="D4436" s="18"/>
      <c r="F4436" s="28"/>
    </row>
    <row r="4437" spans="3:6" x14ac:dyDescent="0.35">
      <c r="C4437" s="11"/>
      <c r="D4437" s="18"/>
      <c r="F4437" s="28"/>
    </row>
    <row r="4438" spans="3:6" x14ac:dyDescent="0.35">
      <c r="C4438" s="11"/>
      <c r="D4438" s="18"/>
      <c r="F4438" s="28"/>
    </row>
    <row r="4439" spans="3:6" x14ac:dyDescent="0.35">
      <c r="C4439" s="11"/>
      <c r="D4439" s="18"/>
      <c r="F4439" s="28"/>
    </row>
    <row r="4440" spans="3:6" x14ac:dyDescent="0.35">
      <c r="C4440" s="11"/>
      <c r="D4440" s="18"/>
      <c r="F4440" s="28"/>
    </row>
    <row r="4441" spans="3:6" x14ac:dyDescent="0.35">
      <c r="C4441" s="11"/>
      <c r="D4441" s="18"/>
      <c r="F4441" s="28"/>
    </row>
    <row r="4442" spans="3:6" x14ac:dyDescent="0.35">
      <c r="C4442" s="12"/>
      <c r="D4442" s="18"/>
      <c r="F4442" s="28"/>
    </row>
    <row r="4443" spans="3:6" x14ac:dyDescent="0.35">
      <c r="C4443" s="12"/>
      <c r="D4443" s="18"/>
      <c r="F4443" s="28"/>
    </row>
    <row r="4444" spans="3:6" x14ac:dyDescent="0.35">
      <c r="C4444" s="12"/>
      <c r="D4444" s="18"/>
      <c r="F4444" s="28"/>
    </row>
    <row r="4445" spans="3:6" x14ac:dyDescent="0.35">
      <c r="C4445" s="12"/>
      <c r="D4445" s="18"/>
      <c r="F4445" s="28"/>
    </row>
    <row r="4446" spans="3:6" x14ac:dyDescent="0.35">
      <c r="C4446" s="12"/>
      <c r="D4446" s="18"/>
      <c r="F4446" s="28"/>
    </row>
    <row r="4447" spans="3:6" x14ac:dyDescent="0.35">
      <c r="C4447" s="12"/>
      <c r="D4447" s="18"/>
      <c r="F4447" s="28"/>
    </row>
    <row r="4448" spans="3:6" x14ac:dyDescent="0.35">
      <c r="C4448" s="13"/>
      <c r="D4448" s="18"/>
      <c r="F4448" s="28"/>
    </row>
    <row r="4449" spans="3:6" x14ac:dyDescent="0.35">
      <c r="C4449" s="13"/>
      <c r="D4449" s="18"/>
      <c r="F4449" s="28"/>
    </row>
    <row r="4450" spans="3:6" x14ac:dyDescent="0.35">
      <c r="C4450" s="13"/>
      <c r="D4450" s="18"/>
      <c r="F4450" s="28"/>
    </row>
    <row r="4451" spans="3:6" x14ac:dyDescent="0.35">
      <c r="C4451" s="13"/>
      <c r="D4451" s="18"/>
      <c r="F4451" s="28"/>
    </row>
    <row r="4452" spans="3:6" x14ac:dyDescent="0.35">
      <c r="C4452" s="13"/>
      <c r="D4452" s="18"/>
      <c r="F4452" s="28"/>
    </row>
    <row r="4453" spans="3:6" x14ac:dyDescent="0.35">
      <c r="C4453" s="13"/>
      <c r="D4453" s="18"/>
      <c r="F4453" s="28"/>
    </row>
    <row r="4454" spans="3:6" x14ac:dyDescent="0.35">
      <c r="C4454" s="14"/>
      <c r="D4454" s="18"/>
      <c r="F4454" s="28"/>
    </row>
    <row r="4455" spans="3:6" x14ac:dyDescent="0.35">
      <c r="C4455" s="14"/>
      <c r="D4455" s="18"/>
      <c r="F4455" s="28"/>
    </row>
    <row r="4456" spans="3:6" x14ac:dyDescent="0.35">
      <c r="C4456" s="14"/>
      <c r="D4456" s="18"/>
      <c r="F4456" s="28"/>
    </row>
    <row r="4457" spans="3:6" x14ac:dyDescent="0.35">
      <c r="C4457" s="14"/>
      <c r="D4457" s="18"/>
      <c r="F4457" s="28"/>
    </row>
    <row r="4458" spans="3:6" x14ac:dyDescent="0.35">
      <c r="C4458" s="14"/>
      <c r="D4458" s="18"/>
      <c r="F4458" s="28"/>
    </row>
    <row r="4459" spans="3:6" x14ac:dyDescent="0.35">
      <c r="C4459" s="14"/>
      <c r="D4459" s="18"/>
      <c r="F4459" s="28"/>
    </row>
    <row r="4460" spans="3:6" x14ac:dyDescent="0.35">
      <c r="C4460" s="15"/>
      <c r="D4460" s="18"/>
      <c r="F4460" s="28"/>
    </row>
    <row r="4461" spans="3:6" x14ac:dyDescent="0.35">
      <c r="C4461" s="15"/>
      <c r="D4461" s="18"/>
      <c r="F4461" s="28"/>
    </row>
    <row r="4462" spans="3:6" x14ac:dyDescent="0.35">
      <c r="C4462" s="15"/>
      <c r="D4462" s="18"/>
      <c r="F4462" s="28"/>
    </row>
    <row r="4463" spans="3:6" x14ac:dyDescent="0.35">
      <c r="C4463" s="15"/>
      <c r="D4463" s="18"/>
      <c r="F4463" s="28"/>
    </row>
    <row r="4464" spans="3:6" x14ac:dyDescent="0.35">
      <c r="C4464" s="15"/>
      <c r="D4464" s="18"/>
      <c r="F4464" s="28"/>
    </row>
    <row r="4465" spans="3:6" x14ac:dyDescent="0.35">
      <c r="C4465" s="15"/>
      <c r="D4465" s="18"/>
      <c r="F4465" s="28"/>
    </row>
    <row r="4466" spans="3:6" x14ac:dyDescent="0.35">
      <c r="C4466" s="7"/>
      <c r="D4466" s="18"/>
      <c r="F4466" s="28"/>
    </row>
    <row r="4467" spans="3:6" x14ac:dyDescent="0.35">
      <c r="C4467" s="7"/>
      <c r="D4467" s="18"/>
      <c r="F4467" s="28"/>
    </row>
    <row r="4468" spans="3:6" x14ac:dyDescent="0.35">
      <c r="C4468" s="7"/>
      <c r="D4468" s="18"/>
      <c r="F4468" s="28"/>
    </row>
    <row r="4469" spans="3:6" x14ac:dyDescent="0.35">
      <c r="C4469" s="7"/>
      <c r="D4469" s="18"/>
      <c r="F4469" s="28"/>
    </row>
    <row r="4470" spans="3:6" x14ac:dyDescent="0.35">
      <c r="C4470" s="7"/>
      <c r="D4470" s="18"/>
      <c r="F4470" s="28"/>
    </row>
    <row r="4471" spans="3:6" x14ac:dyDescent="0.35">
      <c r="C4471" s="7"/>
      <c r="D4471" s="18"/>
      <c r="F4471" s="28"/>
    </row>
    <row r="4472" spans="3:6" x14ac:dyDescent="0.35">
      <c r="C4472" s="16"/>
      <c r="D4472" s="18"/>
      <c r="F4472" s="28"/>
    </row>
    <row r="4473" spans="3:6" x14ac:dyDescent="0.35">
      <c r="C4473" s="16"/>
      <c r="D4473" s="18"/>
      <c r="F4473" s="28"/>
    </row>
    <row r="4474" spans="3:6" x14ac:dyDescent="0.35">
      <c r="C4474" s="16"/>
      <c r="D4474" s="18"/>
      <c r="F4474" s="28"/>
    </row>
    <row r="4475" spans="3:6" x14ac:dyDescent="0.35">
      <c r="C4475" s="16"/>
      <c r="D4475" s="18"/>
      <c r="F4475" s="28"/>
    </row>
    <row r="4476" spans="3:6" x14ac:dyDescent="0.35">
      <c r="C4476" s="16"/>
      <c r="D4476" s="18"/>
      <c r="F4476" s="28"/>
    </row>
    <row r="4477" spans="3:6" x14ac:dyDescent="0.35">
      <c r="C4477" s="16"/>
      <c r="D4477" s="18"/>
      <c r="F4477" s="28"/>
    </row>
    <row r="4478" spans="3:6" x14ac:dyDescent="0.35">
      <c r="C4478" s="7"/>
      <c r="D4478" s="18"/>
      <c r="F4478" s="28"/>
    </row>
    <row r="4479" spans="3:6" x14ac:dyDescent="0.35">
      <c r="C4479" s="7"/>
      <c r="D4479" s="18"/>
      <c r="F4479" s="28"/>
    </row>
    <row r="4480" spans="3:6" x14ac:dyDescent="0.35">
      <c r="C4480" s="7"/>
      <c r="D4480" s="18"/>
      <c r="F4480" s="28"/>
    </row>
    <row r="4481" spans="3:6" x14ac:dyDescent="0.35">
      <c r="C4481" s="7"/>
      <c r="D4481" s="18"/>
      <c r="F4481" s="28"/>
    </row>
    <row r="4482" spans="3:6" x14ac:dyDescent="0.35">
      <c r="C4482" s="7"/>
      <c r="D4482" s="18"/>
      <c r="F4482" s="28"/>
    </row>
    <row r="4483" spans="3:6" x14ac:dyDescent="0.35">
      <c r="C4483" s="7"/>
      <c r="D4483" s="18"/>
      <c r="F4483" s="28"/>
    </row>
    <row r="4484" spans="3:6" x14ac:dyDescent="0.35">
      <c r="C4484" s="7"/>
      <c r="D4484" s="18"/>
      <c r="F4484" s="28"/>
    </row>
    <row r="4485" spans="3:6" x14ac:dyDescent="0.35">
      <c r="C4485" s="7"/>
      <c r="D4485" s="18"/>
      <c r="F4485" s="28"/>
    </row>
    <row r="4486" spans="3:6" x14ac:dyDescent="0.35">
      <c r="C4486" s="7"/>
      <c r="D4486" s="18"/>
      <c r="F4486" s="28"/>
    </row>
    <row r="4487" spans="3:6" x14ac:dyDescent="0.35">
      <c r="C4487" s="7"/>
      <c r="D4487" s="18"/>
      <c r="F4487" s="28"/>
    </row>
    <row r="4488" spans="3:6" x14ac:dyDescent="0.35">
      <c r="C4488" s="7"/>
      <c r="D4488" s="18"/>
      <c r="F4488" s="28"/>
    </row>
    <row r="4489" spans="3:6" x14ac:dyDescent="0.35">
      <c r="C4489" s="7"/>
      <c r="D4489" s="18"/>
      <c r="F4489" s="28"/>
    </row>
    <row r="4490" spans="3:6" x14ac:dyDescent="0.35">
      <c r="C4490" s="8"/>
      <c r="D4490" s="18"/>
      <c r="F4490" s="28"/>
    </row>
    <row r="4491" spans="3:6" x14ac:dyDescent="0.35">
      <c r="C4491" s="8"/>
      <c r="D4491" s="18"/>
      <c r="F4491" s="28"/>
    </row>
    <row r="4492" spans="3:6" x14ac:dyDescent="0.35">
      <c r="C4492" s="8"/>
      <c r="D4492" s="18"/>
      <c r="F4492" s="28"/>
    </row>
    <row r="4493" spans="3:6" x14ac:dyDescent="0.35">
      <c r="C4493" s="8"/>
      <c r="D4493" s="18"/>
      <c r="F4493" s="28"/>
    </row>
    <row r="4494" spans="3:6" x14ac:dyDescent="0.35">
      <c r="C4494" s="8"/>
      <c r="D4494" s="18"/>
      <c r="F4494" s="28"/>
    </row>
    <row r="4495" spans="3:6" x14ac:dyDescent="0.35">
      <c r="C4495" s="8"/>
      <c r="D4495" s="18"/>
      <c r="F4495" s="28"/>
    </row>
    <row r="4496" spans="3:6" x14ac:dyDescent="0.35">
      <c r="C4496" s="9"/>
      <c r="D4496" s="18"/>
      <c r="F4496" s="28"/>
    </row>
    <row r="4497" spans="3:6" x14ac:dyDescent="0.35">
      <c r="C4497" s="9"/>
      <c r="D4497" s="18"/>
      <c r="F4497" s="28"/>
    </row>
    <row r="4498" spans="3:6" x14ac:dyDescent="0.35">
      <c r="C4498" s="9"/>
      <c r="D4498" s="18"/>
      <c r="F4498" s="28"/>
    </row>
    <row r="4499" spans="3:6" x14ac:dyDescent="0.35">
      <c r="C4499" s="9"/>
      <c r="D4499" s="18"/>
      <c r="F4499" s="28"/>
    </row>
    <row r="4500" spans="3:6" x14ac:dyDescent="0.35">
      <c r="C4500" s="9"/>
      <c r="D4500" s="18"/>
      <c r="F4500" s="28"/>
    </row>
    <row r="4501" spans="3:6" x14ac:dyDescent="0.35">
      <c r="C4501" s="9"/>
      <c r="D4501" s="18"/>
      <c r="F4501" s="28"/>
    </row>
    <row r="4502" spans="3:6" x14ac:dyDescent="0.35">
      <c r="C4502" s="10"/>
      <c r="D4502" s="18"/>
      <c r="F4502" s="28"/>
    </row>
    <row r="4503" spans="3:6" x14ac:dyDescent="0.35">
      <c r="C4503" s="10"/>
      <c r="D4503" s="18"/>
      <c r="F4503" s="28"/>
    </row>
    <row r="4504" spans="3:6" x14ac:dyDescent="0.35">
      <c r="C4504" s="10"/>
      <c r="D4504" s="18"/>
      <c r="F4504" s="28"/>
    </row>
    <row r="4505" spans="3:6" x14ac:dyDescent="0.35">
      <c r="C4505" s="10"/>
      <c r="D4505" s="18"/>
      <c r="F4505" s="28"/>
    </row>
    <row r="4506" spans="3:6" x14ac:dyDescent="0.35">
      <c r="C4506" s="10"/>
      <c r="D4506" s="18"/>
      <c r="F4506" s="28"/>
    </row>
    <row r="4507" spans="3:6" x14ac:dyDescent="0.35">
      <c r="C4507" s="10"/>
      <c r="D4507" s="18"/>
      <c r="F4507" s="28"/>
    </row>
    <row r="4508" spans="3:6" x14ac:dyDescent="0.35">
      <c r="C4508" s="11"/>
      <c r="D4508" s="18"/>
      <c r="F4508" s="28"/>
    </row>
    <row r="4509" spans="3:6" x14ac:dyDescent="0.35">
      <c r="C4509" s="11"/>
      <c r="D4509" s="18"/>
      <c r="F4509" s="28"/>
    </row>
    <row r="4510" spans="3:6" x14ac:dyDescent="0.35">
      <c r="C4510" s="11"/>
      <c r="D4510" s="18"/>
      <c r="F4510" s="28"/>
    </row>
    <row r="4511" spans="3:6" x14ac:dyDescent="0.35">
      <c r="C4511" s="11"/>
      <c r="D4511" s="18"/>
      <c r="F4511" s="28"/>
    </row>
    <row r="4512" spans="3:6" x14ac:dyDescent="0.35">
      <c r="C4512" s="11"/>
      <c r="D4512" s="18"/>
      <c r="F4512" s="28"/>
    </row>
    <row r="4513" spans="3:6" x14ac:dyDescent="0.35">
      <c r="C4513" s="11"/>
      <c r="D4513" s="18"/>
      <c r="F4513" s="28"/>
    </row>
    <row r="4514" spans="3:6" x14ac:dyDescent="0.35">
      <c r="C4514" s="12"/>
      <c r="D4514" s="18"/>
      <c r="F4514" s="28"/>
    </row>
    <row r="4515" spans="3:6" x14ac:dyDescent="0.35">
      <c r="C4515" s="12"/>
      <c r="D4515" s="18"/>
      <c r="F4515" s="28"/>
    </row>
    <row r="4516" spans="3:6" x14ac:dyDescent="0.35">
      <c r="C4516" s="12"/>
      <c r="D4516" s="18"/>
      <c r="F4516" s="28"/>
    </row>
    <row r="4517" spans="3:6" x14ac:dyDescent="0.35">
      <c r="C4517" s="12"/>
      <c r="D4517" s="18"/>
      <c r="F4517" s="28"/>
    </row>
    <row r="4518" spans="3:6" x14ac:dyDescent="0.35">
      <c r="C4518" s="12"/>
      <c r="D4518" s="18"/>
      <c r="F4518" s="28"/>
    </row>
    <row r="4519" spans="3:6" x14ac:dyDescent="0.35">
      <c r="C4519" s="12"/>
      <c r="D4519" s="18"/>
      <c r="F4519" s="28"/>
    </row>
    <row r="4520" spans="3:6" x14ac:dyDescent="0.35">
      <c r="C4520" s="13"/>
      <c r="D4520" s="18"/>
      <c r="F4520" s="28"/>
    </row>
    <row r="4521" spans="3:6" x14ac:dyDescent="0.35">
      <c r="C4521" s="13"/>
      <c r="D4521" s="18"/>
      <c r="F4521" s="28"/>
    </row>
    <row r="4522" spans="3:6" x14ac:dyDescent="0.35">
      <c r="C4522" s="13"/>
      <c r="D4522" s="18"/>
      <c r="F4522" s="28"/>
    </row>
    <row r="4523" spans="3:6" x14ac:dyDescent="0.35">
      <c r="C4523" s="13"/>
      <c r="D4523" s="18"/>
      <c r="F4523" s="28"/>
    </row>
    <row r="4524" spans="3:6" x14ac:dyDescent="0.35">
      <c r="C4524" s="13"/>
      <c r="D4524" s="18"/>
      <c r="F4524" s="28"/>
    </row>
    <row r="4525" spans="3:6" x14ac:dyDescent="0.35">
      <c r="C4525" s="13"/>
      <c r="D4525" s="18"/>
      <c r="F4525" s="28"/>
    </row>
    <row r="4526" spans="3:6" x14ac:dyDescent="0.35">
      <c r="C4526" s="14"/>
      <c r="D4526" s="18"/>
      <c r="F4526" s="28"/>
    </row>
    <row r="4527" spans="3:6" x14ac:dyDescent="0.35">
      <c r="C4527" s="14"/>
      <c r="D4527" s="18"/>
      <c r="F4527" s="28"/>
    </row>
    <row r="4528" spans="3:6" x14ac:dyDescent="0.35">
      <c r="C4528" s="14"/>
      <c r="D4528" s="18"/>
      <c r="F4528" s="28"/>
    </row>
    <row r="4529" spans="3:6" x14ac:dyDescent="0.35">
      <c r="C4529" s="14"/>
      <c r="D4529" s="18"/>
      <c r="F4529" s="28"/>
    </row>
    <row r="4530" spans="3:6" x14ac:dyDescent="0.35">
      <c r="C4530" s="14"/>
      <c r="D4530" s="18"/>
      <c r="F4530" s="28"/>
    </row>
    <row r="4531" spans="3:6" x14ac:dyDescent="0.35">
      <c r="C4531" s="14"/>
      <c r="D4531" s="18"/>
      <c r="F4531" s="28"/>
    </row>
    <row r="4532" spans="3:6" x14ac:dyDescent="0.35">
      <c r="C4532" s="15"/>
      <c r="D4532" s="18"/>
      <c r="F4532" s="28"/>
    </row>
    <row r="4533" spans="3:6" x14ac:dyDescent="0.35">
      <c r="C4533" s="15"/>
      <c r="D4533" s="18"/>
      <c r="F4533" s="28"/>
    </row>
    <row r="4534" spans="3:6" x14ac:dyDescent="0.35">
      <c r="C4534" s="15"/>
      <c r="D4534" s="18"/>
      <c r="F4534" s="28"/>
    </row>
    <row r="4535" spans="3:6" x14ac:dyDescent="0.35">
      <c r="C4535" s="15"/>
      <c r="D4535" s="18"/>
      <c r="F4535" s="28"/>
    </row>
    <row r="4536" spans="3:6" x14ac:dyDescent="0.35">
      <c r="C4536" s="15"/>
      <c r="D4536" s="18"/>
      <c r="F4536" s="28"/>
    </row>
    <row r="4537" spans="3:6" x14ac:dyDescent="0.35">
      <c r="C4537" s="15"/>
      <c r="D4537" s="18"/>
      <c r="F4537" s="28"/>
    </row>
    <row r="4538" spans="3:6" x14ac:dyDescent="0.35">
      <c r="C4538" s="7"/>
      <c r="D4538" s="18"/>
      <c r="F4538" s="28"/>
    </row>
    <row r="4539" spans="3:6" x14ac:dyDescent="0.35">
      <c r="C4539" s="7"/>
      <c r="D4539" s="18"/>
      <c r="F4539" s="28"/>
    </row>
    <row r="4540" spans="3:6" x14ac:dyDescent="0.35">
      <c r="C4540" s="7"/>
      <c r="D4540" s="18"/>
      <c r="F4540" s="28"/>
    </row>
    <row r="4541" spans="3:6" x14ac:dyDescent="0.35">
      <c r="C4541" s="7"/>
      <c r="D4541" s="18"/>
      <c r="F4541" s="28"/>
    </row>
    <row r="4542" spans="3:6" x14ac:dyDescent="0.35">
      <c r="C4542" s="7"/>
      <c r="D4542" s="18"/>
      <c r="F4542" s="28"/>
    </row>
    <row r="4543" spans="3:6" x14ac:dyDescent="0.35">
      <c r="C4543" s="7"/>
      <c r="D4543" s="18"/>
      <c r="F4543" s="28"/>
    </row>
    <row r="4544" spans="3:6" x14ac:dyDescent="0.35">
      <c r="C4544" s="16"/>
      <c r="D4544" s="18"/>
      <c r="F4544" s="28"/>
    </row>
    <row r="4545" spans="3:6" x14ac:dyDescent="0.35">
      <c r="C4545" s="16"/>
      <c r="D4545" s="18"/>
      <c r="F4545" s="28"/>
    </row>
    <row r="4546" spans="3:6" x14ac:dyDescent="0.35">
      <c r="C4546" s="16"/>
      <c r="D4546" s="18"/>
      <c r="F4546" s="28"/>
    </row>
    <row r="4547" spans="3:6" x14ac:dyDescent="0.35">
      <c r="C4547" s="16"/>
      <c r="D4547" s="18"/>
      <c r="F4547" s="28"/>
    </row>
    <row r="4548" spans="3:6" x14ac:dyDescent="0.35">
      <c r="C4548" s="16"/>
      <c r="D4548" s="18"/>
      <c r="F4548" s="28"/>
    </row>
    <row r="4549" spans="3:6" x14ac:dyDescent="0.35">
      <c r="C4549" s="16"/>
      <c r="D4549" s="18"/>
      <c r="F4549" s="28"/>
    </row>
    <row r="4550" spans="3:6" x14ac:dyDescent="0.35">
      <c r="C4550" s="7"/>
      <c r="D4550" s="18"/>
      <c r="F4550" s="28"/>
    </row>
    <row r="4551" spans="3:6" x14ac:dyDescent="0.35">
      <c r="C4551" s="7"/>
      <c r="D4551" s="18"/>
      <c r="F4551" s="28"/>
    </row>
    <row r="4552" spans="3:6" x14ac:dyDescent="0.35">
      <c r="C4552" s="7"/>
      <c r="D4552" s="18"/>
      <c r="F4552" s="28"/>
    </row>
    <row r="4553" spans="3:6" x14ac:dyDescent="0.35">
      <c r="C4553" s="7"/>
      <c r="D4553" s="18"/>
      <c r="F4553" s="28"/>
    </row>
    <row r="4554" spans="3:6" x14ac:dyDescent="0.35">
      <c r="C4554" s="7"/>
      <c r="D4554" s="18"/>
      <c r="F4554" s="28"/>
    </row>
    <row r="4555" spans="3:6" x14ac:dyDescent="0.35">
      <c r="C4555" s="7"/>
      <c r="D4555" s="18"/>
      <c r="F4555" s="28"/>
    </row>
    <row r="4556" spans="3:6" x14ac:dyDescent="0.35">
      <c r="C4556" s="7"/>
      <c r="D4556" s="18"/>
      <c r="F4556" s="28"/>
    </row>
    <row r="4557" spans="3:6" x14ac:dyDescent="0.35">
      <c r="C4557" s="7"/>
      <c r="D4557" s="18"/>
      <c r="F4557" s="28"/>
    </row>
    <row r="4558" spans="3:6" x14ac:dyDescent="0.35">
      <c r="C4558" s="7"/>
      <c r="D4558" s="18"/>
      <c r="F4558" s="28"/>
    </row>
    <row r="4559" spans="3:6" x14ac:dyDescent="0.35">
      <c r="C4559" s="7"/>
      <c r="D4559" s="18"/>
      <c r="F4559" s="28"/>
    </row>
    <row r="4560" spans="3:6" x14ac:dyDescent="0.35">
      <c r="C4560" s="7"/>
      <c r="D4560" s="18"/>
      <c r="F4560" s="28"/>
    </row>
    <row r="4561" spans="3:6" x14ac:dyDescent="0.35">
      <c r="C4561" s="7"/>
      <c r="D4561" s="18"/>
      <c r="F4561" s="28"/>
    </row>
    <row r="4562" spans="3:6" x14ac:dyDescent="0.35">
      <c r="C4562" s="8"/>
      <c r="D4562" s="18"/>
      <c r="F4562" s="28"/>
    </row>
    <row r="4563" spans="3:6" x14ac:dyDescent="0.35">
      <c r="C4563" s="8"/>
      <c r="D4563" s="18"/>
      <c r="F4563" s="28"/>
    </row>
    <row r="4564" spans="3:6" x14ac:dyDescent="0.35">
      <c r="C4564" s="8"/>
      <c r="D4564" s="18"/>
      <c r="F4564" s="28"/>
    </row>
    <row r="4565" spans="3:6" x14ac:dyDescent="0.35">
      <c r="C4565" s="8"/>
      <c r="D4565" s="18"/>
      <c r="F4565" s="28"/>
    </row>
    <row r="4566" spans="3:6" x14ac:dyDescent="0.35">
      <c r="C4566" s="8"/>
      <c r="D4566" s="18"/>
      <c r="F4566" s="28"/>
    </row>
    <row r="4567" spans="3:6" x14ac:dyDescent="0.35">
      <c r="C4567" s="8"/>
      <c r="D4567" s="18"/>
      <c r="F4567" s="28"/>
    </row>
    <row r="4568" spans="3:6" x14ac:dyDescent="0.35">
      <c r="C4568" s="9"/>
      <c r="D4568" s="18"/>
      <c r="F4568" s="28"/>
    </row>
    <row r="4569" spans="3:6" x14ac:dyDescent="0.35">
      <c r="C4569" s="9"/>
      <c r="D4569" s="18"/>
      <c r="F4569" s="28"/>
    </row>
    <row r="4570" spans="3:6" x14ac:dyDescent="0.35">
      <c r="C4570" s="9"/>
      <c r="D4570" s="18"/>
      <c r="F4570" s="28"/>
    </row>
    <row r="4571" spans="3:6" x14ac:dyDescent="0.35">
      <c r="C4571" s="9"/>
      <c r="D4571" s="18"/>
      <c r="F4571" s="28"/>
    </row>
    <row r="4572" spans="3:6" x14ac:dyDescent="0.35">
      <c r="C4572" s="9"/>
      <c r="D4572" s="18"/>
      <c r="F4572" s="28"/>
    </row>
    <row r="4573" spans="3:6" x14ac:dyDescent="0.35">
      <c r="C4573" s="9"/>
      <c r="D4573" s="18"/>
      <c r="F4573" s="28"/>
    </row>
    <row r="4574" spans="3:6" x14ac:dyDescent="0.35">
      <c r="C4574" s="10"/>
      <c r="D4574" s="18"/>
      <c r="F4574" s="28"/>
    </row>
    <row r="4575" spans="3:6" x14ac:dyDescent="0.35">
      <c r="C4575" s="10"/>
      <c r="D4575" s="18"/>
      <c r="F4575" s="28"/>
    </row>
    <row r="4576" spans="3:6" x14ac:dyDescent="0.35">
      <c r="C4576" s="10"/>
      <c r="D4576" s="18"/>
      <c r="F4576" s="28"/>
    </row>
    <row r="4577" spans="3:6" x14ac:dyDescent="0.35">
      <c r="C4577" s="10"/>
      <c r="D4577" s="18"/>
      <c r="F4577" s="28"/>
    </row>
    <row r="4578" spans="3:6" x14ac:dyDescent="0.35">
      <c r="C4578" s="10"/>
      <c r="D4578" s="18"/>
      <c r="F4578" s="28"/>
    </row>
    <row r="4579" spans="3:6" x14ac:dyDescent="0.35">
      <c r="C4579" s="10"/>
      <c r="D4579" s="18"/>
      <c r="F4579" s="28"/>
    </row>
    <row r="4580" spans="3:6" x14ac:dyDescent="0.35">
      <c r="C4580" s="11"/>
      <c r="D4580" s="18"/>
      <c r="F4580" s="28"/>
    </row>
    <row r="4581" spans="3:6" x14ac:dyDescent="0.35">
      <c r="C4581" s="11"/>
      <c r="D4581" s="18"/>
      <c r="F4581" s="28"/>
    </row>
    <row r="4582" spans="3:6" x14ac:dyDescent="0.35">
      <c r="C4582" s="11"/>
      <c r="D4582" s="18"/>
      <c r="F4582" s="28"/>
    </row>
    <row r="4583" spans="3:6" x14ac:dyDescent="0.35">
      <c r="C4583" s="11"/>
      <c r="D4583" s="18"/>
      <c r="F4583" s="28"/>
    </row>
    <row r="4584" spans="3:6" x14ac:dyDescent="0.35">
      <c r="C4584" s="11"/>
      <c r="D4584" s="18"/>
      <c r="F4584" s="28"/>
    </row>
    <row r="4585" spans="3:6" x14ac:dyDescent="0.35">
      <c r="C4585" s="11"/>
      <c r="D4585" s="18"/>
      <c r="F4585" s="28"/>
    </row>
    <row r="4586" spans="3:6" x14ac:dyDescent="0.35">
      <c r="C4586" s="12"/>
      <c r="D4586" s="18"/>
      <c r="F4586" s="28"/>
    </row>
    <row r="4587" spans="3:6" x14ac:dyDescent="0.35">
      <c r="C4587" s="12"/>
      <c r="D4587" s="18"/>
      <c r="F4587" s="28"/>
    </row>
    <row r="4588" spans="3:6" x14ac:dyDescent="0.35">
      <c r="C4588" s="12"/>
      <c r="D4588" s="18"/>
      <c r="F4588" s="28"/>
    </row>
    <row r="4589" spans="3:6" x14ac:dyDescent="0.35">
      <c r="C4589" s="12"/>
      <c r="D4589" s="18"/>
      <c r="F4589" s="28"/>
    </row>
    <row r="4590" spans="3:6" x14ac:dyDescent="0.35">
      <c r="C4590" s="12"/>
      <c r="D4590" s="18"/>
      <c r="F4590" s="28"/>
    </row>
    <row r="4591" spans="3:6" x14ac:dyDescent="0.35">
      <c r="C4591" s="12"/>
      <c r="D4591" s="18"/>
      <c r="F4591" s="28"/>
    </row>
    <row r="4592" spans="3:6" x14ac:dyDescent="0.35">
      <c r="C4592" s="13"/>
      <c r="D4592" s="18"/>
      <c r="F4592" s="28"/>
    </row>
    <row r="4593" spans="3:6" x14ac:dyDescent="0.35">
      <c r="C4593" s="13"/>
      <c r="D4593" s="18"/>
      <c r="F4593" s="28"/>
    </row>
    <row r="4594" spans="3:6" x14ac:dyDescent="0.35">
      <c r="C4594" s="13"/>
      <c r="D4594" s="18"/>
      <c r="F4594" s="28"/>
    </row>
    <row r="4595" spans="3:6" x14ac:dyDescent="0.35">
      <c r="C4595" s="13"/>
      <c r="D4595" s="18"/>
      <c r="F4595" s="28"/>
    </row>
    <row r="4596" spans="3:6" x14ac:dyDescent="0.35">
      <c r="C4596" s="13"/>
      <c r="D4596" s="18"/>
      <c r="F4596" s="28"/>
    </row>
    <row r="4597" spans="3:6" x14ac:dyDescent="0.35">
      <c r="C4597" s="13"/>
      <c r="D4597" s="18"/>
      <c r="F4597" s="28"/>
    </row>
    <row r="4598" spans="3:6" x14ac:dyDescent="0.35">
      <c r="C4598" s="14"/>
      <c r="D4598" s="18"/>
      <c r="F4598" s="28"/>
    </row>
    <row r="4599" spans="3:6" x14ac:dyDescent="0.35">
      <c r="C4599" s="14"/>
      <c r="D4599" s="18"/>
      <c r="F4599" s="28"/>
    </row>
    <row r="4600" spans="3:6" x14ac:dyDescent="0.35">
      <c r="C4600" s="14"/>
      <c r="D4600" s="18"/>
      <c r="F4600" s="28"/>
    </row>
    <row r="4601" spans="3:6" x14ac:dyDescent="0.35">
      <c r="C4601" s="14"/>
      <c r="D4601" s="18"/>
      <c r="F4601" s="28"/>
    </row>
    <row r="4602" spans="3:6" x14ac:dyDescent="0.35">
      <c r="C4602" s="14"/>
      <c r="D4602" s="18"/>
      <c r="F4602" s="28"/>
    </row>
    <row r="4603" spans="3:6" x14ac:dyDescent="0.35">
      <c r="C4603" s="14"/>
      <c r="D4603" s="18"/>
      <c r="F4603" s="28"/>
    </row>
    <row r="4604" spans="3:6" x14ac:dyDescent="0.35">
      <c r="C4604" s="15"/>
      <c r="D4604" s="18"/>
      <c r="F4604" s="28"/>
    </row>
    <row r="4605" spans="3:6" x14ac:dyDescent="0.35">
      <c r="C4605" s="15"/>
      <c r="D4605" s="18"/>
      <c r="F4605" s="28"/>
    </row>
    <row r="4606" spans="3:6" x14ac:dyDescent="0.35">
      <c r="C4606" s="15"/>
      <c r="D4606" s="18"/>
      <c r="F4606" s="28"/>
    </row>
    <row r="4607" spans="3:6" x14ac:dyDescent="0.35">
      <c r="C4607" s="15"/>
      <c r="D4607" s="18"/>
      <c r="F4607" s="28"/>
    </row>
    <row r="4608" spans="3:6" x14ac:dyDescent="0.35">
      <c r="C4608" s="15"/>
      <c r="D4608" s="18"/>
      <c r="F4608" s="28"/>
    </row>
    <row r="4609" spans="3:6" x14ac:dyDescent="0.35">
      <c r="C4609" s="15"/>
      <c r="D4609" s="18"/>
      <c r="F4609" s="28"/>
    </row>
    <row r="4610" spans="3:6" x14ac:dyDescent="0.35">
      <c r="C4610" s="7"/>
      <c r="D4610" s="18"/>
      <c r="F4610" s="28"/>
    </row>
    <row r="4611" spans="3:6" x14ac:dyDescent="0.35">
      <c r="C4611" s="7"/>
      <c r="D4611" s="18"/>
      <c r="F4611" s="28"/>
    </row>
    <row r="4612" spans="3:6" x14ac:dyDescent="0.35">
      <c r="C4612" s="7"/>
      <c r="D4612" s="18"/>
      <c r="F4612" s="28"/>
    </row>
    <row r="4613" spans="3:6" x14ac:dyDescent="0.35">
      <c r="C4613" s="7"/>
      <c r="D4613" s="18"/>
      <c r="F4613" s="28"/>
    </row>
    <row r="4614" spans="3:6" x14ac:dyDescent="0.35">
      <c r="C4614" s="7"/>
      <c r="D4614" s="18"/>
      <c r="F4614" s="28"/>
    </row>
    <row r="4615" spans="3:6" x14ac:dyDescent="0.35">
      <c r="C4615" s="7"/>
      <c r="D4615" s="18"/>
      <c r="F4615" s="28"/>
    </row>
    <row r="4616" spans="3:6" x14ac:dyDescent="0.35">
      <c r="C4616" s="16"/>
      <c r="D4616" s="18"/>
      <c r="F4616" s="28"/>
    </row>
    <row r="4617" spans="3:6" x14ac:dyDescent="0.35">
      <c r="C4617" s="16"/>
      <c r="D4617" s="18"/>
      <c r="F4617" s="28"/>
    </row>
    <row r="4618" spans="3:6" x14ac:dyDescent="0.35">
      <c r="C4618" s="16"/>
      <c r="D4618" s="18"/>
      <c r="F4618" s="28"/>
    </row>
    <row r="4619" spans="3:6" x14ac:dyDescent="0.35">
      <c r="C4619" s="16"/>
      <c r="D4619" s="18"/>
      <c r="F4619" s="28"/>
    </row>
    <row r="4620" spans="3:6" x14ac:dyDescent="0.35">
      <c r="C4620" s="16"/>
      <c r="D4620" s="18"/>
      <c r="F4620" s="28"/>
    </row>
    <row r="4621" spans="3:6" x14ac:dyDescent="0.35">
      <c r="C4621" s="16"/>
      <c r="D4621" s="18"/>
      <c r="F4621" s="28"/>
    </row>
    <row r="4622" spans="3:6" x14ac:dyDescent="0.35">
      <c r="C4622" s="7"/>
      <c r="D4622" s="18"/>
      <c r="F4622" s="28"/>
    </row>
    <row r="4623" spans="3:6" x14ac:dyDescent="0.35">
      <c r="C4623" s="7"/>
      <c r="D4623" s="18"/>
      <c r="F4623" s="28"/>
    </row>
    <row r="4624" spans="3:6" x14ac:dyDescent="0.35">
      <c r="C4624" s="7"/>
      <c r="D4624" s="18"/>
      <c r="F4624" s="28"/>
    </row>
    <row r="4625" spans="3:6" x14ac:dyDescent="0.35">
      <c r="C4625" s="7"/>
      <c r="D4625" s="18"/>
      <c r="F4625" s="28"/>
    </row>
    <row r="4626" spans="3:6" x14ac:dyDescent="0.35">
      <c r="C4626" s="7"/>
      <c r="D4626" s="18"/>
      <c r="F4626" s="28"/>
    </row>
    <row r="4627" spans="3:6" x14ac:dyDescent="0.35">
      <c r="C4627" s="7"/>
      <c r="D4627" s="18"/>
      <c r="F4627" s="28"/>
    </row>
    <row r="4628" spans="3:6" x14ac:dyDescent="0.35">
      <c r="C4628" s="7"/>
      <c r="D4628" s="18"/>
      <c r="F4628" s="28"/>
    </row>
    <row r="4629" spans="3:6" x14ac:dyDescent="0.35">
      <c r="C4629" s="7"/>
      <c r="D4629" s="18"/>
      <c r="F4629" s="28"/>
    </row>
    <row r="4630" spans="3:6" x14ac:dyDescent="0.35">
      <c r="C4630" s="7"/>
      <c r="D4630" s="18"/>
      <c r="F4630" s="28"/>
    </row>
    <row r="4631" spans="3:6" x14ac:dyDescent="0.35">
      <c r="C4631" s="7"/>
      <c r="D4631" s="18"/>
      <c r="F4631" s="28"/>
    </row>
    <row r="4632" spans="3:6" x14ac:dyDescent="0.35">
      <c r="C4632" s="7"/>
      <c r="D4632" s="18"/>
      <c r="F4632" s="28"/>
    </row>
    <row r="4633" spans="3:6" x14ac:dyDescent="0.35">
      <c r="C4633" s="7"/>
      <c r="D4633" s="18"/>
      <c r="F4633" s="28"/>
    </row>
    <row r="4634" spans="3:6" x14ac:dyDescent="0.35">
      <c r="C4634" s="8"/>
      <c r="D4634" s="18"/>
      <c r="F4634" s="28"/>
    </row>
    <row r="4635" spans="3:6" x14ac:dyDescent="0.35">
      <c r="C4635" s="8"/>
      <c r="D4635" s="18"/>
      <c r="F4635" s="28"/>
    </row>
    <row r="4636" spans="3:6" x14ac:dyDescent="0.35">
      <c r="C4636" s="8"/>
      <c r="D4636" s="18"/>
      <c r="F4636" s="28"/>
    </row>
    <row r="4637" spans="3:6" x14ac:dyDescent="0.35">
      <c r="C4637" s="8"/>
      <c r="D4637" s="18"/>
      <c r="F4637" s="28"/>
    </row>
    <row r="4638" spans="3:6" x14ac:dyDescent="0.35">
      <c r="C4638" s="8"/>
      <c r="D4638" s="18"/>
      <c r="F4638" s="28"/>
    </row>
    <row r="4639" spans="3:6" x14ac:dyDescent="0.35">
      <c r="C4639" s="8"/>
      <c r="D4639" s="18"/>
      <c r="F4639" s="28"/>
    </row>
    <row r="4640" spans="3:6" x14ac:dyDescent="0.35">
      <c r="C4640" s="9"/>
      <c r="D4640" s="18"/>
      <c r="F4640" s="28"/>
    </row>
    <row r="4641" spans="3:6" x14ac:dyDescent="0.35">
      <c r="C4641" s="9"/>
      <c r="D4641" s="18"/>
      <c r="F4641" s="28"/>
    </row>
    <row r="4642" spans="3:6" x14ac:dyDescent="0.35">
      <c r="C4642" s="9"/>
      <c r="D4642" s="18"/>
      <c r="F4642" s="28"/>
    </row>
    <row r="4643" spans="3:6" x14ac:dyDescent="0.35">
      <c r="C4643" s="9"/>
      <c r="D4643" s="18"/>
      <c r="F4643" s="28"/>
    </row>
    <row r="4644" spans="3:6" x14ac:dyDescent="0.35">
      <c r="C4644" s="9"/>
      <c r="D4644" s="18"/>
      <c r="F4644" s="28"/>
    </row>
    <row r="4645" spans="3:6" x14ac:dyDescent="0.35">
      <c r="C4645" s="9"/>
      <c r="D4645" s="18"/>
      <c r="F4645" s="28"/>
    </row>
    <row r="4646" spans="3:6" x14ac:dyDescent="0.35">
      <c r="C4646" s="10"/>
      <c r="D4646" s="18"/>
      <c r="F4646" s="28"/>
    </row>
    <row r="4647" spans="3:6" x14ac:dyDescent="0.35">
      <c r="C4647" s="10"/>
      <c r="D4647" s="18"/>
      <c r="F4647" s="28"/>
    </row>
    <row r="4648" spans="3:6" x14ac:dyDescent="0.35">
      <c r="C4648" s="10"/>
      <c r="D4648" s="18"/>
      <c r="F4648" s="28"/>
    </row>
    <row r="4649" spans="3:6" x14ac:dyDescent="0.35">
      <c r="C4649" s="10"/>
      <c r="D4649" s="18"/>
      <c r="F4649" s="28"/>
    </row>
    <row r="4650" spans="3:6" x14ac:dyDescent="0.35">
      <c r="C4650" s="10"/>
      <c r="D4650" s="18"/>
      <c r="F4650" s="28"/>
    </row>
    <row r="4651" spans="3:6" x14ac:dyDescent="0.35">
      <c r="C4651" s="10"/>
      <c r="D4651" s="18"/>
      <c r="F4651" s="28"/>
    </row>
    <row r="4652" spans="3:6" x14ac:dyDescent="0.35">
      <c r="C4652" s="11"/>
      <c r="D4652" s="18"/>
      <c r="F4652" s="28"/>
    </row>
    <row r="4653" spans="3:6" x14ac:dyDescent="0.35">
      <c r="C4653" s="11"/>
      <c r="D4653" s="18"/>
      <c r="F4653" s="28"/>
    </row>
    <row r="4654" spans="3:6" x14ac:dyDescent="0.35">
      <c r="C4654" s="11"/>
      <c r="D4654" s="18"/>
      <c r="F4654" s="28"/>
    </row>
    <row r="4655" spans="3:6" x14ac:dyDescent="0.35">
      <c r="C4655" s="11"/>
      <c r="D4655" s="18"/>
      <c r="F4655" s="28"/>
    </row>
    <row r="4656" spans="3:6" x14ac:dyDescent="0.35">
      <c r="C4656" s="11"/>
      <c r="D4656" s="18"/>
      <c r="F4656" s="28"/>
    </row>
    <row r="4657" spans="3:6" x14ac:dyDescent="0.35">
      <c r="C4657" s="11"/>
      <c r="D4657" s="18"/>
      <c r="F4657" s="28"/>
    </row>
    <row r="4658" spans="3:6" x14ac:dyDescent="0.35">
      <c r="C4658" s="12"/>
      <c r="D4658" s="18"/>
      <c r="F4658" s="28"/>
    </row>
    <row r="4659" spans="3:6" x14ac:dyDescent="0.35">
      <c r="C4659" s="12"/>
      <c r="D4659" s="18"/>
      <c r="F4659" s="28"/>
    </row>
    <row r="4660" spans="3:6" x14ac:dyDescent="0.35">
      <c r="C4660" s="12"/>
      <c r="D4660" s="18"/>
      <c r="F4660" s="28"/>
    </row>
    <row r="4661" spans="3:6" x14ac:dyDescent="0.35">
      <c r="C4661" s="12"/>
      <c r="D4661" s="18"/>
      <c r="F4661" s="28"/>
    </row>
    <row r="4662" spans="3:6" x14ac:dyDescent="0.35">
      <c r="C4662" s="12"/>
      <c r="D4662" s="18"/>
      <c r="F4662" s="28"/>
    </row>
    <row r="4663" spans="3:6" x14ac:dyDescent="0.35">
      <c r="C4663" s="12"/>
      <c r="D4663" s="18"/>
      <c r="F4663" s="28"/>
    </row>
    <row r="4664" spans="3:6" x14ac:dyDescent="0.35">
      <c r="C4664" s="13"/>
      <c r="D4664" s="18"/>
      <c r="F4664" s="28"/>
    </row>
    <row r="4665" spans="3:6" x14ac:dyDescent="0.35">
      <c r="C4665" s="13"/>
      <c r="D4665" s="18"/>
      <c r="F4665" s="28"/>
    </row>
    <row r="4666" spans="3:6" x14ac:dyDescent="0.35">
      <c r="C4666" s="13"/>
      <c r="D4666" s="18"/>
      <c r="F4666" s="28"/>
    </row>
    <row r="4667" spans="3:6" x14ac:dyDescent="0.35">
      <c r="C4667" s="13"/>
      <c r="D4667" s="18"/>
      <c r="F4667" s="28"/>
    </row>
    <row r="4668" spans="3:6" x14ac:dyDescent="0.35">
      <c r="C4668" s="13"/>
      <c r="D4668" s="18"/>
      <c r="F4668" s="28"/>
    </row>
    <row r="4669" spans="3:6" x14ac:dyDescent="0.35">
      <c r="C4669" s="13"/>
      <c r="D4669" s="18"/>
      <c r="F4669" s="28"/>
    </row>
    <row r="4670" spans="3:6" x14ac:dyDescent="0.35">
      <c r="C4670" s="14"/>
      <c r="D4670" s="18"/>
      <c r="F4670" s="28"/>
    </row>
    <row r="4671" spans="3:6" x14ac:dyDescent="0.35">
      <c r="C4671" s="14"/>
      <c r="D4671" s="18"/>
      <c r="F4671" s="28"/>
    </row>
    <row r="4672" spans="3:6" x14ac:dyDescent="0.35">
      <c r="C4672" s="14"/>
      <c r="D4672" s="18"/>
      <c r="F4672" s="28"/>
    </row>
    <row r="4673" spans="3:6" x14ac:dyDescent="0.35">
      <c r="C4673" s="14"/>
      <c r="D4673" s="18"/>
      <c r="F4673" s="28"/>
    </row>
    <row r="4674" spans="3:6" x14ac:dyDescent="0.35">
      <c r="C4674" s="14"/>
      <c r="D4674" s="18"/>
      <c r="F4674" s="28"/>
    </row>
    <row r="4675" spans="3:6" x14ac:dyDescent="0.35">
      <c r="C4675" s="14"/>
      <c r="D4675" s="18"/>
      <c r="F4675" s="28"/>
    </row>
    <row r="4676" spans="3:6" x14ac:dyDescent="0.35">
      <c r="C4676" s="15"/>
      <c r="D4676" s="18"/>
      <c r="F4676" s="28"/>
    </row>
    <row r="4677" spans="3:6" x14ac:dyDescent="0.35">
      <c r="C4677" s="15"/>
      <c r="D4677" s="18"/>
      <c r="F4677" s="28"/>
    </row>
    <row r="4678" spans="3:6" x14ac:dyDescent="0.35">
      <c r="C4678" s="15"/>
      <c r="D4678" s="18"/>
      <c r="F4678" s="28"/>
    </row>
    <row r="4679" spans="3:6" x14ac:dyDescent="0.35">
      <c r="C4679" s="15"/>
      <c r="D4679" s="18"/>
      <c r="F4679" s="28"/>
    </row>
    <row r="4680" spans="3:6" x14ac:dyDescent="0.35">
      <c r="C4680" s="15"/>
      <c r="D4680" s="18"/>
      <c r="F4680" s="28"/>
    </row>
    <row r="4681" spans="3:6" x14ac:dyDescent="0.35">
      <c r="C4681" s="15"/>
      <c r="D4681" s="18"/>
      <c r="F4681" s="28"/>
    </row>
    <row r="4682" spans="3:6" x14ac:dyDescent="0.35">
      <c r="C4682" s="7"/>
      <c r="D4682" s="18"/>
      <c r="F4682" s="28"/>
    </row>
    <row r="4683" spans="3:6" x14ac:dyDescent="0.35">
      <c r="C4683" s="7"/>
      <c r="D4683" s="18"/>
      <c r="F4683" s="28"/>
    </row>
    <row r="4684" spans="3:6" x14ac:dyDescent="0.35">
      <c r="C4684" s="7"/>
      <c r="D4684" s="18"/>
      <c r="F4684" s="28"/>
    </row>
    <row r="4685" spans="3:6" x14ac:dyDescent="0.35">
      <c r="C4685" s="7"/>
      <c r="D4685" s="18"/>
      <c r="F4685" s="28"/>
    </row>
    <row r="4686" spans="3:6" x14ac:dyDescent="0.35">
      <c r="C4686" s="7"/>
      <c r="D4686" s="18"/>
      <c r="F4686" s="28"/>
    </row>
    <row r="4687" spans="3:6" x14ac:dyDescent="0.35">
      <c r="C4687" s="7"/>
      <c r="D4687" s="18"/>
      <c r="F4687" s="28"/>
    </row>
    <row r="4688" spans="3:6" x14ac:dyDescent="0.35">
      <c r="C4688" s="16"/>
      <c r="D4688" s="18"/>
      <c r="F4688" s="28"/>
    </row>
    <row r="4689" spans="3:6" x14ac:dyDescent="0.35">
      <c r="C4689" s="16"/>
      <c r="D4689" s="18"/>
      <c r="F4689" s="28"/>
    </row>
    <row r="4690" spans="3:6" x14ac:dyDescent="0.35">
      <c r="C4690" s="16"/>
      <c r="D4690" s="18"/>
      <c r="F4690" s="28"/>
    </row>
    <row r="4691" spans="3:6" x14ac:dyDescent="0.35">
      <c r="C4691" s="16"/>
      <c r="D4691" s="18"/>
      <c r="F4691" s="28"/>
    </row>
    <row r="4692" spans="3:6" x14ac:dyDescent="0.35">
      <c r="C4692" s="16"/>
      <c r="D4692" s="18"/>
      <c r="F4692" s="28"/>
    </row>
    <row r="4693" spans="3:6" x14ac:dyDescent="0.35">
      <c r="C4693" s="16"/>
      <c r="D4693" s="18"/>
      <c r="F4693" s="28"/>
    </row>
    <row r="4694" spans="3:6" x14ac:dyDescent="0.35">
      <c r="C4694" s="7"/>
      <c r="D4694" s="18"/>
      <c r="F4694" s="28"/>
    </row>
    <row r="4695" spans="3:6" x14ac:dyDescent="0.35">
      <c r="C4695" s="7"/>
      <c r="D4695" s="18"/>
      <c r="F4695" s="28"/>
    </row>
    <row r="4696" spans="3:6" x14ac:dyDescent="0.35">
      <c r="C4696" s="7"/>
      <c r="D4696" s="18"/>
      <c r="F4696" s="28"/>
    </row>
    <row r="4697" spans="3:6" x14ac:dyDescent="0.35">
      <c r="C4697" s="7"/>
      <c r="D4697" s="18"/>
      <c r="F4697" s="28"/>
    </row>
    <row r="4698" spans="3:6" x14ac:dyDescent="0.35">
      <c r="C4698" s="7"/>
      <c r="D4698" s="18"/>
      <c r="F4698" s="28"/>
    </row>
    <row r="4699" spans="3:6" x14ac:dyDescent="0.35">
      <c r="C4699" s="7"/>
      <c r="D4699" s="18"/>
      <c r="F4699" s="28"/>
    </row>
    <row r="4700" spans="3:6" x14ac:dyDescent="0.35">
      <c r="C4700" s="7"/>
      <c r="D4700" s="18"/>
      <c r="F4700" s="28"/>
    </row>
    <row r="4701" spans="3:6" x14ac:dyDescent="0.35">
      <c r="C4701" s="7"/>
      <c r="D4701" s="18"/>
      <c r="F4701" s="28"/>
    </row>
    <row r="4702" spans="3:6" x14ac:dyDescent="0.35">
      <c r="C4702" s="7"/>
      <c r="D4702" s="18"/>
      <c r="F4702" s="28"/>
    </row>
    <row r="4703" spans="3:6" x14ac:dyDescent="0.35">
      <c r="C4703" s="7"/>
      <c r="D4703" s="18"/>
      <c r="F4703" s="28"/>
    </row>
    <row r="4704" spans="3:6" x14ac:dyDescent="0.35">
      <c r="C4704" s="7"/>
      <c r="D4704" s="18"/>
      <c r="F4704" s="28"/>
    </row>
    <row r="4705" spans="3:6" x14ac:dyDescent="0.35">
      <c r="C4705" s="7"/>
      <c r="D4705" s="18"/>
      <c r="F4705" s="28"/>
    </row>
    <row r="4706" spans="3:6" x14ac:dyDescent="0.35">
      <c r="C4706" s="8"/>
      <c r="D4706" s="18"/>
      <c r="F4706" s="28"/>
    </row>
    <row r="4707" spans="3:6" x14ac:dyDescent="0.35">
      <c r="C4707" s="8"/>
      <c r="D4707" s="18"/>
      <c r="F4707" s="28"/>
    </row>
    <row r="4708" spans="3:6" x14ac:dyDescent="0.35">
      <c r="C4708" s="8"/>
      <c r="D4708" s="18"/>
      <c r="F4708" s="28"/>
    </row>
    <row r="4709" spans="3:6" x14ac:dyDescent="0.35">
      <c r="C4709" s="8"/>
      <c r="D4709" s="18"/>
      <c r="F4709" s="28"/>
    </row>
    <row r="4710" spans="3:6" x14ac:dyDescent="0.35">
      <c r="C4710" s="8"/>
      <c r="D4710" s="18"/>
      <c r="F4710" s="28"/>
    </row>
    <row r="4711" spans="3:6" x14ac:dyDescent="0.35">
      <c r="C4711" s="8"/>
      <c r="D4711" s="18"/>
      <c r="F4711" s="28"/>
    </row>
    <row r="4712" spans="3:6" x14ac:dyDescent="0.35">
      <c r="C4712" s="9"/>
      <c r="D4712" s="18"/>
      <c r="F4712" s="28"/>
    </row>
    <row r="4713" spans="3:6" x14ac:dyDescent="0.35">
      <c r="C4713" s="9"/>
      <c r="D4713" s="18"/>
      <c r="F4713" s="28"/>
    </row>
    <row r="4714" spans="3:6" x14ac:dyDescent="0.35">
      <c r="C4714" s="9"/>
      <c r="D4714" s="18"/>
      <c r="F4714" s="28"/>
    </row>
    <row r="4715" spans="3:6" x14ac:dyDescent="0.35">
      <c r="C4715" s="9"/>
      <c r="D4715" s="18"/>
      <c r="F4715" s="28"/>
    </row>
    <row r="4716" spans="3:6" x14ac:dyDescent="0.35">
      <c r="C4716" s="9"/>
      <c r="D4716" s="18"/>
      <c r="F4716" s="28"/>
    </row>
    <row r="4717" spans="3:6" x14ac:dyDescent="0.35">
      <c r="C4717" s="9"/>
      <c r="D4717" s="18"/>
      <c r="F4717" s="28"/>
    </row>
    <row r="4718" spans="3:6" x14ac:dyDescent="0.35">
      <c r="C4718" s="10"/>
      <c r="D4718" s="18"/>
      <c r="F4718" s="28"/>
    </row>
    <row r="4719" spans="3:6" x14ac:dyDescent="0.35">
      <c r="C4719" s="10"/>
      <c r="D4719" s="18"/>
      <c r="F4719" s="28"/>
    </row>
    <row r="4720" spans="3:6" x14ac:dyDescent="0.35">
      <c r="C4720" s="10"/>
      <c r="D4720" s="18"/>
      <c r="F4720" s="28"/>
    </row>
    <row r="4721" spans="3:6" x14ac:dyDescent="0.35">
      <c r="C4721" s="10"/>
      <c r="D4721" s="18"/>
      <c r="F4721" s="28"/>
    </row>
    <row r="4722" spans="3:6" x14ac:dyDescent="0.35">
      <c r="C4722" s="10"/>
      <c r="D4722" s="18"/>
      <c r="F4722" s="28"/>
    </row>
    <row r="4723" spans="3:6" x14ac:dyDescent="0.35">
      <c r="C4723" s="10"/>
      <c r="D4723" s="18"/>
      <c r="F4723" s="28"/>
    </row>
    <row r="4724" spans="3:6" x14ac:dyDescent="0.35">
      <c r="C4724" s="11"/>
      <c r="D4724" s="18"/>
      <c r="F4724" s="28"/>
    </row>
    <row r="4725" spans="3:6" x14ac:dyDescent="0.35">
      <c r="C4725" s="11"/>
      <c r="D4725" s="18"/>
      <c r="F4725" s="28"/>
    </row>
    <row r="4726" spans="3:6" x14ac:dyDescent="0.35">
      <c r="C4726" s="11"/>
      <c r="D4726" s="18"/>
      <c r="F4726" s="28"/>
    </row>
    <row r="4727" spans="3:6" x14ac:dyDescent="0.35">
      <c r="C4727" s="11"/>
      <c r="D4727" s="18"/>
      <c r="F4727" s="28"/>
    </row>
    <row r="4728" spans="3:6" x14ac:dyDescent="0.35">
      <c r="C4728" s="11"/>
      <c r="D4728" s="18"/>
      <c r="F4728" s="28"/>
    </row>
    <row r="4729" spans="3:6" x14ac:dyDescent="0.35">
      <c r="C4729" s="11"/>
      <c r="D4729" s="18"/>
      <c r="F4729" s="28"/>
    </row>
    <row r="4730" spans="3:6" x14ac:dyDescent="0.35">
      <c r="C4730" s="12"/>
      <c r="D4730" s="18"/>
      <c r="F4730" s="28"/>
    </row>
    <row r="4731" spans="3:6" x14ac:dyDescent="0.35">
      <c r="C4731" s="12"/>
      <c r="D4731" s="18"/>
      <c r="F4731" s="28"/>
    </row>
    <row r="4732" spans="3:6" x14ac:dyDescent="0.35">
      <c r="C4732" s="12"/>
      <c r="D4732" s="18"/>
      <c r="F4732" s="28"/>
    </row>
    <row r="4733" spans="3:6" x14ac:dyDescent="0.35">
      <c r="C4733" s="12"/>
      <c r="D4733" s="18"/>
      <c r="F4733" s="28"/>
    </row>
    <row r="4734" spans="3:6" x14ac:dyDescent="0.35">
      <c r="C4734" s="12"/>
      <c r="D4734" s="18"/>
      <c r="F4734" s="28"/>
    </row>
    <row r="4735" spans="3:6" x14ac:dyDescent="0.35">
      <c r="C4735" s="12"/>
      <c r="D4735" s="18"/>
      <c r="F4735" s="28"/>
    </row>
    <row r="4736" spans="3:6" x14ac:dyDescent="0.35">
      <c r="C4736" s="13"/>
      <c r="D4736" s="18"/>
      <c r="F4736" s="28"/>
    </row>
    <row r="4737" spans="3:6" x14ac:dyDescent="0.35">
      <c r="C4737" s="13"/>
      <c r="D4737" s="18"/>
      <c r="F4737" s="28"/>
    </row>
    <row r="4738" spans="3:6" x14ac:dyDescent="0.35">
      <c r="C4738" s="13"/>
      <c r="D4738" s="18"/>
      <c r="F4738" s="28"/>
    </row>
    <row r="4739" spans="3:6" x14ac:dyDescent="0.35">
      <c r="C4739" s="13"/>
      <c r="D4739" s="18"/>
      <c r="F4739" s="28"/>
    </row>
    <row r="4740" spans="3:6" x14ac:dyDescent="0.35">
      <c r="C4740" s="13"/>
      <c r="D4740" s="18"/>
      <c r="F4740" s="28"/>
    </row>
    <row r="4741" spans="3:6" x14ac:dyDescent="0.35">
      <c r="C4741" s="13"/>
      <c r="D4741" s="18"/>
      <c r="F4741" s="28"/>
    </row>
    <row r="4742" spans="3:6" x14ac:dyDescent="0.35">
      <c r="C4742" s="14"/>
      <c r="D4742" s="18"/>
      <c r="F4742" s="28"/>
    </row>
    <row r="4743" spans="3:6" x14ac:dyDescent="0.35">
      <c r="C4743" s="14"/>
      <c r="D4743" s="18"/>
      <c r="F4743" s="28"/>
    </row>
    <row r="4744" spans="3:6" x14ac:dyDescent="0.35">
      <c r="C4744" s="14"/>
      <c r="D4744" s="18"/>
      <c r="F4744" s="28"/>
    </row>
    <row r="4745" spans="3:6" x14ac:dyDescent="0.35">
      <c r="C4745" s="14"/>
      <c r="D4745" s="18"/>
      <c r="F4745" s="28"/>
    </row>
    <row r="4746" spans="3:6" x14ac:dyDescent="0.35">
      <c r="C4746" s="14"/>
      <c r="D4746" s="18"/>
      <c r="F4746" s="28"/>
    </row>
    <row r="4747" spans="3:6" x14ac:dyDescent="0.35">
      <c r="C4747" s="14"/>
      <c r="D4747" s="18"/>
      <c r="F4747" s="28"/>
    </row>
    <row r="4748" spans="3:6" x14ac:dyDescent="0.35">
      <c r="C4748" s="15"/>
      <c r="D4748" s="18"/>
      <c r="F4748" s="28"/>
    </row>
    <row r="4749" spans="3:6" x14ac:dyDescent="0.35">
      <c r="C4749" s="15"/>
      <c r="D4749" s="18"/>
      <c r="F4749" s="28"/>
    </row>
    <row r="4750" spans="3:6" x14ac:dyDescent="0.35">
      <c r="C4750" s="15"/>
      <c r="D4750" s="18"/>
      <c r="F4750" s="28"/>
    </row>
    <row r="4751" spans="3:6" x14ac:dyDescent="0.35">
      <c r="C4751" s="15"/>
      <c r="D4751" s="18"/>
      <c r="F4751" s="28"/>
    </row>
    <row r="4752" spans="3:6" x14ac:dyDescent="0.35">
      <c r="C4752" s="15"/>
      <c r="D4752" s="18"/>
      <c r="F4752" s="28"/>
    </row>
    <row r="4753" spans="3:6" x14ac:dyDescent="0.35">
      <c r="C4753" s="15"/>
      <c r="D4753" s="18"/>
      <c r="F4753" s="28"/>
    </row>
    <row r="4754" spans="3:6" x14ac:dyDescent="0.35">
      <c r="C4754" s="7"/>
      <c r="D4754" s="18"/>
      <c r="F4754" s="28"/>
    </row>
    <row r="4755" spans="3:6" x14ac:dyDescent="0.35">
      <c r="C4755" s="7"/>
      <c r="D4755" s="18"/>
      <c r="F4755" s="28"/>
    </row>
    <row r="4756" spans="3:6" x14ac:dyDescent="0.35">
      <c r="C4756" s="7"/>
      <c r="D4756" s="18"/>
      <c r="F4756" s="28"/>
    </row>
    <row r="4757" spans="3:6" x14ac:dyDescent="0.35">
      <c r="C4757" s="7"/>
      <c r="D4757" s="18"/>
      <c r="F4757" s="28"/>
    </row>
    <row r="4758" spans="3:6" x14ac:dyDescent="0.35">
      <c r="C4758" s="7"/>
      <c r="D4758" s="18"/>
      <c r="F4758" s="28"/>
    </row>
    <row r="4759" spans="3:6" x14ac:dyDescent="0.35">
      <c r="C4759" s="7"/>
      <c r="D4759" s="18"/>
      <c r="F4759" s="28"/>
    </row>
    <row r="4760" spans="3:6" x14ac:dyDescent="0.35">
      <c r="C4760" s="16"/>
      <c r="D4760" s="18"/>
      <c r="F4760" s="28"/>
    </row>
    <row r="4761" spans="3:6" x14ac:dyDescent="0.35">
      <c r="C4761" s="16"/>
      <c r="D4761" s="18"/>
      <c r="F4761" s="28"/>
    </row>
    <row r="4762" spans="3:6" x14ac:dyDescent="0.35">
      <c r="C4762" s="16"/>
      <c r="D4762" s="18"/>
      <c r="F4762" s="28"/>
    </row>
    <row r="4763" spans="3:6" x14ac:dyDescent="0.35">
      <c r="C4763" s="16"/>
      <c r="D4763" s="18"/>
      <c r="F4763" s="28"/>
    </row>
    <row r="4764" spans="3:6" x14ac:dyDescent="0.35">
      <c r="C4764" s="16"/>
      <c r="D4764" s="18"/>
      <c r="F4764" s="28"/>
    </row>
    <row r="4765" spans="3:6" x14ac:dyDescent="0.35">
      <c r="C4765" s="16"/>
      <c r="D4765" s="18"/>
      <c r="F4765" s="28"/>
    </row>
    <row r="4766" spans="3:6" x14ac:dyDescent="0.35">
      <c r="C4766" s="7"/>
      <c r="D4766" s="18"/>
      <c r="F4766" s="28"/>
    </row>
    <row r="4767" spans="3:6" x14ac:dyDescent="0.35">
      <c r="C4767" s="7"/>
      <c r="D4767" s="18"/>
      <c r="F4767" s="28"/>
    </row>
    <row r="4768" spans="3:6" x14ac:dyDescent="0.35">
      <c r="C4768" s="7"/>
      <c r="D4768" s="18"/>
      <c r="F4768" s="28"/>
    </row>
    <row r="4769" spans="3:6" x14ac:dyDescent="0.35">
      <c r="C4769" s="7"/>
      <c r="D4769" s="18"/>
      <c r="F4769" s="28"/>
    </row>
    <row r="4770" spans="3:6" x14ac:dyDescent="0.35">
      <c r="C4770" s="7"/>
      <c r="D4770" s="18"/>
      <c r="F4770" s="28"/>
    </row>
    <row r="4771" spans="3:6" x14ac:dyDescent="0.35">
      <c r="C4771" s="7"/>
      <c r="D4771" s="18"/>
      <c r="F4771" s="28"/>
    </row>
    <row r="4772" spans="3:6" x14ac:dyDescent="0.35">
      <c r="C4772" s="7"/>
      <c r="D4772" s="18"/>
      <c r="F4772" s="28"/>
    </row>
    <row r="4773" spans="3:6" x14ac:dyDescent="0.35">
      <c r="C4773" s="7"/>
      <c r="D4773" s="18"/>
      <c r="F4773" s="28"/>
    </row>
    <row r="4774" spans="3:6" x14ac:dyDescent="0.35">
      <c r="C4774" s="7"/>
      <c r="D4774" s="18"/>
      <c r="F4774" s="28"/>
    </row>
    <row r="4775" spans="3:6" x14ac:dyDescent="0.35">
      <c r="C4775" s="7"/>
      <c r="D4775" s="18"/>
      <c r="F4775" s="28"/>
    </row>
    <row r="4776" spans="3:6" x14ac:dyDescent="0.35">
      <c r="C4776" s="7"/>
      <c r="D4776" s="18"/>
      <c r="F4776" s="28"/>
    </row>
    <row r="4777" spans="3:6" x14ac:dyDescent="0.35">
      <c r="C4777" s="7"/>
      <c r="D4777" s="18"/>
      <c r="F4777" s="28"/>
    </row>
    <row r="4778" spans="3:6" x14ac:dyDescent="0.35">
      <c r="C4778" s="8"/>
      <c r="D4778" s="18"/>
      <c r="F4778" s="28"/>
    </row>
    <row r="4779" spans="3:6" x14ac:dyDescent="0.35">
      <c r="C4779" s="8"/>
      <c r="D4779" s="18"/>
      <c r="F4779" s="28"/>
    </row>
    <row r="4780" spans="3:6" x14ac:dyDescent="0.35">
      <c r="C4780" s="8"/>
      <c r="D4780" s="18"/>
      <c r="F4780" s="28"/>
    </row>
    <row r="4781" spans="3:6" x14ac:dyDescent="0.35">
      <c r="C4781" s="8"/>
      <c r="D4781" s="18"/>
      <c r="F4781" s="28"/>
    </row>
    <row r="4782" spans="3:6" x14ac:dyDescent="0.35">
      <c r="C4782" s="8"/>
      <c r="D4782" s="18"/>
      <c r="F4782" s="28"/>
    </row>
    <row r="4783" spans="3:6" x14ac:dyDescent="0.35">
      <c r="C4783" s="8"/>
      <c r="D4783" s="18"/>
      <c r="F4783" s="28"/>
    </row>
    <row r="4784" spans="3:6" x14ac:dyDescent="0.35">
      <c r="C4784" s="9"/>
      <c r="D4784" s="18"/>
      <c r="F4784" s="28"/>
    </row>
    <row r="4785" spans="3:6" x14ac:dyDescent="0.35">
      <c r="C4785" s="9"/>
      <c r="D4785" s="18"/>
      <c r="F4785" s="28"/>
    </row>
    <row r="4786" spans="3:6" x14ac:dyDescent="0.35">
      <c r="C4786" s="9"/>
      <c r="D4786" s="18"/>
      <c r="F4786" s="28"/>
    </row>
    <row r="4787" spans="3:6" x14ac:dyDescent="0.35">
      <c r="C4787" s="9"/>
      <c r="D4787" s="18"/>
      <c r="F4787" s="28"/>
    </row>
    <row r="4788" spans="3:6" x14ac:dyDescent="0.35">
      <c r="C4788" s="9"/>
      <c r="D4788" s="18"/>
      <c r="F4788" s="28"/>
    </row>
    <row r="4789" spans="3:6" x14ac:dyDescent="0.35">
      <c r="C4789" s="9"/>
      <c r="D4789" s="18"/>
      <c r="F4789" s="28"/>
    </row>
    <row r="4790" spans="3:6" x14ac:dyDescent="0.35">
      <c r="C4790" s="10"/>
      <c r="D4790" s="18"/>
      <c r="F4790" s="28"/>
    </row>
    <row r="4791" spans="3:6" x14ac:dyDescent="0.35">
      <c r="C4791" s="10"/>
      <c r="D4791" s="18"/>
      <c r="F4791" s="28"/>
    </row>
    <row r="4792" spans="3:6" x14ac:dyDescent="0.35">
      <c r="C4792" s="10"/>
      <c r="D4792" s="18"/>
      <c r="F4792" s="28"/>
    </row>
    <row r="4793" spans="3:6" x14ac:dyDescent="0.35">
      <c r="C4793" s="10"/>
      <c r="D4793" s="18"/>
      <c r="F4793" s="28"/>
    </row>
    <row r="4794" spans="3:6" x14ac:dyDescent="0.35">
      <c r="C4794" s="10"/>
      <c r="D4794" s="18"/>
      <c r="F4794" s="28"/>
    </row>
    <row r="4795" spans="3:6" x14ac:dyDescent="0.35">
      <c r="C4795" s="10"/>
      <c r="D4795" s="18"/>
      <c r="F4795" s="28"/>
    </row>
    <row r="4796" spans="3:6" x14ac:dyDescent="0.35">
      <c r="C4796" s="11"/>
      <c r="D4796" s="18"/>
      <c r="F4796" s="28"/>
    </row>
    <row r="4797" spans="3:6" x14ac:dyDescent="0.35">
      <c r="C4797" s="11"/>
      <c r="D4797" s="18"/>
      <c r="F4797" s="28"/>
    </row>
    <row r="4798" spans="3:6" x14ac:dyDescent="0.35">
      <c r="C4798" s="11"/>
      <c r="D4798" s="18"/>
      <c r="F4798" s="28"/>
    </row>
    <row r="4799" spans="3:6" x14ac:dyDescent="0.35">
      <c r="C4799" s="11"/>
      <c r="D4799" s="18"/>
      <c r="F4799" s="28"/>
    </row>
    <row r="4800" spans="3:6" x14ac:dyDescent="0.35">
      <c r="C4800" s="11"/>
      <c r="D4800" s="18"/>
      <c r="F4800" s="28"/>
    </row>
    <row r="4801" spans="3:6" x14ac:dyDescent="0.35">
      <c r="C4801" s="11"/>
      <c r="D4801" s="18"/>
      <c r="F4801" s="28"/>
    </row>
    <row r="4802" spans="3:6" x14ac:dyDescent="0.35">
      <c r="C4802" s="12"/>
      <c r="D4802" s="18"/>
      <c r="F4802" s="28"/>
    </row>
    <row r="4803" spans="3:6" x14ac:dyDescent="0.35">
      <c r="C4803" s="12"/>
      <c r="D4803" s="18"/>
      <c r="F4803" s="28"/>
    </row>
    <row r="4804" spans="3:6" x14ac:dyDescent="0.35">
      <c r="C4804" s="12"/>
      <c r="D4804" s="18"/>
      <c r="F4804" s="28"/>
    </row>
    <row r="4805" spans="3:6" x14ac:dyDescent="0.35">
      <c r="C4805" s="12"/>
      <c r="D4805" s="18"/>
      <c r="F4805" s="28"/>
    </row>
    <row r="4806" spans="3:6" x14ac:dyDescent="0.35">
      <c r="C4806" s="12"/>
      <c r="D4806" s="18"/>
      <c r="F4806" s="28"/>
    </row>
    <row r="4807" spans="3:6" x14ac:dyDescent="0.35">
      <c r="C4807" s="12"/>
      <c r="D4807" s="18"/>
      <c r="F4807" s="28"/>
    </row>
    <row r="4808" spans="3:6" x14ac:dyDescent="0.35">
      <c r="C4808" s="13"/>
      <c r="D4808" s="18"/>
      <c r="F4808" s="28"/>
    </row>
    <row r="4809" spans="3:6" x14ac:dyDescent="0.35">
      <c r="C4809" s="13"/>
      <c r="D4809" s="18"/>
      <c r="F4809" s="28"/>
    </row>
    <row r="4810" spans="3:6" x14ac:dyDescent="0.35">
      <c r="C4810" s="13"/>
      <c r="D4810" s="18"/>
      <c r="F4810" s="28"/>
    </row>
    <row r="4811" spans="3:6" x14ac:dyDescent="0.35">
      <c r="C4811" s="13"/>
      <c r="D4811" s="18"/>
      <c r="F4811" s="28"/>
    </row>
    <row r="4812" spans="3:6" x14ac:dyDescent="0.35">
      <c r="C4812" s="13"/>
      <c r="D4812" s="18"/>
      <c r="F4812" s="28"/>
    </row>
    <row r="4813" spans="3:6" x14ac:dyDescent="0.35">
      <c r="C4813" s="13"/>
      <c r="D4813" s="18"/>
      <c r="F4813" s="28"/>
    </row>
    <row r="4814" spans="3:6" x14ac:dyDescent="0.35">
      <c r="C4814" s="14"/>
      <c r="D4814" s="18"/>
      <c r="F4814" s="28"/>
    </row>
    <row r="4815" spans="3:6" x14ac:dyDescent="0.35">
      <c r="C4815" s="14"/>
      <c r="D4815" s="18"/>
      <c r="F4815" s="28"/>
    </row>
    <row r="4816" spans="3:6" x14ac:dyDescent="0.35">
      <c r="C4816" s="14"/>
      <c r="D4816" s="18"/>
      <c r="F4816" s="28"/>
    </row>
    <row r="4817" spans="3:6" x14ac:dyDescent="0.35">
      <c r="C4817" s="14"/>
      <c r="D4817" s="18"/>
      <c r="F4817" s="28"/>
    </row>
    <row r="4818" spans="3:6" x14ac:dyDescent="0.35">
      <c r="C4818" s="14"/>
      <c r="D4818" s="18"/>
      <c r="F4818" s="28"/>
    </row>
    <row r="4819" spans="3:6" x14ac:dyDescent="0.35">
      <c r="C4819" s="14"/>
      <c r="D4819" s="18"/>
      <c r="F4819" s="28"/>
    </row>
    <row r="4820" spans="3:6" x14ac:dyDescent="0.35">
      <c r="C4820" s="15"/>
      <c r="D4820" s="18"/>
      <c r="F4820" s="28"/>
    </row>
    <row r="4821" spans="3:6" x14ac:dyDescent="0.35">
      <c r="C4821" s="15"/>
      <c r="D4821" s="18"/>
      <c r="F4821" s="28"/>
    </row>
    <row r="4822" spans="3:6" x14ac:dyDescent="0.35">
      <c r="C4822" s="15"/>
      <c r="D4822" s="18"/>
      <c r="F4822" s="28"/>
    </row>
    <row r="4823" spans="3:6" x14ac:dyDescent="0.35">
      <c r="C4823" s="15"/>
      <c r="D4823" s="18"/>
      <c r="F4823" s="28"/>
    </row>
    <row r="4824" spans="3:6" x14ac:dyDescent="0.35">
      <c r="C4824" s="15"/>
      <c r="D4824" s="18"/>
      <c r="F4824" s="28"/>
    </row>
    <row r="4825" spans="3:6" x14ac:dyDescent="0.35">
      <c r="C4825" s="15"/>
      <c r="D4825" s="18"/>
      <c r="F4825" s="28"/>
    </row>
    <row r="4826" spans="3:6" x14ac:dyDescent="0.35">
      <c r="C4826" s="7"/>
      <c r="D4826" s="18"/>
      <c r="F4826" s="28"/>
    </row>
    <row r="4827" spans="3:6" x14ac:dyDescent="0.35">
      <c r="C4827" s="7"/>
      <c r="D4827" s="18"/>
      <c r="F4827" s="28"/>
    </row>
    <row r="4828" spans="3:6" x14ac:dyDescent="0.35">
      <c r="C4828" s="7"/>
      <c r="D4828" s="18"/>
      <c r="F4828" s="28"/>
    </row>
    <row r="4829" spans="3:6" x14ac:dyDescent="0.35">
      <c r="C4829" s="7"/>
      <c r="D4829" s="18"/>
      <c r="F4829" s="28"/>
    </row>
    <row r="4830" spans="3:6" x14ac:dyDescent="0.35">
      <c r="C4830" s="7"/>
      <c r="D4830" s="18"/>
      <c r="F4830" s="28"/>
    </row>
    <row r="4831" spans="3:6" x14ac:dyDescent="0.35">
      <c r="C4831" s="7"/>
      <c r="D4831" s="18"/>
      <c r="F4831" s="28"/>
    </row>
    <row r="4832" spans="3:6" x14ac:dyDescent="0.35">
      <c r="C4832" s="16"/>
      <c r="D4832" s="18"/>
      <c r="F4832" s="28"/>
    </row>
    <row r="4833" spans="3:6" x14ac:dyDescent="0.35">
      <c r="C4833" s="16"/>
      <c r="D4833" s="18"/>
      <c r="F4833" s="28"/>
    </row>
    <row r="4834" spans="3:6" x14ac:dyDescent="0.35">
      <c r="C4834" s="16"/>
      <c r="D4834" s="18"/>
      <c r="F4834" s="28"/>
    </row>
    <row r="4835" spans="3:6" x14ac:dyDescent="0.35">
      <c r="C4835" s="16"/>
      <c r="D4835" s="18"/>
      <c r="F4835" s="28"/>
    </row>
    <row r="4836" spans="3:6" x14ac:dyDescent="0.35">
      <c r="C4836" s="16"/>
      <c r="D4836" s="18"/>
      <c r="F4836" s="28"/>
    </row>
    <row r="4837" spans="3:6" x14ac:dyDescent="0.35">
      <c r="C4837" s="16"/>
      <c r="D4837" s="18"/>
      <c r="F4837" s="28"/>
    </row>
    <row r="4838" spans="3:6" x14ac:dyDescent="0.35">
      <c r="C4838" s="7"/>
      <c r="D4838" s="18"/>
      <c r="F4838" s="28"/>
    </row>
    <row r="4839" spans="3:6" x14ac:dyDescent="0.35">
      <c r="C4839" s="7"/>
      <c r="D4839" s="18"/>
      <c r="F4839" s="28"/>
    </row>
    <row r="4840" spans="3:6" x14ac:dyDescent="0.35">
      <c r="C4840" s="7"/>
      <c r="D4840" s="18"/>
      <c r="F4840" s="28"/>
    </row>
    <row r="4841" spans="3:6" x14ac:dyDescent="0.35">
      <c r="C4841" s="7"/>
      <c r="D4841" s="18"/>
      <c r="F4841" s="28"/>
    </row>
    <row r="4842" spans="3:6" x14ac:dyDescent="0.35">
      <c r="C4842" s="7"/>
      <c r="D4842" s="18"/>
      <c r="F4842" s="28"/>
    </row>
    <row r="4843" spans="3:6" x14ac:dyDescent="0.35">
      <c r="C4843" s="7"/>
      <c r="D4843" s="18"/>
      <c r="F4843" s="28"/>
    </row>
    <row r="4844" spans="3:6" x14ac:dyDescent="0.35">
      <c r="C4844" s="7"/>
      <c r="D4844" s="18"/>
      <c r="F4844" s="28"/>
    </row>
    <row r="4845" spans="3:6" x14ac:dyDescent="0.35">
      <c r="C4845" s="7"/>
      <c r="D4845" s="18"/>
      <c r="F4845" s="28"/>
    </row>
    <row r="4846" spans="3:6" x14ac:dyDescent="0.35">
      <c r="C4846" s="7"/>
      <c r="D4846" s="18"/>
      <c r="F4846" s="28"/>
    </row>
    <row r="4847" spans="3:6" x14ac:dyDescent="0.35">
      <c r="C4847" s="7"/>
      <c r="D4847" s="18"/>
      <c r="F4847" s="28"/>
    </row>
    <row r="4848" spans="3:6" x14ac:dyDescent="0.35">
      <c r="C4848" s="7"/>
      <c r="D4848" s="18"/>
      <c r="F4848" s="28"/>
    </row>
    <row r="4849" spans="3:6" x14ac:dyDescent="0.35">
      <c r="C4849" s="7"/>
      <c r="D4849" s="18"/>
      <c r="F4849" s="28"/>
    </row>
    <row r="4850" spans="3:6" x14ac:dyDescent="0.35">
      <c r="C4850" s="8"/>
      <c r="D4850" s="18"/>
      <c r="F4850" s="28"/>
    </row>
    <row r="4851" spans="3:6" x14ac:dyDescent="0.35">
      <c r="C4851" s="8"/>
      <c r="D4851" s="18"/>
      <c r="F4851" s="28"/>
    </row>
    <row r="4852" spans="3:6" x14ac:dyDescent="0.35">
      <c r="C4852" s="8"/>
      <c r="D4852" s="18"/>
      <c r="F4852" s="28"/>
    </row>
    <row r="4853" spans="3:6" x14ac:dyDescent="0.35">
      <c r="C4853" s="8"/>
      <c r="D4853" s="18"/>
      <c r="F4853" s="28"/>
    </row>
    <row r="4854" spans="3:6" x14ac:dyDescent="0.35">
      <c r="C4854" s="8"/>
      <c r="D4854" s="18"/>
      <c r="F4854" s="28"/>
    </row>
    <row r="4855" spans="3:6" x14ac:dyDescent="0.35">
      <c r="C4855" s="8"/>
      <c r="D4855" s="18"/>
      <c r="F4855" s="28"/>
    </row>
    <row r="4856" spans="3:6" x14ac:dyDescent="0.35">
      <c r="C4856" s="9"/>
      <c r="D4856" s="18"/>
      <c r="F4856" s="28"/>
    </row>
    <row r="4857" spans="3:6" x14ac:dyDescent="0.35">
      <c r="C4857" s="9"/>
      <c r="D4857" s="18"/>
      <c r="F4857" s="28"/>
    </row>
    <row r="4858" spans="3:6" x14ac:dyDescent="0.35">
      <c r="C4858" s="9"/>
      <c r="D4858" s="18"/>
      <c r="F4858" s="28"/>
    </row>
    <row r="4859" spans="3:6" x14ac:dyDescent="0.35">
      <c r="C4859" s="9"/>
      <c r="D4859" s="18"/>
      <c r="F4859" s="28"/>
    </row>
    <row r="4860" spans="3:6" x14ac:dyDescent="0.35">
      <c r="C4860" s="9"/>
      <c r="D4860" s="18"/>
      <c r="F4860" s="28"/>
    </row>
    <row r="4861" spans="3:6" x14ac:dyDescent="0.35">
      <c r="C4861" s="9"/>
      <c r="D4861" s="18"/>
      <c r="F4861" s="28"/>
    </row>
    <row r="4862" spans="3:6" x14ac:dyDescent="0.35">
      <c r="C4862" s="10"/>
      <c r="D4862" s="18"/>
      <c r="F4862" s="28"/>
    </row>
    <row r="4863" spans="3:6" x14ac:dyDescent="0.35">
      <c r="C4863" s="10"/>
      <c r="D4863" s="18"/>
      <c r="F4863" s="28"/>
    </row>
    <row r="4864" spans="3:6" x14ac:dyDescent="0.35">
      <c r="C4864" s="10"/>
      <c r="D4864" s="18"/>
      <c r="F4864" s="28"/>
    </row>
    <row r="4865" spans="3:6" x14ac:dyDescent="0.35">
      <c r="C4865" s="10"/>
      <c r="D4865" s="18"/>
      <c r="F4865" s="28"/>
    </row>
    <row r="4866" spans="3:6" x14ac:dyDescent="0.35">
      <c r="C4866" s="10"/>
      <c r="D4866" s="18"/>
      <c r="F4866" s="28"/>
    </row>
    <row r="4867" spans="3:6" x14ac:dyDescent="0.35">
      <c r="C4867" s="10"/>
      <c r="D4867" s="18"/>
      <c r="F4867" s="28"/>
    </row>
    <row r="4868" spans="3:6" x14ac:dyDescent="0.35">
      <c r="C4868" s="11"/>
      <c r="D4868" s="18"/>
      <c r="F4868" s="28"/>
    </row>
    <row r="4869" spans="3:6" x14ac:dyDescent="0.35">
      <c r="C4869" s="11"/>
      <c r="D4869" s="18"/>
      <c r="F4869" s="28"/>
    </row>
    <row r="4870" spans="3:6" x14ac:dyDescent="0.35">
      <c r="C4870" s="11"/>
      <c r="D4870" s="18"/>
      <c r="F4870" s="28"/>
    </row>
    <row r="4871" spans="3:6" x14ac:dyDescent="0.35">
      <c r="C4871" s="11"/>
      <c r="D4871" s="18"/>
      <c r="F4871" s="28"/>
    </row>
    <row r="4872" spans="3:6" x14ac:dyDescent="0.35">
      <c r="C4872" s="11"/>
      <c r="D4872" s="18"/>
      <c r="F4872" s="28"/>
    </row>
    <row r="4873" spans="3:6" x14ac:dyDescent="0.35">
      <c r="C4873" s="11"/>
      <c r="D4873" s="18"/>
      <c r="F4873" s="28"/>
    </row>
    <row r="4874" spans="3:6" x14ac:dyDescent="0.35">
      <c r="C4874" s="12"/>
      <c r="D4874" s="18"/>
      <c r="F4874" s="28"/>
    </row>
    <row r="4875" spans="3:6" x14ac:dyDescent="0.35">
      <c r="C4875" s="12"/>
      <c r="D4875" s="18"/>
      <c r="F4875" s="28"/>
    </row>
    <row r="4876" spans="3:6" x14ac:dyDescent="0.35">
      <c r="C4876" s="12"/>
      <c r="D4876" s="18"/>
      <c r="F4876" s="28"/>
    </row>
    <row r="4877" spans="3:6" x14ac:dyDescent="0.35">
      <c r="C4877" s="12"/>
      <c r="D4877" s="18"/>
      <c r="F4877" s="28"/>
    </row>
    <row r="4878" spans="3:6" x14ac:dyDescent="0.35">
      <c r="C4878" s="12"/>
      <c r="D4878" s="18"/>
      <c r="F4878" s="28"/>
    </row>
    <row r="4879" spans="3:6" x14ac:dyDescent="0.35">
      <c r="C4879" s="12"/>
      <c r="D4879" s="18"/>
      <c r="F4879" s="28"/>
    </row>
    <row r="4880" spans="3:6" x14ac:dyDescent="0.35">
      <c r="C4880" s="13"/>
      <c r="D4880" s="18"/>
      <c r="F4880" s="28"/>
    </row>
    <row r="4881" spans="3:6" x14ac:dyDescent="0.35">
      <c r="C4881" s="13"/>
      <c r="D4881" s="18"/>
      <c r="F4881" s="28"/>
    </row>
    <row r="4882" spans="3:6" x14ac:dyDescent="0.35">
      <c r="C4882" s="13"/>
      <c r="D4882" s="18"/>
      <c r="F4882" s="28"/>
    </row>
    <row r="4883" spans="3:6" x14ac:dyDescent="0.35">
      <c r="C4883" s="13"/>
      <c r="D4883" s="18"/>
      <c r="F4883" s="28"/>
    </row>
    <row r="4884" spans="3:6" x14ac:dyDescent="0.35">
      <c r="C4884" s="13"/>
      <c r="D4884" s="18"/>
      <c r="F4884" s="28"/>
    </row>
    <row r="4885" spans="3:6" x14ac:dyDescent="0.35">
      <c r="C4885" s="13"/>
      <c r="D4885" s="18"/>
      <c r="F4885" s="28"/>
    </row>
    <row r="4886" spans="3:6" x14ac:dyDescent="0.35">
      <c r="C4886" s="14"/>
      <c r="D4886" s="18"/>
      <c r="F4886" s="28"/>
    </row>
    <row r="4887" spans="3:6" x14ac:dyDescent="0.35">
      <c r="C4887" s="14"/>
      <c r="D4887" s="18"/>
      <c r="F4887" s="28"/>
    </row>
    <row r="4888" spans="3:6" x14ac:dyDescent="0.35">
      <c r="C4888" s="14"/>
      <c r="D4888" s="18"/>
      <c r="F4888" s="28"/>
    </row>
    <row r="4889" spans="3:6" x14ac:dyDescent="0.35">
      <c r="C4889" s="14"/>
      <c r="D4889" s="18"/>
      <c r="F4889" s="28"/>
    </row>
    <row r="4890" spans="3:6" x14ac:dyDescent="0.35">
      <c r="C4890" s="14"/>
      <c r="D4890" s="18"/>
      <c r="F4890" s="28"/>
    </row>
    <row r="4891" spans="3:6" x14ac:dyDescent="0.35">
      <c r="C4891" s="14"/>
      <c r="D4891" s="18"/>
      <c r="F4891" s="28"/>
    </row>
    <row r="4892" spans="3:6" x14ac:dyDescent="0.35">
      <c r="C4892" s="15"/>
      <c r="D4892" s="18"/>
      <c r="F4892" s="28"/>
    </row>
    <row r="4893" spans="3:6" x14ac:dyDescent="0.35">
      <c r="C4893" s="15"/>
      <c r="D4893" s="18"/>
      <c r="F4893" s="28"/>
    </row>
    <row r="4894" spans="3:6" x14ac:dyDescent="0.35">
      <c r="C4894" s="15"/>
      <c r="D4894" s="18"/>
      <c r="F4894" s="28"/>
    </row>
    <row r="4895" spans="3:6" x14ac:dyDescent="0.35">
      <c r="C4895" s="15"/>
      <c r="D4895" s="18"/>
      <c r="F4895" s="28"/>
    </row>
    <row r="4896" spans="3:6" x14ac:dyDescent="0.35">
      <c r="C4896" s="15"/>
      <c r="D4896" s="18"/>
      <c r="F4896" s="28"/>
    </row>
    <row r="4897" spans="3:6" x14ac:dyDescent="0.35">
      <c r="C4897" s="15"/>
      <c r="D4897" s="18"/>
      <c r="F4897" s="28"/>
    </row>
    <row r="4898" spans="3:6" x14ac:dyDescent="0.35">
      <c r="C4898" s="7"/>
      <c r="D4898" s="18"/>
      <c r="F4898" s="28"/>
    </row>
    <row r="4899" spans="3:6" x14ac:dyDescent="0.35">
      <c r="C4899" s="7"/>
      <c r="D4899" s="18"/>
      <c r="F4899" s="28"/>
    </row>
    <row r="4900" spans="3:6" x14ac:dyDescent="0.35">
      <c r="C4900" s="7"/>
      <c r="D4900" s="18"/>
      <c r="F4900" s="28"/>
    </row>
    <row r="4901" spans="3:6" x14ac:dyDescent="0.35">
      <c r="C4901" s="7"/>
      <c r="D4901" s="18"/>
      <c r="F4901" s="28"/>
    </row>
    <row r="4902" spans="3:6" x14ac:dyDescent="0.35">
      <c r="C4902" s="7"/>
      <c r="D4902" s="18"/>
      <c r="F4902" s="28"/>
    </row>
    <row r="4903" spans="3:6" x14ac:dyDescent="0.35">
      <c r="C4903" s="7"/>
      <c r="D4903" s="18"/>
      <c r="F4903" s="28"/>
    </row>
    <row r="4904" spans="3:6" x14ac:dyDescent="0.35">
      <c r="C4904" s="16"/>
      <c r="D4904" s="18"/>
      <c r="F4904" s="28"/>
    </row>
    <row r="4905" spans="3:6" x14ac:dyDescent="0.35">
      <c r="C4905" s="16"/>
      <c r="D4905" s="18"/>
      <c r="F4905" s="28"/>
    </row>
    <row r="4906" spans="3:6" x14ac:dyDescent="0.35">
      <c r="C4906" s="16"/>
      <c r="D4906" s="18"/>
      <c r="F4906" s="28"/>
    </row>
    <row r="4907" spans="3:6" x14ac:dyDescent="0.35">
      <c r="C4907" s="16"/>
      <c r="D4907" s="18"/>
      <c r="F4907" s="28"/>
    </row>
    <row r="4908" spans="3:6" x14ac:dyDescent="0.35">
      <c r="C4908" s="16"/>
      <c r="D4908" s="18"/>
      <c r="F4908" s="28"/>
    </row>
    <row r="4909" spans="3:6" x14ac:dyDescent="0.35">
      <c r="C4909" s="16"/>
      <c r="D4909" s="18"/>
      <c r="F4909" s="28"/>
    </row>
    <row r="4910" spans="3:6" x14ac:dyDescent="0.35">
      <c r="C4910" s="7"/>
      <c r="D4910" s="18"/>
      <c r="F4910" s="28"/>
    </row>
    <row r="4911" spans="3:6" x14ac:dyDescent="0.35">
      <c r="C4911" s="7"/>
      <c r="D4911" s="18"/>
      <c r="F4911" s="28"/>
    </row>
    <row r="4912" spans="3:6" x14ac:dyDescent="0.35">
      <c r="C4912" s="7"/>
      <c r="D4912" s="18"/>
      <c r="F4912" s="28"/>
    </row>
    <row r="4913" spans="3:6" x14ac:dyDescent="0.35">
      <c r="C4913" s="7"/>
      <c r="D4913" s="18"/>
      <c r="F4913" s="28"/>
    </row>
    <row r="4914" spans="3:6" x14ac:dyDescent="0.35">
      <c r="C4914" s="7"/>
      <c r="D4914" s="18"/>
      <c r="F4914" s="28"/>
    </row>
    <row r="4915" spans="3:6" x14ac:dyDescent="0.35">
      <c r="C4915" s="7"/>
      <c r="D4915" s="18"/>
      <c r="F4915" s="28"/>
    </row>
    <row r="4916" spans="3:6" x14ac:dyDescent="0.35">
      <c r="C4916" s="7"/>
      <c r="D4916" s="18"/>
      <c r="F4916" s="28"/>
    </row>
    <row r="4917" spans="3:6" x14ac:dyDescent="0.35">
      <c r="C4917" s="7"/>
      <c r="D4917" s="18"/>
      <c r="F4917" s="28"/>
    </row>
    <row r="4918" spans="3:6" x14ac:dyDescent="0.35">
      <c r="C4918" s="7"/>
      <c r="D4918" s="18"/>
      <c r="F4918" s="28"/>
    </row>
    <row r="4919" spans="3:6" x14ac:dyDescent="0.35">
      <c r="C4919" s="7"/>
      <c r="D4919" s="18"/>
      <c r="F4919" s="28"/>
    </row>
    <row r="4920" spans="3:6" x14ac:dyDescent="0.35">
      <c r="C4920" s="7"/>
      <c r="D4920" s="18"/>
      <c r="F4920" s="28"/>
    </row>
    <row r="4921" spans="3:6" x14ac:dyDescent="0.35">
      <c r="C4921" s="7"/>
      <c r="D4921" s="18"/>
      <c r="F4921" s="28"/>
    </row>
    <row r="4922" spans="3:6" x14ac:dyDescent="0.35">
      <c r="C4922" s="8"/>
      <c r="D4922" s="18"/>
      <c r="F4922" s="28"/>
    </row>
    <row r="4923" spans="3:6" x14ac:dyDescent="0.35">
      <c r="C4923" s="8"/>
      <c r="D4923" s="18"/>
      <c r="F4923" s="28"/>
    </row>
    <row r="4924" spans="3:6" x14ac:dyDescent="0.35">
      <c r="C4924" s="8"/>
      <c r="D4924" s="18"/>
      <c r="F4924" s="28"/>
    </row>
    <row r="4925" spans="3:6" x14ac:dyDescent="0.35">
      <c r="C4925" s="8"/>
      <c r="D4925" s="18"/>
      <c r="F4925" s="28"/>
    </row>
    <row r="4926" spans="3:6" x14ac:dyDescent="0.35">
      <c r="C4926" s="8"/>
      <c r="D4926" s="18"/>
      <c r="F4926" s="28"/>
    </row>
    <row r="4927" spans="3:6" x14ac:dyDescent="0.35">
      <c r="C4927" s="8"/>
      <c r="D4927" s="18"/>
      <c r="F4927" s="28"/>
    </row>
    <row r="4928" spans="3:6" x14ac:dyDescent="0.35">
      <c r="C4928" s="9"/>
      <c r="D4928" s="18"/>
      <c r="F4928" s="28"/>
    </row>
    <row r="4929" spans="3:6" x14ac:dyDescent="0.35">
      <c r="C4929" s="9"/>
      <c r="D4929" s="18"/>
      <c r="F4929" s="28"/>
    </row>
    <row r="4930" spans="3:6" x14ac:dyDescent="0.35">
      <c r="C4930" s="9"/>
      <c r="D4930" s="18"/>
      <c r="F4930" s="28"/>
    </row>
    <row r="4931" spans="3:6" x14ac:dyDescent="0.35">
      <c r="C4931" s="9"/>
      <c r="D4931" s="18"/>
      <c r="F4931" s="28"/>
    </row>
    <row r="4932" spans="3:6" x14ac:dyDescent="0.35">
      <c r="C4932" s="9"/>
      <c r="D4932" s="18"/>
      <c r="F4932" s="28"/>
    </row>
    <row r="4933" spans="3:6" x14ac:dyDescent="0.35">
      <c r="C4933" s="9"/>
      <c r="D4933" s="18"/>
      <c r="F4933" s="28"/>
    </row>
    <row r="4934" spans="3:6" x14ac:dyDescent="0.35">
      <c r="C4934" s="10"/>
      <c r="D4934" s="18"/>
      <c r="F4934" s="28"/>
    </row>
    <row r="4935" spans="3:6" x14ac:dyDescent="0.35">
      <c r="C4935" s="10"/>
      <c r="D4935" s="18"/>
      <c r="F4935" s="28"/>
    </row>
    <row r="4936" spans="3:6" x14ac:dyDescent="0.35">
      <c r="C4936" s="10"/>
      <c r="D4936" s="18"/>
      <c r="F4936" s="28"/>
    </row>
    <row r="4937" spans="3:6" x14ac:dyDescent="0.35">
      <c r="C4937" s="10"/>
      <c r="D4937" s="18"/>
      <c r="F4937" s="28"/>
    </row>
    <row r="4938" spans="3:6" x14ac:dyDescent="0.35">
      <c r="C4938" s="10"/>
      <c r="D4938" s="18"/>
      <c r="F4938" s="28"/>
    </row>
    <row r="4939" spans="3:6" x14ac:dyDescent="0.35">
      <c r="C4939" s="10"/>
      <c r="D4939" s="18"/>
      <c r="F4939" s="28"/>
    </row>
    <row r="4940" spans="3:6" x14ac:dyDescent="0.35">
      <c r="C4940" s="11"/>
      <c r="D4940" s="18"/>
      <c r="F4940" s="28"/>
    </row>
    <row r="4941" spans="3:6" x14ac:dyDescent="0.35">
      <c r="C4941" s="11"/>
      <c r="D4941" s="18"/>
      <c r="F4941" s="28"/>
    </row>
    <row r="4942" spans="3:6" x14ac:dyDescent="0.35">
      <c r="C4942" s="11"/>
      <c r="D4942" s="18"/>
      <c r="F4942" s="28"/>
    </row>
    <row r="4943" spans="3:6" x14ac:dyDescent="0.35">
      <c r="C4943" s="11"/>
      <c r="D4943" s="18"/>
      <c r="F4943" s="28"/>
    </row>
    <row r="4944" spans="3:6" x14ac:dyDescent="0.35">
      <c r="C4944" s="11"/>
      <c r="D4944" s="18"/>
      <c r="F4944" s="28"/>
    </row>
    <row r="4945" spans="3:6" x14ac:dyDescent="0.35">
      <c r="C4945" s="11"/>
      <c r="D4945" s="18"/>
      <c r="F4945" s="28"/>
    </row>
    <row r="4946" spans="3:6" x14ac:dyDescent="0.35">
      <c r="C4946" s="12"/>
      <c r="D4946" s="18"/>
      <c r="F4946" s="28"/>
    </row>
    <row r="4947" spans="3:6" x14ac:dyDescent="0.35">
      <c r="C4947" s="12"/>
      <c r="D4947" s="18"/>
      <c r="F4947" s="28"/>
    </row>
    <row r="4948" spans="3:6" x14ac:dyDescent="0.35">
      <c r="C4948" s="12"/>
      <c r="D4948" s="18"/>
      <c r="F4948" s="28"/>
    </row>
    <row r="4949" spans="3:6" x14ac:dyDescent="0.35">
      <c r="C4949" s="12"/>
      <c r="D4949" s="18"/>
      <c r="F4949" s="28"/>
    </row>
    <row r="4950" spans="3:6" x14ac:dyDescent="0.35">
      <c r="C4950" s="12"/>
      <c r="D4950" s="18"/>
      <c r="F4950" s="28"/>
    </row>
    <row r="4951" spans="3:6" x14ac:dyDescent="0.35">
      <c r="C4951" s="12"/>
      <c r="D4951" s="18"/>
      <c r="F4951" s="28"/>
    </row>
    <row r="4952" spans="3:6" x14ac:dyDescent="0.35">
      <c r="C4952" s="13"/>
      <c r="D4952" s="18"/>
      <c r="F4952" s="28"/>
    </row>
    <row r="4953" spans="3:6" x14ac:dyDescent="0.35">
      <c r="C4953" s="13"/>
      <c r="D4953" s="18"/>
      <c r="F4953" s="28"/>
    </row>
    <row r="4954" spans="3:6" x14ac:dyDescent="0.35">
      <c r="C4954" s="13"/>
      <c r="D4954" s="18"/>
      <c r="F4954" s="28"/>
    </row>
    <row r="4955" spans="3:6" x14ac:dyDescent="0.35">
      <c r="C4955" s="13"/>
      <c r="D4955" s="18"/>
      <c r="F4955" s="28"/>
    </row>
    <row r="4956" spans="3:6" x14ac:dyDescent="0.35">
      <c r="C4956" s="13"/>
      <c r="D4956" s="18"/>
      <c r="F4956" s="28"/>
    </row>
    <row r="4957" spans="3:6" x14ac:dyDescent="0.35">
      <c r="C4957" s="13"/>
      <c r="D4957" s="18"/>
      <c r="F4957" s="28"/>
    </row>
    <row r="4958" spans="3:6" x14ac:dyDescent="0.35">
      <c r="C4958" s="14"/>
      <c r="D4958" s="18"/>
      <c r="F4958" s="28"/>
    </row>
    <row r="4959" spans="3:6" x14ac:dyDescent="0.35">
      <c r="C4959" s="14"/>
      <c r="D4959" s="18"/>
      <c r="F4959" s="28"/>
    </row>
    <row r="4960" spans="3:6" x14ac:dyDescent="0.35">
      <c r="C4960" s="14"/>
      <c r="D4960" s="18"/>
      <c r="F4960" s="28"/>
    </row>
    <row r="4961" spans="3:6" x14ac:dyDescent="0.35">
      <c r="C4961" s="14"/>
      <c r="D4961" s="18"/>
      <c r="F4961" s="28"/>
    </row>
    <row r="4962" spans="3:6" x14ac:dyDescent="0.35">
      <c r="C4962" s="14"/>
      <c r="D4962" s="18"/>
      <c r="F4962" s="28"/>
    </row>
    <row r="4963" spans="3:6" x14ac:dyDescent="0.35">
      <c r="C4963" s="14"/>
      <c r="D4963" s="18"/>
      <c r="F4963" s="28"/>
    </row>
    <row r="4964" spans="3:6" x14ac:dyDescent="0.35">
      <c r="C4964" s="15"/>
      <c r="D4964" s="18"/>
      <c r="F4964" s="28"/>
    </row>
    <row r="4965" spans="3:6" x14ac:dyDescent="0.35">
      <c r="C4965" s="15"/>
      <c r="D4965" s="18"/>
      <c r="F4965" s="28"/>
    </row>
    <row r="4966" spans="3:6" x14ac:dyDescent="0.35">
      <c r="C4966" s="15"/>
      <c r="D4966" s="18"/>
      <c r="F4966" s="28"/>
    </row>
    <row r="4967" spans="3:6" x14ac:dyDescent="0.35">
      <c r="C4967" s="15"/>
      <c r="D4967" s="18"/>
      <c r="F4967" s="28"/>
    </row>
    <row r="4968" spans="3:6" x14ac:dyDescent="0.35">
      <c r="C4968" s="15"/>
      <c r="D4968" s="18"/>
      <c r="F4968" s="28"/>
    </row>
    <row r="4969" spans="3:6" x14ac:dyDescent="0.35">
      <c r="C4969" s="15"/>
      <c r="D4969" s="18"/>
      <c r="F4969" s="28"/>
    </row>
    <row r="4970" spans="3:6" x14ac:dyDescent="0.35">
      <c r="C4970" s="7"/>
      <c r="D4970" s="18"/>
      <c r="F4970" s="28"/>
    </row>
    <row r="4971" spans="3:6" x14ac:dyDescent="0.35">
      <c r="C4971" s="7"/>
      <c r="D4971" s="18"/>
      <c r="F4971" s="28"/>
    </row>
    <row r="4972" spans="3:6" x14ac:dyDescent="0.35">
      <c r="C4972" s="7"/>
      <c r="D4972" s="18"/>
      <c r="F4972" s="28"/>
    </row>
    <row r="4973" spans="3:6" x14ac:dyDescent="0.35">
      <c r="C4973" s="7"/>
      <c r="D4973" s="18"/>
      <c r="F4973" s="28"/>
    </row>
    <row r="4974" spans="3:6" x14ac:dyDescent="0.35">
      <c r="C4974" s="7"/>
      <c r="D4974" s="18"/>
      <c r="F4974" s="28"/>
    </row>
    <row r="4975" spans="3:6" x14ac:dyDescent="0.35">
      <c r="C4975" s="7"/>
      <c r="D4975" s="18"/>
      <c r="F4975" s="28"/>
    </row>
    <row r="4976" spans="3:6" x14ac:dyDescent="0.35">
      <c r="C4976" s="16"/>
      <c r="D4976" s="18"/>
      <c r="F4976" s="28"/>
    </row>
    <row r="4977" spans="3:6" x14ac:dyDescent="0.35">
      <c r="C4977" s="16"/>
      <c r="D4977" s="18"/>
      <c r="F4977" s="28"/>
    </row>
    <row r="4978" spans="3:6" x14ac:dyDescent="0.35">
      <c r="C4978" s="16"/>
      <c r="D4978" s="18"/>
      <c r="F4978" s="28"/>
    </row>
    <row r="4979" spans="3:6" x14ac:dyDescent="0.35">
      <c r="C4979" s="16"/>
      <c r="D4979" s="18"/>
      <c r="F4979" s="28"/>
    </row>
    <row r="4980" spans="3:6" x14ac:dyDescent="0.35">
      <c r="C4980" s="16"/>
      <c r="D4980" s="18"/>
      <c r="F4980" s="28"/>
    </row>
    <row r="4981" spans="3:6" x14ac:dyDescent="0.35">
      <c r="C4981" s="16"/>
      <c r="D4981" s="18"/>
      <c r="F4981" s="28"/>
    </row>
    <row r="4982" spans="3:6" x14ac:dyDescent="0.35">
      <c r="C4982" s="7"/>
      <c r="D4982" s="18"/>
      <c r="F4982" s="28"/>
    </row>
    <row r="4983" spans="3:6" x14ac:dyDescent="0.35">
      <c r="C4983" s="7"/>
      <c r="D4983" s="18"/>
      <c r="F4983" s="28"/>
    </row>
    <row r="4984" spans="3:6" x14ac:dyDescent="0.35">
      <c r="C4984" s="7"/>
      <c r="D4984" s="18"/>
      <c r="F4984" s="28"/>
    </row>
    <row r="4985" spans="3:6" x14ac:dyDescent="0.35">
      <c r="C4985" s="7"/>
      <c r="D4985" s="18"/>
      <c r="F4985" s="28"/>
    </row>
    <row r="4986" spans="3:6" x14ac:dyDescent="0.35">
      <c r="C4986" s="7"/>
      <c r="D4986" s="18"/>
      <c r="F4986" s="28"/>
    </row>
    <row r="4987" spans="3:6" x14ac:dyDescent="0.35">
      <c r="C4987" s="7"/>
      <c r="D4987" s="18"/>
      <c r="F4987" s="28"/>
    </row>
    <row r="4988" spans="3:6" x14ac:dyDescent="0.35">
      <c r="C4988" s="7"/>
      <c r="D4988" s="18"/>
      <c r="F4988" s="28"/>
    </row>
    <row r="4989" spans="3:6" x14ac:dyDescent="0.35">
      <c r="C4989" s="7"/>
      <c r="D4989" s="18"/>
      <c r="F4989" s="28"/>
    </row>
    <row r="4990" spans="3:6" x14ac:dyDescent="0.35">
      <c r="C4990" s="7"/>
      <c r="D4990" s="18"/>
      <c r="F4990" s="28"/>
    </row>
    <row r="4991" spans="3:6" x14ac:dyDescent="0.35">
      <c r="C4991" s="7"/>
      <c r="D4991" s="18"/>
      <c r="F4991" s="28"/>
    </row>
    <row r="4992" spans="3:6" x14ac:dyDescent="0.35">
      <c r="C4992" s="7"/>
      <c r="D4992" s="18"/>
      <c r="F4992" s="28"/>
    </row>
    <row r="4993" spans="3:6" x14ac:dyDescent="0.35">
      <c r="C4993" s="7"/>
      <c r="D4993" s="18"/>
      <c r="F4993" s="28"/>
    </row>
    <row r="4994" spans="3:6" x14ac:dyDescent="0.35">
      <c r="C4994" s="8"/>
      <c r="D4994" s="18"/>
      <c r="F4994" s="28"/>
    </row>
    <row r="4995" spans="3:6" x14ac:dyDescent="0.35">
      <c r="C4995" s="8"/>
      <c r="D4995" s="18"/>
      <c r="F4995" s="28"/>
    </row>
    <row r="4996" spans="3:6" x14ac:dyDescent="0.35">
      <c r="C4996" s="8"/>
      <c r="D4996" s="18"/>
      <c r="F4996" s="28"/>
    </row>
    <row r="4997" spans="3:6" x14ac:dyDescent="0.35">
      <c r="C4997" s="8"/>
      <c r="D4997" s="18"/>
      <c r="F4997" s="28"/>
    </row>
    <row r="4998" spans="3:6" x14ac:dyDescent="0.35">
      <c r="C4998" s="8"/>
      <c r="D4998" s="18"/>
      <c r="F4998" s="28"/>
    </row>
    <row r="4999" spans="3:6" x14ac:dyDescent="0.35">
      <c r="C4999" s="8"/>
      <c r="D4999" s="18"/>
      <c r="F4999" s="28"/>
    </row>
    <row r="5000" spans="3:6" x14ac:dyDescent="0.35">
      <c r="C5000" s="9"/>
      <c r="D5000" s="18"/>
      <c r="F5000" s="28"/>
    </row>
    <row r="5001" spans="3:6" x14ac:dyDescent="0.35">
      <c r="C5001" s="9"/>
      <c r="D5001" s="18"/>
      <c r="F5001" s="28"/>
    </row>
    <row r="5002" spans="3:6" x14ac:dyDescent="0.35">
      <c r="C5002" s="9"/>
      <c r="D5002" s="18"/>
      <c r="F5002" s="28"/>
    </row>
    <row r="5003" spans="3:6" x14ac:dyDescent="0.35">
      <c r="C5003" s="9"/>
      <c r="D5003" s="18"/>
      <c r="F5003" s="28"/>
    </row>
    <row r="5004" spans="3:6" x14ac:dyDescent="0.35">
      <c r="C5004" s="9"/>
      <c r="D5004" s="18"/>
      <c r="F5004" s="28"/>
    </row>
    <row r="5005" spans="3:6" x14ac:dyDescent="0.35">
      <c r="C5005" s="9"/>
      <c r="D5005" s="18"/>
      <c r="F5005" s="28"/>
    </row>
    <row r="5006" spans="3:6" x14ac:dyDescent="0.35">
      <c r="C5006" s="10"/>
      <c r="D5006" s="18"/>
      <c r="F5006" s="28"/>
    </row>
    <row r="5007" spans="3:6" x14ac:dyDescent="0.35">
      <c r="C5007" s="10"/>
      <c r="D5007" s="18"/>
      <c r="F5007" s="28"/>
    </row>
    <row r="5008" spans="3:6" x14ac:dyDescent="0.35">
      <c r="C5008" s="10"/>
      <c r="D5008" s="18"/>
      <c r="F5008" s="28"/>
    </row>
    <row r="5009" spans="3:6" x14ac:dyDescent="0.35">
      <c r="C5009" s="10"/>
      <c r="D5009" s="18"/>
      <c r="F5009" s="28"/>
    </row>
    <row r="5010" spans="3:6" x14ac:dyDescent="0.35">
      <c r="C5010" s="10"/>
      <c r="D5010" s="18"/>
      <c r="F5010" s="28"/>
    </row>
    <row r="5011" spans="3:6" x14ac:dyDescent="0.35">
      <c r="C5011" s="10"/>
      <c r="D5011" s="18"/>
      <c r="F5011" s="28"/>
    </row>
    <row r="5012" spans="3:6" x14ac:dyDescent="0.35">
      <c r="C5012" s="11"/>
      <c r="D5012" s="18"/>
      <c r="F5012" s="28"/>
    </row>
    <row r="5013" spans="3:6" x14ac:dyDescent="0.35">
      <c r="C5013" s="11"/>
      <c r="D5013" s="18"/>
      <c r="F5013" s="28"/>
    </row>
    <row r="5014" spans="3:6" x14ac:dyDescent="0.35">
      <c r="C5014" s="11"/>
      <c r="D5014" s="18"/>
      <c r="F5014" s="28"/>
    </row>
    <row r="5015" spans="3:6" x14ac:dyDescent="0.35">
      <c r="C5015" s="11"/>
      <c r="D5015" s="18"/>
      <c r="F5015" s="28"/>
    </row>
    <row r="5016" spans="3:6" x14ac:dyDescent="0.35">
      <c r="C5016" s="11"/>
      <c r="D5016" s="18"/>
      <c r="F5016" s="28"/>
    </row>
    <row r="5017" spans="3:6" x14ac:dyDescent="0.35">
      <c r="C5017" s="11"/>
      <c r="D5017" s="18"/>
      <c r="F5017" s="28"/>
    </row>
    <row r="5018" spans="3:6" x14ac:dyDescent="0.35">
      <c r="C5018" s="12"/>
      <c r="D5018" s="18"/>
      <c r="F5018" s="28"/>
    </row>
    <row r="5019" spans="3:6" x14ac:dyDescent="0.35">
      <c r="C5019" s="12"/>
      <c r="D5019" s="18"/>
      <c r="F5019" s="28"/>
    </row>
    <row r="5020" spans="3:6" x14ac:dyDescent="0.35">
      <c r="C5020" s="12"/>
      <c r="D5020" s="18"/>
      <c r="F5020" s="28"/>
    </row>
    <row r="5021" spans="3:6" x14ac:dyDescent="0.35">
      <c r="C5021" s="12"/>
      <c r="D5021" s="18"/>
      <c r="F5021" s="28"/>
    </row>
    <row r="5022" spans="3:6" x14ac:dyDescent="0.35">
      <c r="C5022" s="12"/>
      <c r="D5022" s="18"/>
      <c r="F5022" s="28"/>
    </row>
    <row r="5023" spans="3:6" x14ac:dyDescent="0.35">
      <c r="C5023" s="12"/>
      <c r="D5023" s="18"/>
      <c r="F5023" s="28"/>
    </row>
    <row r="5024" spans="3:6" x14ac:dyDescent="0.35">
      <c r="C5024" s="13"/>
      <c r="D5024" s="18"/>
      <c r="F5024" s="28"/>
    </row>
    <row r="5025" spans="3:6" x14ac:dyDescent="0.35">
      <c r="C5025" s="13"/>
      <c r="D5025" s="18"/>
      <c r="F5025" s="28"/>
    </row>
    <row r="5026" spans="3:6" x14ac:dyDescent="0.35">
      <c r="C5026" s="13"/>
      <c r="D5026" s="18"/>
      <c r="F5026" s="28"/>
    </row>
    <row r="5027" spans="3:6" x14ac:dyDescent="0.35">
      <c r="C5027" s="13"/>
      <c r="D5027" s="18"/>
      <c r="F5027" s="28"/>
    </row>
    <row r="5028" spans="3:6" x14ac:dyDescent="0.35">
      <c r="C5028" s="13"/>
      <c r="D5028" s="18"/>
      <c r="F5028" s="28"/>
    </row>
    <row r="5029" spans="3:6" x14ac:dyDescent="0.35">
      <c r="C5029" s="13"/>
      <c r="D5029" s="18"/>
      <c r="F5029" s="28"/>
    </row>
    <row r="5030" spans="3:6" x14ac:dyDescent="0.35">
      <c r="C5030" s="14"/>
      <c r="D5030" s="18"/>
      <c r="F5030" s="28"/>
    </row>
    <row r="5031" spans="3:6" x14ac:dyDescent="0.35">
      <c r="C5031" s="14"/>
      <c r="D5031" s="18"/>
      <c r="F5031" s="28"/>
    </row>
    <row r="5032" spans="3:6" x14ac:dyDescent="0.35">
      <c r="C5032" s="14"/>
      <c r="D5032" s="18"/>
      <c r="F5032" s="28"/>
    </row>
    <row r="5033" spans="3:6" x14ac:dyDescent="0.35">
      <c r="C5033" s="14"/>
      <c r="D5033" s="18"/>
      <c r="F5033" s="28"/>
    </row>
    <row r="5034" spans="3:6" x14ac:dyDescent="0.35">
      <c r="C5034" s="14"/>
      <c r="D5034" s="18"/>
      <c r="F5034" s="28"/>
    </row>
    <row r="5035" spans="3:6" x14ac:dyDescent="0.35">
      <c r="C5035" s="14"/>
      <c r="D5035" s="18"/>
      <c r="F5035" s="28"/>
    </row>
    <row r="5036" spans="3:6" x14ac:dyDescent="0.35">
      <c r="C5036" s="15"/>
      <c r="D5036" s="18"/>
      <c r="F5036" s="28"/>
    </row>
    <row r="5037" spans="3:6" x14ac:dyDescent="0.35">
      <c r="C5037" s="15"/>
      <c r="D5037" s="18"/>
      <c r="F5037" s="28"/>
    </row>
    <row r="5038" spans="3:6" x14ac:dyDescent="0.35">
      <c r="C5038" s="15"/>
      <c r="D5038" s="18"/>
      <c r="F5038" s="28"/>
    </row>
    <row r="5039" spans="3:6" x14ac:dyDescent="0.35">
      <c r="C5039" s="15"/>
      <c r="D5039" s="18"/>
      <c r="F5039" s="28"/>
    </row>
    <row r="5040" spans="3:6" x14ac:dyDescent="0.35">
      <c r="C5040" s="15"/>
      <c r="D5040" s="18"/>
      <c r="F5040" s="28"/>
    </row>
    <row r="5041" spans="3:6" x14ac:dyDescent="0.35">
      <c r="C5041" s="15"/>
      <c r="D5041" s="18"/>
      <c r="F5041" s="28"/>
    </row>
    <row r="5042" spans="3:6" x14ac:dyDescent="0.35">
      <c r="C5042" s="7"/>
      <c r="D5042" s="18"/>
      <c r="F5042" s="28"/>
    </row>
    <row r="5043" spans="3:6" x14ac:dyDescent="0.35">
      <c r="C5043" s="7"/>
      <c r="D5043" s="18"/>
      <c r="F5043" s="28"/>
    </row>
    <row r="5044" spans="3:6" x14ac:dyDescent="0.35">
      <c r="C5044" s="7"/>
      <c r="D5044" s="18"/>
      <c r="F5044" s="28"/>
    </row>
    <row r="5045" spans="3:6" x14ac:dyDescent="0.35">
      <c r="C5045" s="7"/>
      <c r="D5045" s="18"/>
      <c r="F5045" s="28"/>
    </row>
    <row r="5046" spans="3:6" x14ac:dyDescent="0.35">
      <c r="C5046" s="7"/>
      <c r="D5046" s="18"/>
      <c r="F5046" s="28"/>
    </row>
    <row r="5047" spans="3:6" x14ac:dyDescent="0.35">
      <c r="C5047" s="7"/>
      <c r="D5047" s="18"/>
      <c r="F5047" s="28"/>
    </row>
    <row r="5048" spans="3:6" x14ac:dyDescent="0.35">
      <c r="C5048" s="16"/>
      <c r="D5048" s="18"/>
      <c r="F5048" s="28"/>
    </row>
    <row r="5049" spans="3:6" x14ac:dyDescent="0.35">
      <c r="C5049" s="16"/>
      <c r="D5049" s="18"/>
      <c r="F5049" s="28"/>
    </row>
    <row r="5050" spans="3:6" x14ac:dyDescent="0.35">
      <c r="C5050" s="16"/>
      <c r="D5050" s="18"/>
      <c r="F5050" s="28"/>
    </row>
    <row r="5051" spans="3:6" x14ac:dyDescent="0.35">
      <c r="C5051" s="16"/>
      <c r="D5051" s="18"/>
      <c r="F5051" s="28"/>
    </row>
    <row r="5052" spans="3:6" x14ac:dyDescent="0.35">
      <c r="C5052" s="16"/>
      <c r="D5052" s="18"/>
      <c r="F5052" s="28"/>
    </row>
    <row r="5053" spans="3:6" x14ac:dyDescent="0.35">
      <c r="C5053" s="16"/>
      <c r="D5053" s="18"/>
      <c r="F5053" s="28"/>
    </row>
    <row r="5054" spans="3:6" x14ac:dyDescent="0.35">
      <c r="C5054" s="7"/>
      <c r="D5054" s="18"/>
      <c r="F5054" s="28"/>
    </row>
    <row r="5055" spans="3:6" x14ac:dyDescent="0.35">
      <c r="C5055" s="7"/>
      <c r="D5055" s="18"/>
      <c r="F5055" s="28"/>
    </row>
    <row r="5056" spans="3:6" x14ac:dyDescent="0.35">
      <c r="C5056" s="7"/>
      <c r="D5056" s="18"/>
      <c r="F5056" s="28"/>
    </row>
    <row r="5057" spans="3:6" x14ac:dyDescent="0.35">
      <c r="C5057" s="7"/>
      <c r="D5057" s="18"/>
      <c r="F5057" s="28"/>
    </row>
    <row r="5058" spans="3:6" x14ac:dyDescent="0.35">
      <c r="C5058" s="7"/>
      <c r="D5058" s="18"/>
      <c r="F5058" s="28"/>
    </row>
    <row r="5059" spans="3:6" x14ac:dyDescent="0.35">
      <c r="C5059" s="7"/>
      <c r="D5059" s="18"/>
      <c r="F5059" s="28"/>
    </row>
    <row r="5060" spans="3:6" x14ac:dyDescent="0.35">
      <c r="C5060" s="7"/>
      <c r="D5060" s="18"/>
      <c r="F5060" s="28"/>
    </row>
    <row r="5061" spans="3:6" x14ac:dyDescent="0.35">
      <c r="C5061" s="7"/>
      <c r="D5061" s="18"/>
      <c r="F5061" s="28"/>
    </row>
    <row r="5062" spans="3:6" x14ac:dyDescent="0.35">
      <c r="C5062" s="7"/>
      <c r="D5062" s="18"/>
      <c r="F5062" s="28"/>
    </row>
    <row r="5063" spans="3:6" x14ac:dyDescent="0.35">
      <c r="C5063" s="7"/>
      <c r="D5063" s="18"/>
      <c r="F5063" s="28"/>
    </row>
    <row r="5064" spans="3:6" x14ac:dyDescent="0.35">
      <c r="C5064" s="7"/>
      <c r="D5064" s="18"/>
      <c r="F5064" s="28"/>
    </row>
    <row r="5065" spans="3:6" x14ac:dyDescent="0.35">
      <c r="C5065" s="7"/>
      <c r="D5065" s="18"/>
      <c r="F5065" s="28"/>
    </row>
    <row r="5066" spans="3:6" x14ac:dyDescent="0.35">
      <c r="C5066" s="8"/>
      <c r="D5066" s="18"/>
      <c r="F5066" s="28"/>
    </row>
    <row r="5067" spans="3:6" x14ac:dyDescent="0.35">
      <c r="C5067" s="8"/>
      <c r="D5067" s="18"/>
      <c r="F5067" s="28"/>
    </row>
    <row r="5068" spans="3:6" x14ac:dyDescent="0.35">
      <c r="C5068" s="8"/>
      <c r="D5068" s="18"/>
      <c r="F5068" s="28"/>
    </row>
    <row r="5069" spans="3:6" x14ac:dyDescent="0.35">
      <c r="C5069" s="8"/>
      <c r="D5069" s="18"/>
      <c r="F5069" s="28"/>
    </row>
    <row r="5070" spans="3:6" x14ac:dyDescent="0.35">
      <c r="C5070" s="8"/>
      <c r="D5070" s="18"/>
      <c r="F5070" s="28"/>
    </row>
    <row r="5071" spans="3:6" x14ac:dyDescent="0.35">
      <c r="C5071" s="8"/>
      <c r="D5071" s="18"/>
      <c r="F5071" s="28"/>
    </row>
    <row r="5072" spans="3:6" x14ac:dyDescent="0.35">
      <c r="C5072" s="9"/>
      <c r="D5072" s="18"/>
      <c r="F5072" s="28"/>
    </row>
    <row r="5073" spans="3:6" x14ac:dyDescent="0.35">
      <c r="C5073" s="9"/>
      <c r="D5073" s="18"/>
      <c r="F5073" s="28"/>
    </row>
    <row r="5074" spans="3:6" x14ac:dyDescent="0.35">
      <c r="C5074" s="9"/>
      <c r="D5074" s="18"/>
      <c r="F5074" s="28"/>
    </row>
    <row r="5075" spans="3:6" x14ac:dyDescent="0.35">
      <c r="C5075" s="9"/>
      <c r="D5075" s="18"/>
      <c r="F5075" s="28"/>
    </row>
    <row r="5076" spans="3:6" x14ac:dyDescent="0.35">
      <c r="C5076" s="9"/>
      <c r="D5076" s="18"/>
      <c r="F5076" s="28"/>
    </row>
    <row r="5077" spans="3:6" x14ac:dyDescent="0.35">
      <c r="C5077" s="9"/>
      <c r="D5077" s="18"/>
      <c r="F5077" s="28"/>
    </row>
    <row r="5078" spans="3:6" x14ac:dyDescent="0.35">
      <c r="C5078" s="10"/>
      <c r="D5078" s="18"/>
      <c r="F5078" s="28"/>
    </row>
    <row r="5079" spans="3:6" x14ac:dyDescent="0.35">
      <c r="C5079" s="10"/>
      <c r="D5079" s="18"/>
      <c r="F5079" s="28"/>
    </row>
    <row r="5080" spans="3:6" x14ac:dyDescent="0.35">
      <c r="C5080" s="10"/>
      <c r="D5080" s="18"/>
      <c r="F5080" s="28"/>
    </row>
    <row r="5081" spans="3:6" x14ac:dyDescent="0.35">
      <c r="C5081" s="10"/>
      <c r="D5081" s="18"/>
      <c r="F5081" s="28"/>
    </row>
    <row r="5082" spans="3:6" x14ac:dyDescent="0.35">
      <c r="C5082" s="10"/>
      <c r="D5082" s="18"/>
      <c r="F5082" s="28"/>
    </row>
    <row r="5083" spans="3:6" x14ac:dyDescent="0.35">
      <c r="C5083" s="10"/>
      <c r="D5083" s="18"/>
      <c r="F5083" s="28"/>
    </row>
    <row r="5084" spans="3:6" x14ac:dyDescent="0.35">
      <c r="C5084" s="11"/>
      <c r="D5084" s="18"/>
      <c r="F5084" s="28"/>
    </row>
    <row r="5085" spans="3:6" x14ac:dyDescent="0.35">
      <c r="C5085" s="11"/>
      <c r="D5085" s="18"/>
      <c r="F5085" s="28"/>
    </row>
    <row r="5086" spans="3:6" x14ac:dyDescent="0.35">
      <c r="C5086" s="11"/>
      <c r="D5086" s="18"/>
      <c r="F5086" s="28"/>
    </row>
    <row r="5087" spans="3:6" x14ac:dyDescent="0.35">
      <c r="C5087" s="11"/>
      <c r="D5087" s="18"/>
      <c r="F5087" s="28"/>
    </row>
    <row r="5088" spans="3:6" x14ac:dyDescent="0.35">
      <c r="C5088" s="11"/>
      <c r="D5088" s="18"/>
      <c r="F5088" s="28"/>
    </row>
    <row r="5089" spans="3:6" x14ac:dyDescent="0.35">
      <c r="C5089" s="11"/>
      <c r="D5089" s="18"/>
      <c r="F5089" s="28"/>
    </row>
    <row r="5090" spans="3:6" x14ac:dyDescent="0.35">
      <c r="C5090" s="12"/>
      <c r="D5090" s="18"/>
      <c r="F5090" s="28"/>
    </row>
    <row r="5091" spans="3:6" x14ac:dyDescent="0.35">
      <c r="C5091" s="12"/>
      <c r="D5091" s="18"/>
      <c r="F5091" s="28"/>
    </row>
    <row r="5092" spans="3:6" x14ac:dyDescent="0.35">
      <c r="C5092" s="12"/>
      <c r="D5092" s="18"/>
      <c r="F5092" s="28"/>
    </row>
    <row r="5093" spans="3:6" x14ac:dyDescent="0.35">
      <c r="C5093" s="12"/>
      <c r="D5093" s="18"/>
      <c r="F5093" s="28"/>
    </row>
    <row r="5094" spans="3:6" x14ac:dyDescent="0.35">
      <c r="C5094" s="12"/>
      <c r="D5094" s="18"/>
      <c r="F5094" s="28"/>
    </row>
    <row r="5095" spans="3:6" x14ac:dyDescent="0.35">
      <c r="C5095" s="12"/>
      <c r="D5095" s="18"/>
      <c r="F5095" s="28"/>
    </row>
    <row r="5096" spans="3:6" x14ac:dyDescent="0.35">
      <c r="C5096" s="13"/>
      <c r="D5096" s="18"/>
      <c r="F5096" s="28"/>
    </row>
    <row r="5097" spans="3:6" x14ac:dyDescent="0.35">
      <c r="C5097" s="13"/>
      <c r="D5097" s="18"/>
      <c r="F5097" s="28"/>
    </row>
    <row r="5098" spans="3:6" x14ac:dyDescent="0.35">
      <c r="C5098" s="13"/>
      <c r="D5098" s="18"/>
      <c r="F5098" s="28"/>
    </row>
    <row r="5099" spans="3:6" x14ac:dyDescent="0.35">
      <c r="C5099" s="13"/>
      <c r="D5099" s="18"/>
      <c r="F5099" s="28"/>
    </row>
    <row r="5100" spans="3:6" x14ac:dyDescent="0.35">
      <c r="C5100" s="13"/>
      <c r="D5100" s="18"/>
      <c r="F5100" s="28"/>
    </row>
    <row r="5101" spans="3:6" x14ac:dyDescent="0.35">
      <c r="C5101" s="13"/>
      <c r="D5101" s="18"/>
      <c r="F5101" s="28"/>
    </row>
    <row r="5102" spans="3:6" x14ac:dyDescent="0.35">
      <c r="C5102" s="14"/>
      <c r="D5102" s="18"/>
      <c r="F5102" s="28"/>
    </row>
    <row r="5103" spans="3:6" x14ac:dyDescent="0.35">
      <c r="C5103" s="14"/>
      <c r="D5103" s="18"/>
      <c r="F5103" s="28"/>
    </row>
    <row r="5104" spans="3:6" x14ac:dyDescent="0.35">
      <c r="C5104" s="14"/>
      <c r="D5104" s="18"/>
      <c r="F5104" s="28"/>
    </row>
    <row r="5105" spans="3:6" x14ac:dyDescent="0.35">
      <c r="C5105" s="14"/>
      <c r="D5105" s="18"/>
      <c r="F5105" s="28"/>
    </row>
    <row r="5106" spans="3:6" x14ac:dyDescent="0.35">
      <c r="C5106" s="14"/>
      <c r="D5106" s="18"/>
      <c r="F5106" s="28"/>
    </row>
    <row r="5107" spans="3:6" x14ac:dyDescent="0.35">
      <c r="C5107" s="14"/>
      <c r="D5107" s="18"/>
      <c r="F5107" s="28"/>
    </row>
    <row r="5108" spans="3:6" x14ac:dyDescent="0.35">
      <c r="C5108" s="15"/>
      <c r="D5108" s="18"/>
      <c r="F5108" s="28"/>
    </row>
    <row r="5109" spans="3:6" x14ac:dyDescent="0.35">
      <c r="C5109" s="15"/>
      <c r="D5109" s="18"/>
      <c r="F5109" s="28"/>
    </row>
    <row r="5110" spans="3:6" x14ac:dyDescent="0.35">
      <c r="C5110" s="15"/>
      <c r="D5110" s="18"/>
      <c r="F5110" s="28"/>
    </row>
    <row r="5111" spans="3:6" x14ac:dyDescent="0.35">
      <c r="C5111" s="15"/>
      <c r="D5111" s="18"/>
      <c r="F5111" s="28"/>
    </row>
    <row r="5112" spans="3:6" x14ac:dyDescent="0.35">
      <c r="C5112" s="15"/>
      <c r="D5112" s="18"/>
      <c r="F5112" s="28"/>
    </row>
    <row r="5113" spans="3:6" x14ac:dyDescent="0.35">
      <c r="C5113" s="15"/>
      <c r="D5113" s="18"/>
      <c r="F5113" s="28"/>
    </row>
    <row r="5114" spans="3:6" x14ac:dyDescent="0.35">
      <c r="C5114" s="7"/>
      <c r="D5114" s="18"/>
      <c r="F5114" s="28"/>
    </row>
    <row r="5115" spans="3:6" x14ac:dyDescent="0.35">
      <c r="C5115" s="7"/>
      <c r="D5115" s="18"/>
      <c r="F5115" s="28"/>
    </row>
    <row r="5116" spans="3:6" x14ac:dyDescent="0.35">
      <c r="C5116" s="7"/>
      <c r="D5116" s="18"/>
      <c r="F5116" s="28"/>
    </row>
    <row r="5117" spans="3:6" x14ac:dyDescent="0.35">
      <c r="C5117" s="7"/>
      <c r="D5117" s="18"/>
      <c r="F5117" s="28"/>
    </row>
    <row r="5118" spans="3:6" x14ac:dyDescent="0.35">
      <c r="C5118" s="7"/>
      <c r="D5118" s="18"/>
      <c r="F5118" s="28"/>
    </row>
    <row r="5119" spans="3:6" x14ac:dyDescent="0.35">
      <c r="C5119" s="7"/>
      <c r="D5119" s="18"/>
      <c r="F5119" s="28"/>
    </row>
    <row r="5120" spans="3:6" x14ac:dyDescent="0.35">
      <c r="C5120" s="16"/>
      <c r="D5120" s="18"/>
      <c r="F5120" s="28"/>
    </row>
    <row r="5121" spans="3:6" x14ac:dyDescent="0.35">
      <c r="C5121" s="16"/>
      <c r="D5121" s="18"/>
      <c r="F5121" s="28"/>
    </row>
    <row r="5122" spans="3:6" x14ac:dyDescent="0.35">
      <c r="C5122" s="16"/>
      <c r="D5122" s="18"/>
      <c r="F5122" s="28"/>
    </row>
    <row r="5123" spans="3:6" x14ac:dyDescent="0.35">
      <c r="C5123" s="16"/>
      <c r="D5123" s="18"/>
      <c r="F5123" s="28"/>
    </row>
    <row r="5124" spans="3:6" x14ac:dyDescent="0.35">
      <c r="C5124" s="16"/>
      <c r="D5124" s="18"/>
      <c r="F5124" s="28"/>
    </row>
    <row r="5125" spans="3:6" x14ac:dyDescent="0.35">
      <c r="C5125" s="16"/>
      <c r="D5125" s="18"/>
      <c r="F5125" s="28"/>
    </row>
    <row r="5126" spans="3:6" x14ac:dyDescent="0.35">
      <c r="C5126" s="7"/>
      <c r="D5126" s="18"/>
      <c r="F5126" s="28"/>
    </row>
    <row r="5127" spans="3:6" x14ac:dyDescent="0.35">
      <c r="C5127" s="7"/>
      <c r="D5127" s="18"/>
      <c r="F5127" s="28"/>
    </row>
    <row r="5128" spans="3:6" x14ac:dyDescent="0.35">
      <c r="C5128" s="7"/>
      <c r="D5128" s="18"/>
      <c r="F5128" s="28"/>
    </row>
    <row r="5129" spans="3:6" x14ac:dyDescent="0.35">
      <c r="C5129" s="7"/>
      <c r="D5129" s="18"/>
      <c r="F5129" s="28"/>
    </row>
    <row r="5130" spans="3:6" x14ac:dyDescent="0.35">
      <c r="C5130" s="7"/>
      <c r="D5130" s="18"/>
      <c r="F5130" s="28"/>
    </row>
    <row r="5131" spans="3:6" x14ac:dyDescent="0.35">
      <c r="C5131" s="7"/>
      <c r="D5131" s="18"/>
      <c r="F5131" s="28"/>
    </row>
    <row r="5132" spans="3:6" x14ac:dyDescent="0.35">
      <c r="C5132" s="7"/>
      <c r="D5132" s="18"/>
      <c r="F5132" s="28"/>
    </row>
    <row r="5133" spans="3:6" x14ac:dyDescent="0.35">
      <c r="C5133" s="7"/>
      <c r="D5133" s="18"/>
      <c r="F5133" s="28"/>
    </row>
    <row r="5134" spans="3:6" x14ac:dyDescent="0.35">
      <c r="C5134" s="7"/>
      <c r="D5134" s="18"/>
      <c r="F5134" s="28"/>
    </row>
    <row r="5135" spans="3:6" x14ac:dyDescent="0.35">
      <c r="C5135" s="7"/>
      <c r="D5135" s="18"/>
      <c r="F5135" s="28"/>
    </row>
    <row r="5136" spans="3:6" x14ac:dyDescent="0.35">
      <c r="C5136" s="7"/>
      <c r="D5136" s="18"/>
      <c r="F5136" s="28"/>
    </row>
    <row r="5137" spans="3:6" x14ac:dyDescent="0.35">
      <c r="C5137" s="7"/>
      <c r="D5137" s="18"/>
      <c r="F5137" s="28"/>
    </row>
    <row r="5138" spans="3:6" x14ac:dyDescent="0.35">
      <c r="C5138" s="8"/>
      <c r="D5138" s="18"/>
      <c r="F5138" s="28"/>
    </row>
    <row r="5139" spans="3:6" x14ac:dyDescent="0.35">
      <c r="C5139" s="8"/>
      <c r="D5139" s="18"/>
      <c r="F5139" s="28"/>
    </row>
    <row r="5140" spans="3:6" x14ac:dyDescent="0.35">
      <c r="C5140" s="8"/>
      <c r="D5140" s="18"/>
      <c r="F5140" s="28"/>
    </row>
    <row r="5141" spans="3:6" x14ac:dyDescent="0.35">
      <c r="C5141" s="8"/>
      <c r="D5141" s="18"/>
      <c r="F5141" s="28"/>
    </row>
    <row r="5142" spans="3:6" x14ac:dyDescent="0.35">
      <c r="C5142" s="8"/>
      <c r="D5142" s="18"/>
      <c r="F5142" s="28"/>
    </row>
    <row r="5143" spans="3:6" x14ac:dyDescent="0.35">
      <c r="C5143" s="8"/>
      <c r="D5143" s="18"/>
      <c r="F5143" s="28"/>
    </row>
    <row r="5144" spans="3:6" x14ac:dyDescent="0.35">
      <c r="C5144" s="9"/>
      <c r="D5144" s="18"/>
      <c r="F5144" s="28"/>
    </row>
    <row r="5145" spans="3:6" x14ac:dyDescent="0.35">
      <c r="C5145" s="9"/>
      <c r="D5145" s="18"/>
      <c r="F5145" s="28"/>
    </row>
    <row r="5146" spans="3:6" x14ac:dyDescent="0.35">
      <c r="C5146" s="9"/>
      <c r="D5146" s="18"/>
      <c r="F5146" s="28"/>
    </row>
    <row r="5147" spans="3:6" x14ac:dyDescent="0.35">
      <c r="C5147" s="9"/>
      <c r="D5147" s="18"/>
      <c r="F5147" s="28"/>
    </row>
    <row r="5148" spans="3:6" x14ac:dyDescent="0.35">
      <c r="C5148" s="9"/>
      <c r="D5148" s="18"/>
      <c r="F5148" s="28"/>
    </row>
    <row r="5149" spans="3:6" x14ac:dyDescent="0.35">
      <c r="C5149" s="9"/>
      <c r="D5149" s="18"/>
      <c r="F5149" s="28"/>
    </row>
    <row r="5150" spans="3:6" x14ac:dyDescent="0.35">
      <c r="C5150" s="10"/>
      <c r="D5150" s="18"/>
      <c r="F5150" s="28"/>
    </row>
    <row r="5151" spans="3:6" x14ac:dyDescent="0.35">
      <c r="C5151" s="10"/>
      <c r="D5151" s="18"/>
      <c r="F5151" s="28"/>
    </row>
    <row r="5152" spans="3:6" x14ac:dyDescent="0.35">
      <c r="C5152" s="10"/>
      <c r="D5152" s="18"/>
      <c r="F5152" s="28"/>
    </row>
    <row r="5153" spans="3:6" x14ac:dyDescent="0.35">
      <c r="C5153" s="10"/>
      <c r="D5153" s="18"/>
      <c r="F5153" s="28"/>
    </row>
    <row r="5154" spans="3:6" x14ac:dyDescent="0.35">
      <c r="C5154" s="10"/>
      <c r="D5154" s="18"/>
      <c r="F5154" s="28"/>
    </row>
    <row r="5155" spans="3:6" x14ac:dyDescent="0.35">
      <c r="C5155" s="10"/>
      <c r="D5155" s="18"/>
      <c r="F5155" s="28"/>
    </row>
    <row r="5156" spans="3:6" x14ac:dyDescent="0.35">
      <c r="C5156" s="11"/>
      <c r="D5156" s="18"/>
      <c r="F5156" s="28"/>
    </row>
    <row r="5157" spans="3:6" x14ac:dyDescent="0.35">
      <c r="C5157" s="11"/>
      <c r="D5157" s="18"/>
      <c r="F5157" s="28"/>
    </row>
    <row r="5158" spans="3:6" x14ac:dyDescent="0.35">
      <c r="C5158" s="11"/>
      <c r="D5158" s="18"/>
      <c r="F5158" s="28"/>
    </row>
    <row r="5159" spans="3:6" x14ac:dyDescent="0.35">
      <c r="C5159" s="11"/>
      <c r="D5159" s="18"/>
      <c r="F5159" s="28"/>
    </row>
    <row r="5160" spans="3:6" x14ac:dyDescent="0.35">
      <c r="C5160" s="11"/>
      <c r="D5160" s="18"/>
      <c r="F5160" s="28"/>
    </row>
    <row r="5161" spans="3:6" x14ac:dyDescent="0.35">
      <c r="C5161" s="11"/>
      <c r="D5161" s="18"/>
      <c r="F5161" s="28"/>
    </row>
    <row r="5162" spans="3:6" x14ac:dyDescent="0.35">
      <c r="C5162" s="12"/>
      <c r="D5162" s="18"/>
      <c r="F5162" s="28"/>
    </row>
    <row r="5163" spans="3:6" x14ac:dyDescent="0.35">
      <c r="C5163" s="12"/>
      <c r="D5163" s="18"/>
      <c r="F5163" s="28"/>
    </row>
    <row r="5164" spans="3:6" x14ac:dyDescent="0.35">
      <c r="C5164" s="12"/>
      <c r="D5164" s="18"/>
      <c r="F5164" s="28"/>
    </row>
    <row r="5165" spans="3:6" x14ac:dyDescent="0.35">
      <c r="C5165" s="12"/>
      <c r="D5165" s="18"/>
      <c r="F5165" s="28"/>
    </row>
    <row r="5166" spans="3:6" x14ac:dyDescent="0.35">
      <c r="C5166" s="12"/>
      <c r="D5166" s="18"/>
      <c r="F5166" s="28"/>
    </row>
    <row r="5167" spans="3:6" x14ac:dyDescent="0.35">
      <c r="C5167" s="12"/>
      <c r="D5167" s="18"/>
      <c r="F5167" s="28"/>
    </row>
    <row r="5168" spans="3:6" x14ac:dyDescent="0.35">
      <c r="C5168" s="13"/>
      <c r="D5168" s="18"/>
      <c r="F5168" s="28"/>
    </row>
    <row r="5169" spans="3:6" x14ac:dyDescent="0.35">
      <c r="C5169" s="13"/>
      <c r="D5169" s="18"/>
      <c r="F5169" s="28"/>
    </row>
    <row r="5170" spans="3:6" x14ac:dyDescent="0.35">
      <c r="C5170" s="13"/>
      <c r="D5170" s="18"/>
      <c r="F5170" s="28"/>
    </row>
    <row r="5171" spans="3:6" x14ac:dyDescent="0.35">
      <c r="C5171" s="13"/>
      <c r="D5171" s="18"/>
      <c r="F5171" s="28"/>
    </row>
    <row r="5172" spans="3:6" x14ac:dyDescent="0.35">
      <c r="C5172" s="13"/>
      <c r="D5172" s="18"/>
      <c r="F5172" s="28"/>
    </row>
    <row r="5173" spans="3:6" x14ac:dyDescent="0.35">
      <c r="C5173" s="13"/>
      <c r="D5173" s="18"/>
      <c r="F5173" s="28"/>
    </row>
    <row r="5174" spans="3:6" x14ac:dyDescent="0.35">
      <c r="C5174" s="14"/>
      <c r="D5174" s="18"/>
      <c r="F5174" s="28"/>
    </row>
    <row r="5175" spans="3:6" x14ac:dyDescent="0.35">
      <c r="C5175" s="14"/>
      <c r="D5175" s="18"/>
      <c r="F5175" s="28"/>
    </row>
    <row r="5176" spans="3:6" x14ac:dyDescent="0.35">
      <c r="C5176" s="14"/>
      <c r="D5176" s="18"/>
      <c r="F5176" s="28"/>
    </row>
    <row r="5177" spans="3:6" x14ac:dyDescent="0.35">
      <c r="C5177" s="14"/>
      <c r="D5177" s="18"/>
      <c r="F5177" s="28"/>
    </row>
    <row r="5178" spans="3:6" x14ac:dyDescent="0.35">
      <c r="C5178" s="14"/>
      <c r="D5178" s="18"/>
      <c r="F5178" s="28"/>
    </row>
    <row r="5179" spans="3:6" x14ac:dyDescent="0.35">
      <c r="C5179" s="14"/>
      <c r="D5179" s="18"/>
      <c r="F5179" s="28"/>
    </row>
    <row r="5180" spans="3:6" x14ac:dyDescent="0.35">
      <c r="C5180" s="15"/>
      <c r="D5180" s="18"/>
      <c r="F5180" s="28"/>
    </row>
    <row r="5181" spans="3:6" x14ac:dyDescent="0.35">
      <c r="C5181" s="15"/>
      <c r="D5181" s="18"/>
      <c r="F5181" s="28"/>
    </row>
    <row r="5182" spans="3:6" x14ac:dyDescent="0.35">
      <c r="C5182" s="15"/>
      <c r="D5182" s="18"/>
      <c r="F5182" s="28"/>
    </row>
    <row r="5183" spans="3:6" x14ac:dyDescent="0.35">
      <c r="C5183" s="15"/>
      <c r="D5183" s="18"/>
      <c r="F5183" s="28"/>
    </row>
    <row r="5184" spans="3:6" x14ac:dyDescent="0.35">
      <c r="C5184" s="15"/>
      <c r="D5184" s="18"/>
      <c r="F5184" s="28"/>
    </row>
    <row r="5185" spans="3:6" x14ac:dyDescent="0.35">
      <c r="C5185" s="15"/>
      <c r="D5185" s="18"/>
      <c r="F5185" s="28"/>
    </row>
    <row r="5186" spans="3:6" x14ac:dyDescent="0.35">
      <c r="C5186" s="7"/>
      <c r="D5186" s="18"/>
      <c r="F5186" s="28"/>
    </row>
    <row r="5187" spans="3:6" x14ac:dyDescent="0.35">
      <c r="C5187" s="7"/>
      <c r="D5187" s="18"/>
      <c r="F5187" s="28"/>
    </row>
    <row r="5188" spans="3:6" x14ac:dyDescent="0.35">
      <c r="C5188" s="7"/>
      <c r="D5188" s="18"/>
      <c r="F5188" s="28"/>
    </row>
    <row r="5189" spans="3:6" x14ac:dyDescent="0.35">
      <c r="C5189" s="7"/>
      <c r="D5189" s="18"/>
      <c r="F5189" s="28"/>
    </row>
    <row r="5190" spans="3:6" x14ac:dyDescent="0.35">
      <c r="C5190" s="7"/>
      <c r="D5190" s="18"/>
      <c r="F5190" s="28"/>
    </row>
    <row r="5191" spans="3:6" x14ac:dyDescent="0.35">
      <c r="C5191" s="7"/>
      <c r="D5191" s="18"/>
      <c r="F5191" s="28"/>
    </row>
    <row r="5192" spans="3:6" x14ac:dyDescent="0.35">
      <c r="C5192" s="16"/>
      <c r="D5192" s="18"/>
      <c r="F5192" s="28"/>
    </row>
    <row r="5193" spans="3:6" x14ac:dyDescent="0.35">
      <c r="C5193" s="16"/>
      <c r="D5193" s="18"/>
      <c r="F5193" s="28"/>
    </row>
    <row r="5194" spans="3:6" x14ac:dyDescent="0.35">
      <c r="C5194" s="16"/>
      <c r="D5194" s="18"/>
      <c r="F5194" s="28"/>
    </row>
    <row r="5195" spans="3:6" x14ac:dyDescent="0.35">
      <c r="C5195" s="16"/>
      <c r="D5195" s="18"/>
      <c r="F5195" s="28"/>
    </row>
    <row r="5196" spans="3:6" x14ac:dyDescent="0.35">
      <c r="C5196" s="16"/>
      <c r="D5196" s="18"/>
      <c r="F5196" s="28"/>
    </row>
    <row r="5197" spans="3:6" x14ac:dyDescent="0.35">
      <c r="C5197" s="16"/>
      <c r="D5197" s="18"/>
      <c r="F5197" s="28"/>
    </row>
    <row r="5198" spans="3:6" x14ac:dyDescent="0.35">
      <c r="C5198" s="7"/>
      <c r="D5198" s="18"/>
      <c r="F5198" s="28"/>
    </row>
    <row r="5199" spans="3:6" x14ac:dyDescent="0.35">
      <c r="C5199" s="7"/>
      <c r="D5199" s="18"/>
      <c r="F5199" s="28"/>
    </row>
    <row r="5200" spans="3:6" x14ac:dyDescent="0.35">
      <c r="C5200" s="7"/>
      <c r="D5200" s="18"/>
      <c r="F5200" s="28"/>
    </row>
    <row r="5201" spans="3:6" x14ac:dyDescent="0.35">
      <c r="C5201" s="7"/>
      <c r="D5201" s="18"/>
      <c r="F5201" s="28"/>
    </row>
    <row r="5202" spans="3:6" x14ac:dyDescent="0.35">
      <c r="C5202" s="7"/>
      <c r="D5202" s="18"/>
      <c r="F5202" s="28"/>
    </row>
    <row r="5203" spans="3:6" x14ac:dyDescent="0.35">
      <c r="C5203" s="7"/>
      <c r="D5203" s="18"/>
      <c r="F5203" s="28"/>
    </row>
    <row r="5204" spans="3:6" x14ac:dyDescent="0.35">
      <c r="C5204" s="7"/>
      <c r="D5204" s="18"/>
      <c r="F5204" s="28"/>
    </row>
    <row r="5205" spans="3:6" x14ac:dyDescent="0.35">
      <c r="C5205" s="7"/>
      <c r="D5205" s="18"/>
      <c r="F5205" s="28"/>
    </row>
    <row r="5206" spans="3:6" x14ac:dyDescent="0.35">
      <c r="C5206" s="7"/>
      <c r="D5206" s="18"/>
      <c r="F5206" s="28"/>
    </row>
    <row r="5207" spans="3:6" x14ac:dyDescent="0.35">
      <c r="C5207" s="7"/>
      <c r="D5207" s="18"/>
      <c r="F5207" s="28"/>
    </row>
    <row r="5208" spans="3:6" x14ac:dyDescent="0.35">
      <c r="C5208" s="7"/>
      <c r="D5208" s="18"/>
      <c r="F5208" s="28"/>
    </row>
    <row r="5209" spans="3:6" x14ac:dyDescent="0.35">
      <c r="C5209" s="7"/>
      <c r="D5209" s="18"/>
      <c r="F5209" s="28"/>
    </row>
    <row r="5210" spans="3:6" x14ac:dyDescent="0.35">
      <c r="C5210" s="8"/>
      <c r="D5210" s="18"/>
      <c r="F5210" s="28"/>
    </row>
    <row r="5211" spans="3:6" x14ac:dyDescent="0.35">
      <c r="C5211" s="8"/>
      <c r="D5211" s="18"/>
      <c r="F5211" s="28"/>
    </row>
    <row r="5212" spans="3:6" x14ac:dyDescent="0.35">
      <c r="C5212" s="8"/>
      <c r="D5212" s="18"/>
      <c r="F5212" s="28"/>
    </row>
    <row r="5213" spans="3:6" x14ac:dyDescent="0.35">
      <c r="C5213" s="8"/>
      <c r="D5213" s="18"/>
      <c r="F5213" s="28"/>
    </row>
    <row r="5214" spans="3:6" x14ac:dyDescent="0.35">
      <c r="C5214" s="8"/>
      <c r="D5214" s="18"/>
      <c r="F5214" s="28"/>
    </row>
    <row r="5215" spans="3:6" x14ac:dyDescent="0.35">
      <c r="C5215" s="8"/>
      <c r="D5215" s="18"/>
      <c r="F5215" s="28"/>
    </row>
    <row r="5216" spans="3:6" x14ac:dyDescent="0.35">
      <c r="C5216" s="9"/>
      <c r="D5216" s="18"/>
      <c r="F5216" s="28"/>
    </row>
    <row r="5217" spans="3:6" x14ac:dyDescent="0.35">
      <c r="C5217" s="9"/>
      <c r="D5217" s="18"/>
      <c r="F5217" s="28"/>
    </row>
    <row r="5218" spans="3:6" x14ac:dyDescent="0.35">
      <c r="C5218" s="9"/>
      <c r="D5218" s="18"/>
      <c r="F5218" s="28"/>
    </row>
    <row r="5219" spans="3:6" x14ac:dyDescent="0.35">
      <c r="C5219" s="9"/>
      <c r="D5219" s="18"/>
      <c r="F5219" s="28"/>
    </row>
    <row r="5220" spans="3:6" x14ac:dyDescent="0.35">
      <c r="C5220" s="9"/>
      <c r="D5220" s="18"/>
      <c r="F5220" s="28"/>
    </row>
    <row r="5221" spans="3:6" x14ac:dyDescent="0.35">
      <c r="C5221" s="9"/>
      <c r="D5221" s="18"/>
      <c r="F5221" s="28"/>
    </row>
    <row r="5222" spans="3:6" x14ac:dyDescent="0.35">
      <c r="C5222" s="10"/>
      <c r="D5222" s="18"/>
      <c r="F5222" s="28"/>
    </row>
    <row r="5223" spans="3:6" x14ac:dyDescent="0.35">
      <c r="C5223" s="10"/>
      <c r="D5223" s="18"/>
      <c r="F5223" s="28"/>
    </row>
    <row r="5224" spans="3:6" x14ac:dyDescent="0.35">
      <c r="C5224" s="10"/>
      <c r="D5224" s="18"/>
      <c r="F5224" s="28"/>
    </row>
    <row r="5225" spans="3:6" x14ac:dyDescent="0.35">
      <c r="C5225" s="10"/>
      <c r="D5225" s="18"/>
      <c r="F5225" s="28"/>
    </row>
    <row r="5226" spans="3:6" x14ac:dyDescent="0.35">
      <c r="C5226" s="10"/>
      <c r="D5226" s="18"/>
      <c r="F5226" s="28"/>
    </row>
    <row r="5227" spans="3:6" x14ac:dyDescent="0.35">
      <c r="C5227" s="10"/>
      <c r="D5227" s="18"/>
      <c r="F5227" s="28"/>
    </row>
    <row r="5228" spans="3:6" x14ac:dyDescent="0.35">
      <c r="C5228" s="11"/>
      <c r="D5228" s="18"/>
      <c r="F5228" s="28"/>
    </row>
    <row r="5229" spans="3:6" x14ac:dyDescent="0.35">
      <c r="C5229" s="11"/>
      <c r="D5229" s="18"/>
      <c r="F5229" s="28"/>
    </row>
    <row r="5230" spans="3:6" x14ac:dyDescent="0.35">
      <c r="C5230" s="11"/>
      <c r="D5230" s="18"/>
      <c r="F5230" s="28"/>
    </row>
    <row r="5231" spans="3:6" x14ac:dyDescent="0.35">
      <c r="C5231" s="11"/>
      <c r="D5231" s="18"/>
      <c r="F5231" s="28"/>
    </row>
    <row r="5232" spans="3:6" x14ac:dyDescent="0.35">
      <c r="C5232" s="11"/>
      <c r="D5232" s="18"/>
      <c r="F5232" s="28"/>
    </row>
    <row r="5233" spans="3:6" x14ac:dyDescent="0.35">
      <c r="C5233" s="11"/>
      <c r="D5233" s="18"/>
      <c r="F5233" s="28"/>
    </row>
    <row r="5234" spans="3:6" x14ac:dyDescent="0.35">
      <c r="C5234" s="12"/>
      <c r="D5234" s="18"/>
      <c r="F5234" s="28"/>
    </row>
    <row r="5235" spans="3:6" x14ac:dyDescent="0.35">
      <c r="C5235" s="12"/>
      <c r="D5235" s="18"/>
      <c r="F5235" s="28"/>
    </row>
    <row r="5236" spans="3:6" x14ac:dyDescent="0.35">
      <c r="C5236" s="12"/>
      <c r="D5236" s="18"/>
      <c r="F5236" s="28"/>
    </row>
    <row r="5237" spans="3:6" x14ac:dyDescent="0.35">
      <c r="C5237" s="12"/>
      <c r="D5237" s="18"/>
      <c r="F5237" s="28"/>
    </row>
    <row r="5238" spans="3:6" x14ac:dyDescent="0.35">
      <c r="C5238" s="12"/>
      <c r="D5238" s="18"/>
      <c r="F5238" s="28"/>
    </row>
    <row r="5239" spans="3:6" x14ac:dyDescent="0.35">
      <c r="C5239" s="12"/>
      <c r="D5239" s="18"/>
      <c r="F5239" s="28"/>
    </row>
    <row r="5240" spans="3:6" x14ac:dyDescent="0.35">
      <c r="C5240" s="13"/>
      <c r="D5240" s="18"/>
      <c r="F5240" s="28"/>
    </row>
    <row r="5241" spans="3:6" x14ac:dyDescent="0.35">
      <c r="C5241" s="13"/>
      <c r="D5241" s="18"/>
      <c r="F5241" s="28"/>
    </row>
    <row r="5242" spans="3:6" x14ac:dyDescent="0.35">
      <c r="C5242" s="13"/>
      <c r="D5242" s="18"/>
      <c r="F5242" s="28"/>
    </row>
    <row r="5243" spans="3:6" x14ac:dyDescent="0.35">
      <c r="C5243" s="13"/>
      <c r="D5243" s="18"/>
      <c r="F5243" s="28"/>
    </row>
    <row r="5244" spans="3:6" x14ac:dyDescent="0.35">
      <c r="C5244" s="13"/>
      <c r="D5244" s="18"/>
      <c r="F5244" s="28"/>
    </row>
    <row r="5245" spans="3:6" x14ac:dyDescent="0.35">
      <c r="C5245" s="13"/>
      <c r="D5245" s="18"/>
      <c r="F5245" s="28"/>
    </row>
    <row r="5246" spans="3:6" x14ac:dyDescent="0.35">
      <c r="C5246" s="14"/>
      <c r="D5246" s="18"/>
      <c r="F5246" s="28"/>
    </row>
    <row r="5247" spans="3:6" x14ac:dyDescent="0.35">
      <c r="C5247" s="14"/>
      <c r="D5247" s="18"/>
      <c r="F5247" s="28"/>
    </row>
    <row r="5248" spans="3:6" x14ac:dyDescent="0.35">
      <c r="C5248" s="14"/>
      <c r="D5248" s="18"/>
      <c r="F5248" s="28"/>
    </row>
    <row r="5249" spans="3:6" x14ac:dyDescent="0.35">
      <c r="C5249" s="14"/>
      <c r="D5249" s="18"/>
      <c r="F5249" s="28"/>
    </row>
    <row r="5250" spans="3:6" x14ac:dyDescent="0.35">
      <c r="C5250" s="14"/>
      <c r="D5250" s="18"/>
      <c r="F5250" s="28"/>
    </row>
    <row r="5251" spans="3:6" x14ac:dyDescent="0.35">
      <c r="C5251" s="14"/>
      <c r="D5251" s="18"/>
      <c r="F5251" s="28"/>
    </row>
    <row r="5252" spans="3:6" x14ac:dyDescent="0.35">
      <c r="C5252" s="15"/>
      <c r="D5252" s="18"/>
      <c r="F5252" s="28"/>
    </row>
    <row r="5253" spans="3:6" x14ac:dyDescent="0.35">
      <c r="C5253" s="15"/>
      <c r="D5253" s="18"/>
      <c r="F5253" s="28"/>
    </row>
    <row r="5254" spans="3:6" x14ac:dyDescent="0.35">
      <c r="C5254" s="15"/>
      <c r="D5254" s="18"/>
      <c r="F5254" s="28"/>
    </row>
    <row r="5255" spans="3:6" x14ac:dyDescent="0.35">
      <c r="C5255" s="15"/>
      <c r="D5255" s="18"/>
      <c r="F5255" s="28"/>
    </row>
    <row r="5256" spans="3:6" x14ac:dyDescent="0.35">
      <c r="C5256" s="15"/>
      <c r="D5256" s="18"/>
      <c r="F5256" s="28"/>
    </row>
    <row r="5257" spans="3:6" x14ac:dyDescent="0.35">
      <c r="C5257" s="15"/>
      <c r="D5257" s="18"/>
      <c r="F5257" s="28"/>
    </row>
    <row r="5258" spans="3:6" x14ac:dyDescent="0.35">
      <c r="C5258" s="7"/>
      <c r="D5258" s="18"/>
      <c r="F5258" s="28"/>
    </row>
    <row r="5259" spans="3:6" x14ac:dyDescent="0.35">
      <c r="C5259" s="7"/>
      <c r="D5259" s="18"/>
      <c r="F5259" s="28"/>
    </row>
    <row r="5260" spans="3:6" x14ac:dyDescent="0.35">
      <c r="C5260" s="7"/>
      <c r="D5260" s="18"/>
      <c r="F5260" s="28"/>
    </row>
    <row r="5261" spans="3:6" x14ac:dyDescent="0.35">
      <c r="C5261" s="7"/>
      <c r="D5261" s="18"/>
      <c r="F5261" s="28"/>
    </row>
    <row r="5262" spans="3:6" x14ac:dyDescent="0.35">
      <c r="C5262" s="7"/>
      <c r="D5262" s="18"/>
      <c r="F5262" s="28"/>
    </row>
    <row r="5263" spans="3:6" x14ac:dyDescent="0.35">
      <c r="C5263" s="7"/>
      <c r="D5263" s="18"/>
      <c r="F5263" s="28"/>
    </row>
    <row r="5264" spans="3:6" x14ac:dyDescent="0.35">
      <c r="C5264" s="16"/>
      <c r="D5264" s="18"/>
      <c r="F5264" s="28"/>
    </row>
    <row r="5265" spans="3:6" x14ac:dyDescent="0.35">
      <c r="C5265" s="16"/>
      <c r="D5265" s="18"/>
      <c r="F5265" s="28"/>
    </row>
    <row r="5266" spans="3:6" x14ac:dyDescent="0.35">
      <c r="C5266" s="16"/>
      <c r="D5266" s="18"/>
      <c r="F5266" s="28"/>
    </row>
    <row r="5267" spans="3:6" x14ac:dyDescent="0.35">
      <c r="C5267" s="16"/>
      <c r="D5267" s="18"/>
      <c r="F5267" s="28"/>
    </row>
    <row r="5268" spans="3:6" x14ac:dyDescent="0.35">
      <c r="C5268" s="16"/>
      <c r="D5268" s="18"/>
      <c r="F5268" s="28"/>
    </row>
    <row r="5269" spans="3:6" x14ac:dyDescent="0.35">
      <c r="C5269" s="16"/>
      <c r="D5269" s="18"/>
      <c r="F5269" s="28"/>
    </row>
    <row r="5270" spans="3:6" x14ac:dyDescent="0.35">
      <c r="C5270" s="7"/>
      <c r="D5270" s="18"/>
      <c r="F5270" s="28"/>
    </row>
    <row r="5271" spans="3:6" x14ac:dyDescent="0.35">
      <c r="C5271" s="7"/>
      <c r="D5271" s="18"/>
      <c r="F5271" s="28"/>
    </row>
    <row r="5272" spans="3:6" x14ac:dyDescent="0.35">
      <c r="C5272" s="7"/>
      <c r="D5272" s="18"/>
      <c r="F5272" s="28"/>
    </row>
    <row r="5273" spans="3:6" x14ac:dyDescent="0.35">
      <c r="C5273" s="7"/>
      <c r="D5273" s="18"/>
      <c r="F5273" s="28"/>
    </row>
    <row r="5274" spans="3:6" x14ac:dyDescent="0.35">
      <c r="C5274" s="7"/>
      <c r="D5274" s="18"/>
      <c r="F5274" s="28"/>
    </row>
    <row r="5275" spans="3:6" x14ac:dyDescent="0.35">
      <c r="C5275" s="7"/>
      <c r="D5275" s="18"/>
      <c r="F5275" s="28"/>
    </row>
    <row r="5276" spans="3:6" x14ac:dyDescent="0.35">
      <c r="C5276" s="7"/>
      <c r="D5276" s="18"/>
      <c r="F5276" s="28"/>
    </row>
    <row r="5277" spans="3:6" x14ac:dyDescent="0.35">
      <c r="C5277" s="7"/>
      <c r="D5277" s="18"/>
      <c r="F5277" s="28"/>
    </row>
    <row r="5278" spans="3:6" x14ac:dyDescent="0.35">
      <c r="C5278" s="7"/>
      <c r="D5278" s="18"/>
      <c r="F5278" s="28"/>
    </row>
    <row r="5279" spans="3:6" x14ac:dyDescent="0.35">
      <c r="C5279" s="7"/>
      <c r="D5279" s="18"/>
      <c r="F5279" s="28"/>
    </row>
    <row r="5280" spans="3:6" x14ac:dyDescent="0.35">
      <c r="C5280" s="7"/>
      <c r="D5280" s="18"/>
      <c r="F5280" s="28"/>
    </row>
    <row r="5281" spans="3:6" x14ac:dyDescent="0.35">
      <c r="C5281" s="7"/>
      <c r="D5281" s="18"/>
      <c r="F5281" s="28"/>
    </row>
    <row r="5282" spans="3:6" x14ac:dyDescent="0.35">
      <c r="C5282" s="8"/>
      <c r="D5282" s="18"/>
      <c r="F5282" s="28"/>
    </row>
    <row r="5283" spans="3:6" x14ac:dyDescent="0.35">
      <c r="C5283" s="8"/>
      <c r="D5283" s="18"/>
      <c r="F5283" s="28"/>
    </row>
    <row r="5284" spans="3:6" x14ac:dyDescent="0.35">
      <c r="C5284" s="8"/>
      <c r="D5284" s="18"/>
      <c r="F5284" s="28"/>
    </row>
    <row r="5285" spans="3:6" x14ac:dyDescent="0.35">
      <c r="C5285" s="8"/>
      <c r="D5285" s="18"/>
      <c r="F5285" s="28"/>
    </row>
    <row r="5286" spans="3:6" x14ac:dyDescent="0.35">
      <c r="C5286" s="8"/>
      <c r="D5286" s="18"/>
      <c r="F5286" s="28"/>
    </row>
    <row r="5287" spans="3:6" x14ac:dyDescent="0.35">
      <c r="C5287" s="8"/>
      <c r="D5287" s="18"/>
      <c r="F5287" s="28"/>
    </row>
    <row r="5288" spans="3:6" x14ac:dyDescent="0.35">
      <c r="C5288" s="9"/>
      <c r="D5288" s="18"/>
      <c r="F5288" s="28"/>
    </row>
    <row r="5289" spans="3:6" x14ac:dyDescent="0.35">
      <c r="C5289" s="9"/>
      <c r="D5289" s="18"/>
      <c r="F5289" s="28"/>
    </row>
    <row r="5290" spans="3:6" x14ac:dyDescent="0.35">
      <c r="C5290" s="9"/>
      <c r="D5290" s="18"/>
      <c r="F5290" s="28"/>
    </row>
    <row r="5291" spans="3:6" x14ac:dyDescent="0.35">
      <c r="C5291" s="9"/>
      <c r="D5291" s="18"/>
      <c r="F5291" s="28"/>
    </row>
    <row r="5292" spans="3:6" x14ac:dyDescent="0.35">
      <c r="C5292" s="9"/>
      <c r="D5292" s="18"/>
      <c r="F5292" s="28"/>
    </row>
    <row r="5293" spans="3:6" x14ac:dyDescent="0.35">
      <c r="C5293" s="9"/>
      <c r="D5293" s="18"/>
      <c r="F5293" s="28"/>
    </row>
    <row r="5294" spans="3:6" x14ac:dyDescent="0.35">
      <c r="C5294" s="10"/>
      <c r="D5294" s="18"/>
      <c r="F5294" s="28"/>
    </row>
    <row r="5295" spans="3:6" x14ac:dyDescent="0.35">
      <c r="C5295" s="10"/>
      <c r="D5295" s="18"/>
      <c r="F5295" s="28"/>
    </row>
    <row r="5296" spans="3:6" x14ac:dyDescent="0.35">
      <c r="C5296" s="10"/>
      <c r="D5296" s="18"/>
      <c r="F5296" s="28"/>
    </row>
    <row r="5297" spans="3:6" x14ac:dyDescent="0.35">
      <c r="C5297" s="10"/>
      <c r="D5297" s="18"/>
      <c r="F5297" s="28"/>
    </row>
    <row r="5298" spans="3:6" x14ac:dyDescent="0.35">
      <c r="C5298" s="10"/>
      <c r="D5298" s="18"/>
      <c r="F5298" s="28"/>
    </row>
    <row r="5299" spans="3:6" x14ac:dyDescent="0.35">
      <c r="C5299" s="10"/>
      <c r="D5299" s="18"/>
      <c r="F5299" s="28"/>
    </row>
    <row r="5300" spans="3:6" x14ac:dyDescent="0.35">
      <c r="C5300" s="11"/>
      <c r="D5300" s="18"/>
      <c r="F5300" s="28"/>
    </row>
    <row r="5301" spans="3:6" x14ac:dyDescent="0.35">
      <c r="C5301" s="11"/>
      <c r="D5301" s="18"/>
      <c r="F5301" s="28"/>
    </row>
    <row r="5302" spans="3:6" x14ac:dyDescent="0.35">
      <c r="C5302" s="11"/>
      <c r="D5302" s="18"/>
      <c r="F5302" s="28"/>
    </row>
    <row r="5303" spans="3:6" x14ac:dyDescent="0.35">
      <c r="C5303" s="11"/>
      <c r="D5303" s="18"/>
      <c r="F5303" s="28"/>
    </row>
    <row r="5304" spans="3:6" x14ac:dyDescent="0.35">
      <c r="C5304" s="11"/>
      <c r="D5304" s="18"/>
      <c r="F5304" s="28"/>
    </row>
    <row r="5305" spans="3:6" x14ac:dyDescent="0.35">
      <c r="C5305" s="11"/>
      <c r="D5305" s="18"/>
      <c r="F5305" s="28"/>
    </row>
    <row r="5306" spans="3:6" x14ac:dyDescent="0.35">
      <c r="C5306" s="12"/>
      <c r="D5306" s="18"/>
      <c r="F5306" s="28"/>
    </row>
    <row r="5307" spans="3:6" x14ac:dyDescent="0.35">
      <c r="C5307" s="12"/>
      <c r="D5307" s="18"/>
      <c r="F5307" s="28"/>
    </row>
    <row r="5308" spans="3:6" x14ac:dyDescent="0.35">
      <c r="C5308" s="12"/>
      <c r="D5308" s="18"/>
      <c r="F5308" s="28"/>
    </row>
    <row r="5309" spans="3:6" x14ac:dyDescent="0.35">
      <c r="C5309" s="12"/>
      <c r="D5309" s="18"/>
      <c r="F5309" s="28"/>
    </row>
    <row r="5310" spans="3:6" x14ac:dyDescent="0.35">
      <c r="C5310" s="12"/>
      <c r="D5310" s="18"/>
      <c r="F5310" s="28"/>
    </row>
    <row r="5311" spans="3:6" x14ac:dyDescent="0.35">
      <c r="C5311" s="12"/>
      <c r="D5311" s="18"/>
      <c r="F5311" s="28"/>
    </row>
    <row r="5312" spans="3:6" x14ac:dyDescent="0.35">
      <c r="C5312" s="13"/>
      <c r="D5312" s="18"/>
      <c r="F5312" s="28"/>
    </row>
    <row r="5313" spans="3:6" x14ac:dyDescent="0.35">
      <c r="C5313" s="13"/>
      <c r="D5313" s="18"/>
      <c r="F5313" s="28"/>
    </row>
    <row r="5314" spans="3:6" x14ac:dyDescent="0.35">
      <c r="C5314" s="13"/>
      <c r="D5314" s="18"/>
      <c r="F5314" s="28"/>
    </row>
    <row r="5315" spans="3:6" x14ac:dyDescent="0.35">
      <c r="C5315" s="13"/>
      <c r="D5315" s="18"/>
      <c r="F5315" s="28"/>
    </row>
    <row r="5316" spans="3:6" x14ac:dyDescent="0.35">
      <c r="C5316" s="13"/>
      <c r="D5316" s="18"/>
      <c r="F5316" s="28"/>
    </row>
    <row r="5317" spans="3:6" x14ac:dyDescent="0.35">
      <c r="C5317" s="13"/>
      <c r="D5317" s="18"/>
      <c r="F5317" s="28"/>
    </row>
    <row r="5318" spans="3:6" x14ac:dyDescent="0.35">
      <c r="C5318" s="14"/>
      <c r="D5318" s="18"/>
      <c r="F5318" s="28"/>
    </row>
    <row r="5319" spans="3:6" x14ac:dyDescent="0.35">
      <c r="C5319" s="14"/>
      <c r="D5319" s="18"/>
      <c r="F5319" s="28"/>
    </row>
    <row r="5320" spans="3:6" x14ac:dyDescent="0.35">
      <c r="C5320" s="14"/>
      <c r="D5320" s="18"/>
      <c r="F5320" s="28"/>
    </row>
    <row r="5321" spans="3:6" x14ac:dyDescent="0.35">
      <c r="C5321" s="14"/>
      <c r="D5321" s="18"/>
      <c r="F5321" s="28"/>
    </row>
    <row r="5322" spans="3:6" x14ac:dyDescent="0.35">
      <c r="C5322" s="14"/>
      <c r="D5322" s="18"/>
      <c r="F5322" s="28"/>
    </row>
    <row r="5323" spans="3:6" x14ac:dyDescent="0.35">
      <c r="C5323" s="14"/>
      <c r="D5323" s="18"/>
      <c r="F5323" s="28"/>
    </row>
    <row r="5324" spans="3:6" x14ac:dyDescent="0.35">
      <c r="C5324" s="15"/>
      <c r="D5324" s="18"/>
      <c r="F5324" s="28"/>
    </row>
    <row r="5325" spans="3:6" x14ac:dyDescent="0.35">
      <c r="C5325" s="15"/>
      <c r="D5325" s="18"/>
      <c r="F5325" s="28"/>
    </row>
    <row r="5326" spans="3:6" x14ac:dyDescent="0.35">
      <c r="C5326" s="15"/>
      <c r="D5326" s="18"/>
      <c r="F5326" s="28"/>
    </row>
    <row r="5327" spans="3:6" x14ac:dyDescent="0.35">
      <c r="C5327" s="15"/>
      <c r="D5327" s="18"/>
      <c r="F5327" s="28"/>
    </row>
    <row r="5328" spans="3:6" x14ac:dyDescent="0.35">
      <c r="C5328" s="15"/>
      <c r="D5328" s="18"/>
      <c r="F5328" s="28"/>
    </row>
    <row r="5329" spans="3:6" x14ac:dyDescent="0.35">
      <c r="C5329" s="15"/>
      <c r="D5329" s="18"/>
      <c r="F5329" s="28"/>
    </row>
    <row r="5330" spans="3:6" x14ac:dyDescent="0.35">
      <c r="C5330" s="7"/>
      <c r="D5330" s="18"/>
      <c r="F5330" s="28"/>
    </row>
    <row r="5331" spans="3:6" x14ac:dyDescent="0.35">
      <c r="C5331" s="7"/>
      <c r="D5331" s="18"/>
      <c r="F5331" s="28"/>
    </row>
    <row r="5332" spans="3:6" x14ac:dyDescent="0.35">
      <c r="C5332" s="7"/>
      <c r="D5332" s="18"/>
      <c r="F5332" s="28"/>
    </row>
    <row r="5333" spans="3:6" x14ac:dyDescent="0.35">
      <c r="C5333" s="7"/>
      <c r="D5333" s="18"/>
      <c r="F5333" s="28"/>
    </row>
    <row r="5334" spans="3:6" x14ac:dyDescent="0.35">
      <c r="C5334" s="7"/>
      <c r="D5334" s="18"/>
      <c r="F5334" s="28"/>
    </row>
    <row r="5335" spans="3:6" x14ac:dyDescent="0.35">
      <c r="C5335" s="7"/>
      <c r="D5335" s="18"/>
      <c r="F5335" s="28"/>
    </row>
    <row r="5336" spans="3:6" x14ac:dyDescent="0.35">
      <c r="C5336" s="16"/>
      <c r="D5336" s="18"/>
      <c r="F5336" s="28"/>
    </row>
    <row r="5337" spans="3:6" x14ac:dyDescent="0.35">
      <c r="C5337" s="16"/>
      <c r="D5337" s="18"/>
      <c r="F5337" s="28"/>
    </row>
    <row r="5338" spans="3:6" x14ac:dyDescent="0.35">
      <c r="C5338" s="16"/>
      <c r="D5338" s="18"/>
      <c r="F5338" s="28"/>
    </row>
    <row r="5339" spans="3:6" x14ac:dyDescent="0.35">
      <c r="C5339" s="16"/>
      <c r="D5339" s="18"/>
      <c r="F5339" s="28"/>
    </row>
    <row r="5340" spans="3:6" x14ac:dyDescent="0.35">
      <c r="C5340" s="16"/>
      <c r="D5340" s="18"/>
      <c r="F5340" s="28"/>
    </row>
    <row r="5341" spans="3:6" x14ac:dyDescent="0.35">
      <c r="C5341" s="16"/>
      <c r="D5341" s="18"/>
      <c r="F5341" s="28"/>
    </row>
    <row r="5342" spans="3:6" x14ac:dyDescent="0.35">
      <c r="C5342" s="7"/>
      <c r="D5342" s="18"/>
      <c r="F5342" s="28"/>
    </row>
    <row r="5343" spans="3:6" x14ac:dyDescent="0.35">
      <c r="C5343" s="7"/>
      <c r="D5343" s="18"/>
      <c r="F5343" s="28"/>
    </row>
    <row r="5344" spans="3:6" x14ac:dyDescent="0.35">
      <c r="C5344" s="7"/>
      <c r="D5344" s="18"/>
      <c r="F5344" s="28"/>
    </row>
    <row r="5345" spans="3:6" x14ac:dyDescent="0.35">
      <c r="C5345" s="7"/>
      <c r="D5345" s="18"/>
      <c r="F5345" s="28"/>
    </row>
    <row r="5346" spans="3:6" x14ac:dyDescent="0.35">
      <c r="C5346" s="7"/>
      <c r="D5346" s="18"/>
      <c r="F5346" s="28"/>
    </row>
    <row r="5347" spans="3:6" x14ac:dyDescent="0.35">
      <c r="C5347" s="7"/>
      <c r="D5347" s="18"/>
      <c r="F5347" s="28"/>
    </row>
    <row r="5348" spans="3:6" x14ac:dyDescent="0.35">
      <c r="C5348" s="7"/>
      <c r="D5348" s="18"/>
      <c r="F5348" s="28"/>
    </row>
    <row r="5349" spans="3:6" x14ac:dyDescent="0.35">
      <c r="C5349" s="7"/>
      <c r="D5349" s="18"/>
      <c r="F5349" s="28"/>
    </row>
    <row r="5350" spans="3:6" x14ac:dyDescent="0.35">
      <c r="C5350" s="7"/>
      <c r="D5350" s="18"/>
      <c r="F5350" s="28"/>
    </row>
    <row r="5351" spans="3:6" x14ac:dyDescent="0.35">
      <c r="C5351" s="7"/>
      <c r="D5351" s="18"/>
      <c r="F5351" s="28"/>
    </row>
    <row r="5352" spans="3:6" x14ac:dyDescent="0.35">
      <c r="C5352" s="7"/>
      <c r="D5352" s="18"/>
      <c r="F5352" s="28"/>
    </row>
    <row r="5353" spans="3:6" x14ac:dyDescent="0.35">
      <c r="C5353" s="7"/>
      <c r="D5353" s="18"/>
      <c r="F5353" s="28"/>
    </row>
    <row r="5354" spans="3:6" x14ac:dyDescent="0.35">
      <c r="C5354" s="8"/>
      <c r="D5354" s="18"/>
      <c r="F5354" s="28"/>
    </row>
    <row r="5355" spans="3:6" x14ac:dyDescent="0.35">
      <c r="C5355" s="8"/>
      <c r="D5355" s="18"/>
      <c r="F5355" s="28"/>
    </row>
    <row r="5356" spans="3:6" x14ac:dyDescent="0.35">
      <c r="C5356" s="8"/>
      <c r="D5356" s="18"/>
      <c r="F5356" s="28"/>
    </row>
    <row r="5357" spans="3:6" x14ac:dyDescent="0.35">
      <c r="C5357" s="8"/>
      <c r="D5357" s="18"/>
      <c r="F5357" s="28"/>
    </row>
    <row r="5358" spans="3:6" x14ac:dyDescent="0.35">
      <c r="C5358" s="8"/>
      <c r="D5358" s="18"/>
      <c r="F5358" s="28"/>
    </row>
    <row r="5359" spans="3:6" x14ac:dyDescent="0.35">
      <c r="C5359" s="8"/>
      <c r="D5359" s="18"/>
      <c r="F5359" s="28"/>
    </row>
    <row r="5360" spans="3:6" x14ac:dyDescent="0.35">
      <c r="C5360" s="9"/>
      <c r="D5360" s="18"/>
      <c r="F5360" s="28"/>
    </row>
    <row r="5361" spans="3:6" x14ac:dyDescent="0.35">
      <c r="C5361" s="9"/>
      <c r="D5361" s="18"/>
      <c r="F5361" s="28"/>
    </row>
    <row r="5362" spans="3:6" x14ac:dyDescent="0.35">
      <c r="C5362" s="9"/>
      <c r="D5362" s="18"/>
      <c r="F5362" s="28"/>
    </row>
    <row r="5363" spans="3:6" x14ac:dyDescent="0.35">
      <c r="C5363" s="9"/>
      <c r="D5363" s="18"/>
      <c r="F5363" s="28"/>
    </row>
    <row r="5364" spans="3:6" x14ac:dyDescent="0.35">
      <c r="C5364" s="9"/>
      <c r="D5364" s="18"/>
      <c r="F5364" s="28"/>
    </row>
    <row r="5365" spans="3:6" x14ac:dyDescent="0.35">
      <c r="C5365" s="9"/>
      <c r="D5365" s="18"/>
      <c r="F5365" s="28"/>
    </row>
    <row r="5366" spans="3:6" x14ac:dyDescent="0.35">
      <c r="C5366" s="10"/>
      <c r="D5366" s="18"/>
      <c r="F5366" s="28"/>
    </row>
    <row r="5367" spans="3:6" x14ac:dyDescent="0.35">
      <c r="C5367" s="10"/>
      <c r="D5367" s="18"/>
      <c r="F5367" s="28"/>
    </row>
    <row r="5368" spans="3:6" x14ac:dyDescent="0.35">
      <c r="C5368" s="10"/>
      <c r="D5368" s="18"/>
      <c r="F5368" s="28"/>
    </row>
    <row r="5369" spans="3:6" x14ac:dyDescent="0.35">
      <c r="C5369" s="10"/>
      <c r="D5369" s="18"/>
      <c r="F5369" s="28"/>
    </row>
    <row r="5370" spans="3:6" x14ac:dyDescent="0.35">
      <c r="C5370" s="10"/>
      <c r="D5370" s="18"/>
      <c r="F5370" s="28"/>
    </row>
    <row r="5371" spans="3:6" x14ac:dyDescent="0.35">
      <c r="C5371" s="10"/>
      <c r="D5371" s="18"/>
      <c r="F5371" s="28"/>
    </row>
    <row r="5372" spans="3:6" x14ac:dyDescent="0.35">
      <c r="C5372" s="11"/>
      <c r="D5372" s="18"/>
      <c r="F5372" s="28"/>
    </row>
    <row r="5373" spans="3:6" x14ac:dyDescent="0.35">
      <c r="C5373" s="11"/>
      <c r="D5373" s="18"/>
      <c r="F5373" s="28"/>
    </row>
    <row r="5374" spans="3:6" x14ac:dyDescent="0.35">
      <c r="C5374" s="11"/>
      <c r="D5374" s="18"/>
      <c r="F5374" s="28"/>
    </row>
    <row r="5375" spans="3:6" x14ac:dyDescent="0.35">
      <c r="C5375" s="11"/>
      <c r="D5375" s="18"/>
      <c r="F5375" s="28"/>
    </row>
    <row r="5376" spans="3:6" x14ac:dyDescent="0.35">
      <c r="C5376" s="11"/>
      <c r="D5376" s="18"/>
      <c r="F5376" s="28"/>
    </row>
    <row r="5377" spans="3:6" x14ac:dyDescent="0.35">
      <c r="C5377" s="11"/>
      <c r="D5377" s="18"/>
      <c r="F5377" s="28"/>
    </row>
    <row r="5378" spans="3:6" x14ac:dyDescent="0.35">
      <c r="C5378" s="12"/>
      <c r="D5378" s="18"/>
      <c r="F5378" s="28"/>
    </row>
    <row r="5379" spans="3:6" x14ac:dyDescent="0.35">
      <c r="C5379" s="12"/>
      <c r="D5379" s="18"/>
      <c r="F5379" s="28"/>
    </row>
    <row r="5380" spans="3:6" x14ac:dyDescent="0.35">
      <c r="C5380" s="12"/>
      <c r="D5380" s="18"/>
      <c r="F5380" s="28"/>
    </row>
    <row r="5381" spans="3:6" x14ac:dyDescent="0.35">
      <c r="C5381" s="12"/>
      <c r="D5381" s="18"/>
      <c r="F5381" s="28"/>
    </row>
    <row r="5382" spans="3:6" x14ac:dyDescent="0.35">
      <c r="C5382" s="12"/>
      <c r="D5382" s="18"/>
      <c r="F5382" s="28"/>
    </row>
    <row r="5383" spans="3:6" x14ac:dyDescent="0.35">
      <c r="C5383" s="12"/>
      <c r="D5383" s="18"/>
      <c r="F5383" s="28"/>
    </row>
    <row r="5384" spans="3:6" x14ac:dyDescent="0.35">
      <c r="C5384" s="13"/>
      <c r="D5384" s="18"/>
      <c r="F5384" s="28"/>
    </row>
    <row r="5385" spans="3:6" x14ac:dyDescent="0.35">
      <c r="C5385" s="13"/>
      <c r="D5385" s="18"/>
      <c r="F5385" s="28"/>
    </row>
    <row r="5386" spans="3:6" x14ac:dyDescent="0.35">
      <c r="C5386" s="13"/>
      <c r="D5386" s="18"/>
      <c r="F5386" s="28"/>
    </row>
    <row r="5387" spans="3:6" x14ac:dyDescent="0.35">
      <c r="C5387" s="13"/>
      <c r="D5387" s="18"/>
      <c r="F5387" s="28"/>
    </row>
    <row r="5388" spans="3:6" x14ac:dyDescent="0.35">
      <c r="C5388" s="13"/>
      <c r="D5388" s="18"/>
      <c r="F5388" s="28"/>
    </row>
    <row r="5389" spans="3:6" x14ac:dyDescent="0.35">
      <c r="C5389" s="13"/>
      <c r="D5389" s="18"/>
      <c r="F5389" s="28"/>
    </row>
    <row r="5390" spans="3:6" x14ac:dyDescent="0.35">
      <c r="C5390" s="14"/>
      <c r="D5390" s="18"/>
      <c r="F5390" s="28"/>
    </row>
    <row r="5391" spans="3:6" x14ac:dyDescent="0.35">
      <c r="C5391" s="14"/>
      <c r="D5391" s="18"/>
      <c r="F5391" s="28"/>
    </row>
    <row r="5392" spans="3:6" x14ac:dyDescent="0.35">
      <c r="C5392" s="14"/>
      <c r="D5392" s="18"/>
      <c r="F5392" s="28"/>
    </row>
    <row r="5393" spans="3:6" x14ac:dyDescent="0.35">
      <c r="C5393" s="14"/>
      <c r="D5393" s="18"/>
      <c r="F5393" s="28"/>
    </row>
    <row r="5394" spans="3:6" x14ac:dyDescent="0.35">
      <c r="C5394" s="14"/>
      <c r="D5394" s="18"/>
      <c r="F5394" s="28"/>
    </row>
    <row r="5395" spans="3:6" x14ac:dyDescent="0.35">
      <c r="C5395" s="14"/>
      <c r="D5395" s="18"/>
      <c r="F5395" s="28"/>
    </row>
    <row r="5396" spans="3:6" x14ac:dyDescent="0.35">
      <c r="C5396" s="15"/>
      <c r="D5396" s="18"/>
      <c r="F5396" s="28"/>
    </row>
    <row r="5397" spans="3:6" x14ac:dyDescent="0.35">
      <c r="C5397" s="15"/>
      <c r="D5397" s="18"/>
      <c r="F5397" s="28"/>
    </row>
    <row r="5398" spans="3:6" x14ac:dyDescent="0.35">
      <c r="C5398" s="15"/>
      <c r="D5398" s="18"/>
      <c r="F5398" s="28"/>
    </row>
    <row r="5399" spans="3:6" x14ac:dyDescent="0.35">
      <c r="C5399" s="15"/>
      <c r="D5399" s="18"/>
      <c r="F5399" s="28"/>
    </row>
    <row r="5400" spans="3:6" x14ac:dyDescent="0.35">
      <c r="C5400" s="15"/>
      <c r="D5400" s="18"/>
      <c r="F5400" s="28"/>
    </row>
    <row r="5401" spans="3:6" x14ac:dyDescent="0.35">
      <c r="C5401" s="15"/>
      <c r="D5401" s="18"/>
      <c r="F5401" s="28"/>
    </row>
    <row r="5402" spans="3:6" x14ac:dyDescent="0.35">
      <c r="C5402" s="7"/>
      <c r="D5402" s="18"/>
      <c r="F5402" s="28"/>
    </row>
    <row r="5403" spans="3:6" x14ac:dyDescent="0.35">
      <c r="C5403" s="7"/>
      <c r="D5403" s="18"/>
      <c r="F5403" s="28"/>
    </row>
    <row r="5404" spans="3:6" x14ac:dyDescent="0.35">
      <c r="C5404" s="7"/>
      <c r="D5404" s="18"/>
      <c r="F5404" s="28"/>
    </row>
    <row r="5405" spans="3:6" x14ac:dyDescent="0.35">
      <c r="C5405" s="7"/>
      <c r="D5405" s="18"/>
      <c r="F5405" s="28"/>
    </row>
    <row r="5406" spans="3:6" x14ac:dyDescent="0.35">
      <c r="C5406" s="7"/>
      <c r="D5406" s="18"/>
      <c r="F5406" s="28"/>
    </row>
    <row r="5407" spans="3:6" x14ac:dyDescent="0.35">
      <c r="C5407" s="7"/>
      <c r="D5407" s="18"/>
      <c r="F5407" s="28"/>
    </row>
    <row r="5408" spans="3:6" x14ac:dyDescent="0.35">
      <c r="C5408" s="16"/>
      <c r="D5408" s="18"/>
      <c r="F5408" s="28"/>
    </row>
    <row r="5409" spans="3:6" x14ac:dyDescent="0.35">
      <c r="C5409" s="16"/>
      <c r="D5409" s="18"/>
      <c r="F5409" s="28"/>
    </row>
    <row r="5410" spans="3:6" x14ac:dyDescent="0.35">
      <c r="C5410" s="16"/>
      <c r="D5410" s="18"/>
      <c r="F5410" s="28"/>
    </row>
    <row r="5411" spans="3:6" x14ac:dyDescent="0.35">
      <c r="C5411" s="16"/>
      <c r="D5411" s="18"/>
      <c r="F5411" s="28"/>
    </row>
    <row r="5412" spans="3:6" x14ac:dyDescent="0.35">
      <c r="C5412" s="16"/>
      <c r="D5412" s="18"/>
      <c r="F5412" s="28"/>
    </row>
    <row r="5413" spans="3:6" x14ac:dyDescent="0.35">
      <c r="C5413" s="16"/>
      <c r="D5413" s="18"/>
      <c r="F5413" s="28"/>
    </row>
    <row r="5414" spans="3:6" x14ac:dyDescent="0.35">
      <c r="C5414" s="7"/>
      <c r="D5414" s="18"/>
      <c r="F5414" s="28"/>
    </row>
    <row r="5415" spans="3:6" x14ac:dyDescent="0.35">
      <c r="C5415" s="7"/>
      <c r="D5415" s="18"/>
      <c r="F5415" s="28"/>
    </row>
    <row r="5416" spans="3:6" x14ac:dyDescent="0.35">
      <c r="C5416" s="7"/>
      <c r="D5416" s="18"/>
      <c r="F5416" s="28"/>
    </row>
    <row r="5417" spans="3:6" x14ac:dyDescent="0.35">
      <c r="C5417" s="7"/>
      <c r="D5417" s="18"/>
      <c r="F5417" s="28"/>
    </row>
    <row r="5418" spans="3:6" x14ac:dyDescent="0.35">
      <c r="C5418" s="7"/>
      <c r="D5418" s="18"/>
      <c r="F5418" s="28"/>
    </row>
    <row r="5419" spans="3:6" x14ac:dyDescent="0.35">
      <c r="C5419" s="7"/>
      <c r="D5419" s="18"/>
      <c r="F5419" s="28"/>
    </row>
    <row r="5420" spans="3:6" x14ac:dyDescent="0.35">
      <c r="C5420" s="7"/>
      <c r="D5420" s="18"/>
      <c r="F5420" s="28"/>
    </row>
    <row r="5421" spans="3:6" x14ac:dyDescent="0.35">
      <c r="C5421" s="7"/>
      <c r="D5421" s="18"/>
      <c r="F5421" s="28"/>
    </row>
    <row r="5422" spans="3:6" x14ac:dyDescent="0.35">
      <c r="C5422" s="7"/>
      <c r="D5422" s="18"/>
      <c r="F5422" s="28"/>
    </row>
    <row r="5423" spans="3:6" x14ac:dyDescent="0.35">
      <c r="C5423" s="7"/>
      <c r="D5423" s="18"/>
      <c r="F5423" s="28"/>
    </row>
    <row r="5424" spans="3:6" x14ac:dyDescent="0.35">
      <c r="C5424" s="7"/>
      <c r="D5424" s="18"/>
      <c r="F5424" s="28"/>
    </row>
    <row r="5425" spans="3:6" x14ac:dyDescent="0.35">
      <c r="C5425" s="7"/>
      <c r="D5425" s="18"/>
      <c r="F5425" s="28"/>
    </row>
    <row r="5426" spans="3:6" x14ac:dyDescent="0.35">
      <c r="C5426" s="8"/>
      <c r="D5426" s="18"/>
      <c r="F5426" s="28"/>
    </row>
    <row r="5427" spans="3:6" x14ac:dyDescent="0.35">
      <c r="C5427" s="8"/>
      <c r="D5427" s="18"/>
      <c r="F5427" s="28"/>
    </row>
    <row r="5428" spans="3:6" x14ac:dyDescent="0.35">
      <c r="C5428" s="8"/>
      <c r="D5428" s="18"/>
      <c r="F5428" s="28"/>
    </row>
    <row r="5429" spans="3:6" x14ac:dyDescent="0.35">
      <c r="C5429" s="8"/>
      <c r="D5429" s="18"/>
      <c r="F5429" s="28"/>
    </row>
    <row r="5430" spans="3:6" x14ac:dyDescent="0.35">
      <c r="C5430" s="8"/>
      <c r="D5430" s="18"/>
      <c r="F5430" s="28"/>
    </row>
    <row r="5431" spans="3:6" x14ac:dyDescent="0.35">
      <c r="C5431" s="8"/>
      <c r="D5431" s="18"/>
      <c r="F5431" s="28"/>
    </row>
    <row r="5432" spans="3:6" x14ac:dyDescent="0.35">
      <c r="C5432" s="9"/>
      <c r="D5432" s="18"/>
      <c r="F5432" s="28"/>
    </row>
    <row r="5433" spans="3:6" x14ac:dyDescent="0.35">
      <c r="C5433" s="9"/>
      <c r="D5433" s="18"/>
      <c r="F5433" s="28"/>
    </row>
    <row r="5434" spans="3:6" x14ac:dyDescent="0.35">
      <c r="C5434" s="9"/>
      <c r="D5434" s="18"/>
      <c r="F5434" s="28"/>
    </row>
    <row r="5435" spans="3:6" x14ac:dyDescent="0.35">
      <c r="C5435" s="9"/>
      <c r="D5435" s="18"/>
      <c r="F5435" s="28"/>
    </row>
    <row r="5436" spans="3:6" x14ac:dyDescent="0.35">
      <c r="C5436" s="9"/>
      <c r="D5436" s="18"/>
      <c r="F5436" s="28"/>
    </row>
    <row r="5437" spans="3:6" x14ac:dyDescent="0.35">
      <c r="C5437" s="9"/>
      <c r="D5437" s="18"/>
      <c r="F5437" s="28"/>
    </row>
    <row r="5438" spans="3:6" x14ac:dyDescent="0.35">
      <c r="C5438" s="10"/>
      <c r="D5438" s="18"/>
      <c r="F5438" s="28"/>
    </row>
    <row r="5439" spans="3:6" x14ac:dyDescent="0.35">
      <c r="C5439" s="10"/>
      <c r="D5439" s="18"/>
      <c r="F5439" s="28"/>
    </row>
    <row r="5440" spans="3:6" x14ac:dyDescent="0.35">
      <c r="C5440" s="10"/>
      <c r="D5440" s="18"/>
      <c r="F5440" s="28"/>
    </row>
    <row r="5441" spans="3:6" x14ac:dyDescent="0.35">
      <c r="C5441" s="10"/>
      <c r="D5441" s="18"/>
      <c r="F5441" s="28"/>
    </row>
    <row r="5442" spans="3:6" x14ac:dyDescent="0.35">
      <c r="C5442" s="10"/>
      <c r="D5442" s="18"/>
      <c r="F5442" s="28"/>
    </row>
    <row r="5443" spans="3:6" x14ac:dyDescent="0.35">
      <c r="C5443" s="10"/>
      <c r="D5443" s="18"/>
      <c r="F5443" s="28"/>
    </row>
    <row r="5444" spans="3:6" x14ac:dyDescent="0.35">
      <c r="C5444" s="11"/>
      <c r="D5444" s="18"/>
      <c r="F5444" s="28"/>
    </row>
    <row r="5445" spans="3:6" x14ac:dyDescent="0.35">
      <c r="C5445" s="11"/>
      <c r="D5445" s="18"/>
      <c r="F5445" s="28"/>
    </row>
    <row r="5446" spans="3:6" x14ac:dyDescent="0.35">
      <c r="C5446" s="11"/>
      <c r="D5446" s="18"/>
      <c r="F5446" s="28"/>
    </row>
    <row r="5447" spans="3:6" x14ac:dyDescent="0.35">
      <c r="C5447" s="11"/>
      <c r="D5447" s="18"/>
      <c r="F5447" s="28"/>
    </row>
    <row r="5448" spans="3:6" x14ac:dyDescent="0.35">
      <c r="C5448" s="11"/>
      <c r="D5448" s="18"/>
      <c r="F5448" s="28"/>
    </row>
    <row r="5449" spans="3:6" x14ac:dyDescent="0.35">
      <c r="C5449" s="11"/>
      <c r="D5449" s="18"/>
      <c r="F5449" s="28"/>
    </row>
    <row r="5450" spans="3:6" x14ac:dyDescent="0.35">
      <c r="C5450" s="12"/>
      <c r="D5450" s="18"/>
      <c r="F5450" s="28"/>
    </row>
    <row r="5451" spans="3:6" x14ac:dyDescent="0.35">
      <c r="C5451" s="12"/>
      <c r="D5451" s="18"/>
      <c r="F5451" s="28"/>
    </row>
    <row r="5452" spans="3:6" x14ac:dyDescent="0.35">
      <c r="C5452" s="12"/>
      <c r="D5452" s="18"/>
      <c r="F5452" s="28"/>
    </row>
    <row r="5453" spans="3:6" x14ac:dyDescent="0.35">
      <c r="C5453" s="12"/>
      <c r="D5453" s="18"/>
      <c r="F5453" s="28"/>
    </row>
    <row r="5454" spans="3:6" x14ac:dyDescent="0.35">
      <c r="C5454" s="12"/>
      <c r="D5454" s="18"/>
      <c r="F5454" s="28"/>
    </row>
    <row r="5455" spans="3:6" x14ac:dyDescent="0.35">
      <c r="C5455" s="12"/>
      <c r="D5455" s="18"/>
      <c r="F5455" s="28"/>
    </row>
    <row r="5456" spans="3:6" x14ac:dyDescent="0.35">
      <c r="C5456" s="13"/>
      <c r="D5456" s="18"/>
      <c r="F5456" s="28"/>
    </row>
    <row r="5457" spans="3:6" x14ac:dyDescent="0.35">
      <c r="C5457" s="13"/>
      <c r="D5457" s="18"/>
      <c r="F5457" s="28"/>
    </row>
    <row r="5458" spans="3:6" x14ac:dyDescent="0.35">
      <c r="C5458" s="13"/>
      <c r="D5458" s="18"/>
      <c r="F5458" s="28"/>
    </row>
    <row r="5459" spans="3:6" x14ac:dyDescent="0.35">
      <c r="C5459" s="13"/>
      <c r="D5459" s="18"/>
      <c r="F5459" s="28"/>
    </row>
    <row r="5460" spans="3:6" x14ac:dyDescent="0.35">
      <c r="C5460" s="13"/>
      <c r="D5460" s="18"/>
      <c r="F5460" s="28"/>
    </row>
    <row r="5461" spans="3:6" x14ac:dyDescent="0.35">
      <c r="C5461" s="13"/>
      <c r="D5461" s="18"/>
      <c r="F5461" s="28"/>
    </row>
    <row r="5462" spans="3:6" x14ac:dyDescent="0.35">
      <c r="C5462" s="14"/>
      <c r="D5462" s="18"/>
      <c r="F5462" s="28"/>
    </row>
    <row r="5463" spans="3:6" x14ac:dyDescent="0.35">
      <c r="C5463" s="14"/>
      <c r="D5463" s="18"/>
      <c r="F5463" s="28"/>
    </row>
    <row r="5464" spans="3:6" x14ac:dyDescent="0.35">
      <c r="C5464" s="14"/>
      <c r="D5464" s="18"/>
      <c r="F5464" s="28"/>
    </row>
    <row r="5465" spans="3:6" x14ac:dyDescent="0.35">
      <c r="C5465" s="14"/>
      <c r="D5465" s="18"/>
      <c r="F5465" s="28"/>
    </row>
    <row r="5466" spans="3:6" x14ac:dyDescent="0.35">
      <c r="C5466" s="14"/>
      <c r="D5466" s="18"/>
      <c r="F5466" s="28"/>
    </row>
    <row r="5467" spans="3:6" x14ac:dyDescent="0.35">
      <c r="C5467" s="14"/>
      <c r="D5467" s="18"/>
      <c r="F5467" s="28"/>
    </row>
    <row r="5468" spans="3:6" x14ac:dyDescent="0.35">
      <c r="C5468" s="15"/>
      <c r="D5468" s="18"/>
      <c r="F5468" s="28"/>
    </row>
    <row r="5469" spans="3:6" x14ac:dyDescent="0.35">
      <c r="C5469" s="15"/>
      <c r="D5469" s="18"/>
      <c r="F5469" s="28"/>
    </row>
    <row r="5470" spans="3:6" x14ac:dyDescent="0.35">
      <c r="C5470" s="15"/>
      <c r="D5470" s="18"/>
      <c r="F5470" s="28"/>
    </row>
    <row r="5471" spans="3:6" x14ac:dyDescent="0.35">
      <c r="C5471" s="15"/>
      <c r="D5471" s="18"/>
      <c r="F5471" s="28"/>
    </row>
    <row r="5472" spans="3:6" x14ac:dyDescent="0.35">
      <c r="C5472" s="15"/>
      <c r="D5472" s="18"/>
      <c r="F5472" s="28"/>
    </row>
    <row r="5473" spans="3:6" x14ac:dyDescent="0.35">
      <c r="C5473" s="15"/>
      <c r="D5473" s="18"/>
      <c r="F5473" s="28"/>
    </row>
    <row r="5474" spans="3:6" x14ac:dyDescent="0.35">
      <c r="C5474" s="7"/>
      <c r="D5474" s="18"/>
      <c r="F5474" s="28"/>
    </row>
    <row r="5475" spans="3:6" x14ac:dyDescent="0.35">
      <c r="C5475" s="7"/>
      <c r="D5475" s="18"/>
      <c r="F5475" s="28"/>
    </row>
    <row r="5476" spans="3:6" x14ac:dyDescent="0.35">
      <c r="C5476" s="7"/>
      <c r="D5476" s="18"/>
      <c r="F5476" s="28"/>
    </row>
    <row r="5477" spans="3:6" x14ac:dyDescent="0.35">
      <c r="C5477" s="7"/>
      <c r="D5477" s="18"/>
      <c r="F5477" s="28"/>
    </row>
    <row r="5478" spans="3:6" x14ac:dyDescent="0.35">
      <c r="C5478" s="7"/>
      <c r="D5478" s="18"/>
      <c r="F5478" s="28"/>
    </row>
    <row r="5479" spans="3:6" x14ac:dyDescent="0.35">
      <c r="C5479" s="7"/>
      <c r="D5479" s="18"/>
      <c r="F5479" s="28"/>
    </row>
    <row r="5480" spans="3:6" x14ac:dyDescent="0.35">
      <c r="C5480" s="16"/>
      <c r="D5480" s="18"/>
      <c r="F5480" s="28"/>
    </row>
    <row r="5481" spans="3:6" x14ac:dyDescent="0.35">
      <c r="C5481" s="16"/>
      <c r="D5481" s="18"/>
      <c r="F5481" s="28"/>
    </row>
    <row r="5482" spans="3:6" x14ac:dyDescent="0.35">
      <c r="C5482" s="16"/>
      <c r="D5482" s="18"/>
      <c r="F5482" s="28"/>
    </row>
    <row r="5483" spans="3:6" x14ac:dyDescent="0.35">
      <c r="C5483" s="16"/>
      <c r="D5483" s="18"/>
      <c r="F5483" s="28"/>
    </row>
    <row r="5484" spans="3:6" x14ac:dyDescent="0.35">
      <c r="C5484" s="16"/>
      <c r="D5484" s="18"/>
      <c r="F5484" s="28"/>
    </row>
    <row r="5485" spans="3:6" x14ac:dyDescent="0.35">
      <c r="C5485" s="16"/>
      <c r="D5485" s="18"/>
      <c r="F5485" s="28"/>
    </row>
    <row r="5486" spans="3:6" x14ac:dyDescent="0.35">
      <c r="C5486" s="7"/>
      <c r="D5486" s="18"/>
      <c r="F5486" s="28"/>
    </row>
    <row r="5487" spans="3:6" x14ac:dyDescent="0.35">
      <c r="C5487" s="7"/>
      <c r="D5487" s="18"/>
      <c r="F5487" s="28"/>
    </row>
    <row r="5488" spans="3:6" x14ac:dyDescent="0.35">
      <c r="C5488" s="7"/>
      <c r="D5488" s="18"/>
      <c r="F5488" s="28"/>
    </row>
    <row r="5489" spans="3:6" x14ac:dyDescent="0.35">
      <c r="C5489" s="7"/>
      <c r="D5489" s="18"/>
      <c r="F5489" s="28"/>
    </row>
    <row r="5490" spans="3:6" x14ac:dyDescent="0.35">
      <c r="C5490" s="7"/>
      <c r="D5490" s="18"/>
      <c r="F5490" s="28"/>
    </row>
    <row r="5491" spans="3:6" x14ac:dyDescent="0.35">
      <c r="C5491" s="7"/>
      <c r="D5491" s="18"/>
      <c r="F5491" s="28"/>
    </row>
    <row r="5492" spans="3:6" x14ac:dyDescent="0.35">
      <c r="C5492" s="7"/>
      <c r="D5492" s="18"/>
      <c r="F5492" s="28"/>
    </row>
    <row r="5493" spans="3:6" x14ac:dyDescent="0.35">
      <c r="C5493" s="7"/>
      <c r="D5493" s="18"/>
      <c r="F5493" s="28"/>
    </row>
    <row r="5494" spans="3:6" x14ac:dyDescent="0.35">
      <c r="C5494" s="7"/>
      <c r="D5494" s="18"/>
      <c r="F5494" s="28"/>
    </row>
    <row r="5495" spans="3:6" x14ac:dyDescent="0.35">
      <c r="C5495" s="7"/>
      <c r="D5495" s="18"/>
      <c r="F5495" s="28"/>
    </row>
    <row r="5496" spans="3:6" x14ac:dyDescent="0.35">
      <c r="C5496" s="7"/>
      <c r="D5496" s="18"/>
      <c r="F5496" s="28"/>
    </row>
    <row r="5497" spans="3:6" x14ac:dyDescent="0.35">
      <c r="C5497" s="7"/>
      <c r="D5497" s="18"/>
      <c r="F5497" s="28"/>
    </row>
    <row r="5498" spans="3:6" x14ac:dyDescent="0.35">
      <c r="C5498" s="8"/>
      <c r="D5498" s="18"/>
      <c r="F5498" s="28"/>
    </row>
    <row r="5499" spans="3:6" x14ac:dyDescent="0.35">
      <c r="C5499" s="8"/>
      <c r="D5499" s="18"/>
      <c r="F5499" s="28"/>
    </row>
    <row r="5500" spans="3:6" x14ac:dyDescent="0.35">
      <c r="C5500" s="8"/>
      <c r="D5500" s="18"/>
      <c r="F5500" s="28"/>
    </row>
    <row r="5501" spans="3:6" x14ac:dyDescent="0.35">
      <c r="C5501" s="8"/>
      <c r="D5501" s="18"/>
      <c r="F5501" s="28"/>
    </row>
    <row r="5502" spans="3:6" x14ac:dyDescent="0.35">
      <c r="C5502" s="8"/>
      <c r="D5502" s="18"/>
      <c r="F5502" s="28"/>
    </row>
    <row r="5503" spans="3:6" x14ac:dyDescent="0.35">
      <c r="C5503" s="8"/>
      <c r="D5503" s="18"/>
      <c r="F5503" s="28"/>
    </row>
    <row r="5504" spans="3:6" x14ac:dyDescent="0.35">
      <c r="C5504" s="9"/>
      <c r="D5504" s="18"/>
      <c r="F5504" s="28"/>
    </row>
    <row r="5505" spans="3:6" x14ac:dyDescent="0.35">
      <c r="C5505" s="9"/>
      <c r="D5505" s="18"/>
      <c r="F5505" s="28"/>
    </row>
    <row r="5506" spans="3:6" x14ac:dyDescent="0.35">
      <c r="C5506" s="9"/>
      <c r="D5506" s="18"/>
      <c r="F5506" s="28"/>
    </row>
    <row r="5507" spans="3:6" x14ac:dyDescent="0.35">
      <c r="C5507" s="9"/>
      <c r="D5507" s="18"/>
      <c r="F5507" s="28"/>
    </row>
    <row r="5508" spans="3:6" x14ac:dyDescent="0.35">
      <c r="C5508" s="9"/>
      <c r="D5508" s="18"/>
      <c r="F5508" s="28"/>
    </row>
    <row r="5509" spans="3:6" x14ac:dyDescent="0.35">
      <c r="C5509" s="9"/>
      <c r="D5509" s="18"/>
      <c r="F5509" s="28"/>
    </row>
    <row r="5510" spans="3:6" x14ac:dyDescent="0.35">
      <c r="C5510" s="10"/>
      <c r="D5510" s="18"/>
      <c r="F5510" s="28"/>
    </row>
    <row r="5511" spans="3:6" x14ac:dyDescent="0.35">
      <c r="C5511" s="10"/>
      <c r="D5511" s="18"/>
      <c r="F5511" s="28"/>
    </row>
    <row r="5512" spans="3:6" x14ac:dyDescent="0.35">
      <c r="C5512" s="10"/>
      <c r="D5512" s="18"/>
      <c r="F5512" s="28"/>
    </row>
    <row r="5513" spans="3:6" x14ac:dyDescent="0.35">
      <c r="C5513" s="10"/>
      <c r="D5513" s="18"/>
      <c r="F5513" s="28"/>
    </row>
    <row r="5514" spans="3:6" x14ac:dyDescent="0.35">
      <c r="C5514" s="10"/>
      <c r="D5514" s="18"/>
      <c r="F5514" s="28"/>
    </row>
    <row r="5515" spans="3:6" x14ac:dyDescent="0.35">
      <c r="C5515" s="10"/>
      <c r="D5515" s="18"/>
      <c r="F5515" s="28"/>
    </row>
    <row r="5516" spans="3:6" x14ac:dyDescent="0.35">
      <c r="C5516" s="11"/>
      <c r="D5516" s="18"/>
      <c r="F5516" s="28"/>
    </row>
    <row r="5517" spans="3:6" x14ac:dyDescent="0.35">
      <c r="C5517" s="11"/>
      <c r="D5517" s="18"/>
      <c r="F5517" s="28"/>
    </row>
    <row r="5518" spans="3:6" x14ac:dyDescent="0.35">
      <c r="C5518" s="11"/>
      <c r="D5518" s="18"/>
      <c r="F5518" s="28"/>
    </row>
    <row r="5519" spans="3:6" x14ac:dyDescent="0.35">
      <c r="C5519" s="11"/>
      <c r="D5519" s="18"/>
      <c r="F5519" s="28"/>
    </row>
    <row r="5520" spans="3:6" x14ac:dyDescent="0.35">
      <c r="C5520" s="11"/>
      <c r="D5520" s="18"/>
      <c r="F5520" s="28"/>
    </row>
    <row r="5521" spans="3:6" x14ac:dyDescent="0.35">
      <c r="C5521" s="11"/>
      <c r="D5521" s="18"/>
      <c r="F5521" s="28"/>
    </row>
    <row r="5522" spans="3:6" x14ac:dyDescent="0.35">
      <c r="C5522" s="12"/>
      <c r="D5522" s="18"/>
      <c r="F5522" s="28"/>
    </row>
    <row r="5523" spans="3:6" x14ac:dyDescent="0.35">
      <c r="C5523" s="12"/>
      <c r="D5523" s="18"/>
      <c r="F5523" s="28"/>
    </row>
    <row r="5524" spans="3:6" x14ac:dyDescent="0.35">
      <c r="C5524" s="12"/>
      <c r="D5524" s="18"/>
      <c r="F5524" s="28"/>
    </row>
    <row r="5525" spans="3:6" x14ac:dyDescent="0.35">
      <c r="C5525" s="12"/>
      <c r="D5525" s="18"/>
      <c r="F5525" s="28"/>
    </row>
    <row r="5526" spans="3:6" x14ac:dyDescent="0.35">
      <c r="C5526" s="12"/>
      <c r="D5526" s="18"/>
      <c r="F5526" s="28"/>
    </row>
    <row r="5527" spans="3:6" x14ac:dyDescent="0.35">
      <c r="C5527" s="12"/>
      <c r="D5527" s="18"/>
      <c r="F5527" s="28"/>
    </row>
    <row r="5528" spans="3:6" x14ac:dyDescent="0.35">
      <c r="C5528" s="13"/>
      <c r="D5528" s="18"/>
      <c r="F5528" s="28"/>
    </row>
    <row r="5529" spans="3:6" x14ac:dyDescent="0.35">
      <c r="C5529" s="13"/>
      <c r="D5529" s="18"/>
      <c r="F5529" s="28"/>
    </row>
    <row r="5530" spans="3:6" x14ac:dyDescent="0.35">
      <c r="C5530" s="13"/>
      <c r="D5530" s="18"/>
      <c r="F5530" s="28"/>
    </row>
    <row r="5531" spans="3:6" x14ac:dyDescent="0.35">
      <c r="C5531" s="13"/>
      <c r="D5531" s="18"/>
      <c r="F5531" s="28"/>
    </row>
    <row r="5532" spans="3:6" x14ac:dyDescent="0.35">
      <c r="C5532" s="13"/>
      <c r="D5532" s="18"/>
      <c r="F5532" s="28"/>
    </row>
    <row r="5533" spans="3:6" x14ac:dyDescent="0.35">
      <c r="C5533" s="13"/>
      <c r="D5533" s="18"/>
      <c r="F5533" s="28"/>
    </row>
    <row r="5534" spans="3:6" x14ac:dyDescent="0.35">
      <c r="C5534" s="14"/>
      <c r="D5534" s="18"/>
      <c r="F5534" s="28"/>
    </row>
    <row r="5535" spans="3:6" x14ac:dyDescent="0.35">
      <c r="C5535" s="14"/>
      <c r="D5535" s="18"/>
      <c r="F5535" s="28"/>
    </row>
    <row r="5536" spans="3:6" x14ac:dyDescent="0.35">
      <c r="C5536" s="14"/>
      <c r="D5536" s="18"/>
      <c r="F5536" s="28"/>
    </row>
    <row r="5537" spans="3:6" x14ac:dyDescent="0.35">
      <c r="C5537" s="14"/>
      <c r="D5537" s="18"/>
      <c r="F5537" s="28"/>
    </row>
    <row r="5538" spans="3:6" x14ac:dyDescent="0.35">
      <c r="C5538" s="14"/>
      <c r="D5538" s="18"/>
      <c r="F5538" s="28"/>
    </row>
    <row r="5539" spans="3:6" x14ac:dyDescent="0.35">
      <c r="C5539" s="14"/>
      <c r="D5539" s="18"/>
      <c r="F5539" s="28"/>
    </row>
    <row r="5540" spans="3:6" x14ac:dyDescent="0.35">
      <c r="C5540" s="15"/>
      <c r="D5540" s="18"/>
      <c r="F5540" s="28"/>
    </row>
    <row r="5541" spans="3:6" x14ac:dyDescent="0.35">
      <c r="C5541" s="15"/>
      <c r="D5541" s="18"/>
      <c r="F5541" s="28"/>
    </row>
    <row r="5542" spans="3:6" x14ac:dyDescent="0.35">
      <c r="C5542" s="15"/>
      <c r="D5542" s="18"/>
      <c r="F5542" s="28"/>
    </row>
    <row r="5543" spans="3:6" x14ac:dyDescent="0.35">
      <c r="C5543" s="15"/>
      <c r="D5543" s="18"/>
      <c r="F5543" s="28"/>
    </row>
    <row r="5544" spans="3:6" x14ac:dyDescent="0.35">
      <c r="C5544" s="15"/>
      <c r="D5544" s="18"/>
      <c r="F5544" s="28"/>
    </row>
    <row r="5545" spans="3:6" x14ac:dyDescent="0.35">
      <c r="C5545" s="15"/>
      <c r="D5545" s="18"/>
      <c r="F5545" s="28"/>
    </row>
    <row r="5546" spans="3:6" x14ac:dyDescent="0.35">
      <c r="C5546" s="7"/>
      <c r="D5546" s="18"/>
      <c r="F5546" s="28"/>
    </row>
    <row r="5547" spans="3:6" x14ac:dyDescent="0.35">
      <c r="C5547" s="7"/>
      <c r="D5547" s="18"/>
      <c r="F5547" s="28"/>
    </row>
    <row r="5548" spans="3:6" x14ac:dyDescent="0.35">
      <c r="C5548" s="7"/>
      <c r="D5548" s="18"/>
      <c r="F5548" s="28"/>
    </row>
    <row r="5549" spans="3:6" x14ac:dyDescent="0.35">
      <c r="C5549" s="7"/>
      <c r="D5549" s="18"/>
      <c r="F5549" s="28"/>
    </row>
    <row r="5550" spans="3:6" x14ac:dyDescent="0.35">
      <c r="C5550" s="7"/>
      <c r="D5550" s="18"/>
      <c r="F5550" s="28"/>
    </row>
    <row r="5551" spans="3:6" x14ac:dyDescent="0.35">
      <c r="C5551" s="7"/>
      <c r="D5551" s="18"/>
      <c r="F5551" s="28"/>
    </row>
    <row r="5552" spans="3:6" x14ac:dyDescent="0.35">
      <c r="C5552" s="16"/>
      <c r="D5552" s="18"/>
      <c r="F5552" s="28"/>
    </row>
    <row r="5553" spans="3:6" x14ac:dyDescent="0.35">
      <c r="C5553" s="16"/>
      <c r="D5553" s="18"/>
      <c r="F5553" s="28"/>
    </row>
    <row r="5554" spans="3:6" x14ac:dyDescent="0.35">
      <c r="C5554" s="16"/>
      <c r="D5554" s="18"/>
      <c r="F5554" s="28"/>
    </row>
    <row r="5555" spans="3:6" x14ac:dyDescent="0.35">
      <c r="C5555" s="16"/>
      <c r="D5555" s="18"/>
      <c r="F5555" s="28"/>
    </row>
    <row r="5556" spans="3:6" x14ac:dyDescent="0.35">
      <c r="C5556" s="16"/>
      <c r="D5556" s="18"/>
      <c r="F5556" s="28"/>
    </row>
    <row r="5557" spans="3:6" x14ac:dyDescent="0.35">
      <c r="C5557" s="16"/>
      <c r="D5557" s="18"/>
      <c r="F5557" s="28"/>
    </row>
    <row r="5558" spans="3:6" x14ac:dyDescent="0.35">
      <c r="C5558" s="7"/>
      <c r="D5558" s="18"/>
      <c r="F5558" s="28"/>
    </row>
    <row r="5559" spans="3:6" x14ac:dyDescent="0.35">
      <c r="C5559" s="7"/>
      <c r="D5559" s="18"/>
      <c r="F5559" s="28"/>
    </row>
    <row r="5560" spans="3:6" x14ac:dyDescent="0.35">
      <c r="C5560" s="7"/>
      <c r="D5560" s="18"/>
      <c r="F5560" s="28"/>
    </row>
    <row r="5561" spans="3:6" x14ac:dyDescent="0.35">
      <c r="C5561" s="7"/>
      <c r="D5561" s="18"/>
      <c r="F5561" s="28"/>
    </row>
    <row r="5562" spans="3:6" x14ac:dyDescent="0.35">
      <c r="C5562" s="7"/>
      <c r="D5562" s="18"/>
      <c r="F5562" s="28"/>
    </row>
    <row r="5563" spans="3:6" x14ac:dyDescent="0.35">
      <c r="C5563" s="7"/>
      <c r="D5563" s="18"/>
      <c r="F5563" s="28"/>
    </row>
    <row r="5564" spans="3:6" x14ac:dyDescent="0.35">
      <c r="C5564" s="7"/>
      <c r="D5564" s="18"/>
      <c r="F5564" s="28"/>
    </row>
    <row r="5565" spans="3:6" x14ac:dyDescent="0.35">
      <c r="C5565" s="7"/>
      <c r="D5565" s="18"/>
      <c r="F5565" s="28"/>
    </row>
    <row r="5566" spans="3:6" x14ac:dyDescent="0.35">
      <c r="C5566" s="7"/>
      <c r="D5566" s="18"/>
      <c r="F5566" s="28"/>
    </row>
    <row r="5567" spans="3:6" x14ac:dyDescent="0.35">
      <c r="C5567" s="7"/>
      <c r="D5567" s="18"/>
      <c r="F5567" s="28"/>
    </row>
    <row r="5568" spans="3:6" x14ac:dyDescent="0.35">
      <c r="C5568" s="7"/>
      <c r="D5568" s="18"/>
      <c r="F5568" s="28"/>
    </row>
    <row r="5569" spans="3:6" x14ac:dyDescent="0.35">
      <c r="C5569" s="7"/>
      <c r="D5569" s="18"/>
      <c r="F5569" s="28"/>
    </row>
    <row r="5570" spans="3:6" x14ac:dyDescent="0.35">
      <c r="C5570" s="8"/>
      <c r="D5570" s="18"/>
      <c r="F5570" s="28"/>
    </row>
    <row r="5571" spans="3:6" x14ac:dyDescent="0.35">
      <c r="C5571" s="8"/>
      <c r="D5571" s="18"/>
      <c r="F5571" s="28"/>
    </row>
    <row r="5572" spans="3:6" x14ac:dyDescent="0.35">
      <c r="C5572" s="8"/>
      <c r="D5572" s="18"/>
      <c r="F5572" s="28"/>
    </row>
    <row r="5573" spans="3:6" x14ac:dyDescent="0.35">
      <c r="C5573" s="8"/>
      <c r="D5573" s="18"/>
      <c r="F5573" s="28"/>
    </row>
    <row r="5574" spans="3:6" x14ac:dyDescent="0.35">
      <c r="C5574" s="8"/>
      <c r="D5574" s="18"/>
      <c r="F5574" s="28"/>
    </row>
    <row r="5575" spans="3:6" x14ac:dyDescent="0.35">
      <c r="C5575" s="8"/>
      <c r="D5575" s="18"/>
      <c r="F5575" s="28"/>
    </row>
    <row r="5576" spans="3:6" x14ac:dyDescent="0.35">
      <c r="C5576" s="9"/>
      <c r="D5576" s="18"/>
      <c r="F5576" s="28"/>
    </row>
    <row r="5577" spans="3:6" x14ac:dyDescent="0.35">
      <c r="C5577" s="9"/>
      <c r="D5577" s="18"/>
      <c r="F5577" s="28"/>
    </row>
    <row r="5578" spans="3:6" x14ac:dyDescent="0.35">
      <c r="C5578" s="9"/>
      <c r="D5578" s="18"/>
      <c r="F5578" s="28"/>
    </row>
    <row r="5579" spans="3:6" x14ac:dyDescent="0.35">
      <c r="C5579" s="9"/>
      <c r="D5579" s="18"/>
      <c r="F5579" s="28"/>
    </row>
    <row r="5580" spans="3:6" x14ac:dyDescent="0.35">
      <c r="C5580" s="9"/>
      <c r="D5580" s="18"/>
      <c r="F5580" s="28"/>
    </row>
    <row r="5581" spans="3:6" x14ac:dyDescent="0.35">
      <c r="C5581" s="9"/>
      <c r="D5581" s="18"/>
      <c r="F5581" s="28"/>
    </row>
    <row r="5582" spans="3:6" x14ac:dyDescent="0.35">
      <c r="C5582" s="10"/>
      <c r="D5582" s="18"/>
      <c r="F5582" s="28"/>
    </row>
    <row r="5583" spans="3:6" x14ac:dyDescent="0.35">
      <c r="C5583" s="10"/>
      <c r="D5583" s="18"/>
      <c r="F5583" s="28"/>
    </row>
    <row r="5584" spans="3:6" x14ac:dyDescent="0.35">
      <c r="C5584" s="10"/>
      <c r="D5584" s="18"/>
      <c r="F5584" s="28"/>
    </row>
    <row r="5585" spans="3:6" x14ac:dyDescent="0.35">
      <c r="C5585" s="10"/>
      <c r="D5585" s="18"/>
      <c r="F5585" s="28"/>
    </row>
    <row r="5586" spans="3:6" x14ac:dyDescent="0.35">
      <c r="C5586" s="10"/>
      <c r="D5586" s="18"/>
      <c r="F5586" s="28"/>
    </row>
    <row r="5587" spans="3:6" x14ac:dyDescent="0.35">
      <c r="C5587" s="10"/>
      <c r="D5587" s="18"/>
      <c r="F5587" s="28"/>
    </row>
    <row r="5588" spans="3:6" x14ac:dyDescent="0.35">
      <c r="C5588" s="11"/>
      <c r="D5588" s="18"/>
      <c r="F5588" s="28"/>
    </row>
    <row r="5589" spans="3:6" x14ac:dyDescent="0.35">
      <c r="C5589" s="11"/>
      <c r="D5589" s="18"/>
      <c r="F5589" s="28"/>
    </row>
    <row r="5590" spans="3:6" x14ac:dyDescent="0.35">
      <c r="C5590" s="11"/>
      <c r="D5590" s="18"/>
      <c r="F5590" s="28"/>
    </row>
    <row r="5591" spans="3:6" x14ac:dyDescent="0.35">
      <c r="C5591" s="11"/>
      <c r="D5591" s="18"/>
      <c r="F5591" s="28"/>
    </row>
    <row r="5592" spans="3:6" x14ac:dyDescent="0.35">
      <c r="C5592" s="11"/>
      <c r="D5592" s="18"/>
      <c r="F5592" s="28"/>
    </row>
    <row r="5593" spans="3:6" x14ac:dyDescent="0.35">
      <c r="C5593" s="11"/>
      <c r="D5593" s="18"/>
      <c r="F5593" s="28"/>
    </row>
    <row r="5594" spans="3:6" x14ac:dyDescent="0.35">
      <c r="C5594" s="12"/>
      <c r="D5594" s="18"/>
      <c r="F5594" s="28"/>
    </row>
    <row r="5595" spans="3:6" x14ac:dyDescent="0.35">
      <c r="C5595" s="12"/>
      <c r="D5595" s="18"/>
      <c r="F5595" s="28"/>
    </row>
    <row r="5596" spans="3:6" x14ac:dyDescent="0.35">
      <c r="C5596" s="12"/>
      <c r="D5596" s="18"/>
      <c r="F5596" s="28"/>
    </row>
    <row r="5597" spans="3:6" x14ac:dyDescent="0.35">
      <c r="C5597" s="12"/>
      <c r="D5597" s="18"/>
      <c r="F5597" s="28"/>
    </row>
    <row r="5598" spans="3:6" x14ac:dyDescent="0.35">
      <c r="C5598" s="12"/>
      <c r="D5598" s="18"/>
      <c r="F5598" s="28"/>
    </row>
    <row r="5599" spans="3:6" x14ac:dyDescent="0.35">
      <c r="C5599" s="12"/>
      <c r="D5599" s="18"/>
      <c r="F5599" s="28"/>
    </row>
    <row r="5600" spans="3:6" x14ac:dyDescent="0.35">
      <c r="C5600" s="13"/>
      <c r="D5600" s="18"/>
      <c r="F5600" s="28"/>
    </row>
    <row r="5601" spans="3:6" x14ac:dyDescent="0.35">
      <c r="C5601" s="13"/>
      <c r="D5601" s="18"/>
      <c r="F5601" s="28"/>
    </row>
    <row r="5602" spans="3:6" x14ac:dyDescent="0.35">
      <c r="C5602" s="13"/>
      <c r="D5602" s="18"/>
      <c r="F5602" s="28"/>
    </row>
    <row r="5603" spans="3:6" x14ac:dyDescent="0.35">
      <c r="C5603" s="13"/>
      <c r="D5603" s="18"/>
      <c r="F5603" s="28"/>
    </row>
    <row r="5604" spans="3:6" x14ac:dyDescent="0.35">
      <c r="C5604" s="13"/>
      <c r="D5604" s="18"/>
      <c r="F5604" s="28"/>
    </row>
    <row r="5605" spans="3:6" x14ac:dyDescent="0.35">
      <c r="C5605" s="13"/>
      <c r="D5605" s="18"/>
      <c r="F5605" s="28"/>
    </row>
    <row r="5606" spans="3:6" x14ac:dyDescent="0.35">
      <c r="C5606" s="14"/>
      <c r="D5606" s="18"/>
      <c r="F5606" s="28"/>
    </row>
    <row r="5607" spans="3:6" x14ac:dyDescent="0.35">
      <c r="C5607" s="14"/>
      <c r="D5607" s="18"/>
      <c r="F5607" s="28"/>
    </row>
    <row r="5608" spans="3:6" x14ac:dyDescent="0.35">
      <c r="C5608" s="14"/>
      <c r="D5608" s="18"/>
      <c r="F5608" s="28"/>
    </row>
    <row r="5609" spans="3:6" x14ac:dyDescent="0.35">
      <c r="C5609" s="14"/>
      <c r="D5609" s="18"/>
      <c r="F5609" s="28"/>
    </row>
    <row r="5610" spans="3:6" x14ac:dyDescent="0.35">
      <c r="C5610" s="14"/>
      <c r="D5610" s="18"/>
      <c r="F5610" s="28"/>
    </row>
    <row r="5611" spans="3:6" x14ac:dyDescent="0.35">
      <c r="C5611" s="14"/>
      <c r="D5611" s="18"/>
      <c r="F5611" s="28"/>
    </row>
    <row r="5612" spans="3:6" x14ac:dyDescent="0.35">
      <c r="C5612" s="15"/>
      <c r="D5612" s="18"/>
      <c r="F5612" s="28"/>
    </row>
    <row r="5613" spans="3:6" x14ac:dyDescent="0.35">
      <c r="C5613" s="15"/>
      <c r="D5613" s="18"/>
      <c r="F5613" s="28"/>
    </row>
    <row r="5614" spans="3:6" x14ac:dyDescent="0.35">
      <c r="C5614" s="15"/>
      <c r="D5614" s="18"/>
      <c r="F5614" s="28"/>
    </row>
    <row r="5615" spans="3:6" x14ac:dyDescent="0.35">
      <c r="C5615" s="15"/>
      <c r="D5615" s="18"/>
      <c r="F5615" s="28"/>
    </row>
    <row r="5616" spans="3:6" x14ac:dyDescent="0.35">
      <c r="C5616" s="15"/>
      <c r="D5616" s="18"/>
      <c r="F5616" s="28"/>
    </row>
    <row r="5617" spans="3:6" x14ac:dyDescent="0.35">
      <c r="C5617" s="15"/>
      <c r="D5617" s="18"/>
      <c r="F5617" s="28"/>
    </row>
    <row r="5618" spans="3:6" x14ac:dyDescent="0.35">
      <c r="C5618" s="7"/>
      <c r="D5618" s="18"/>
      <c r="F5618" s="28"/>
    </row>
    <row r="5619" spans="3:6" x14ac:dyDescent="0.35">
      <c r="C5619" s="7"/>
      <c r="D5619" s="18"/>
      <c r="F5619" s="28"/>
    </row>
    <row r="5620" spans="3:6" x14ac:dyDescent="0.35">
      <c r="C5620" s="7"/>
      <c r="D5620" s="18"/>
      <c r="F5620" s="28"/>
    </row>
    <row r="5621" spans="3:6" x14ac:dyDescent="0.35">
      <c r="C5621" s="7"/>
      <c r="D5621" s="18"/>
      <c r="F5621" s="28"/>
    </row>
    <row r="5622" spans="3:6" x14ac:dyDescent="0.35">
      <c r="C5622" s="7"/>
      <c r="D5622" s="18"/>
      <c r="F5622" s="28"/>
    </row>
    <row r="5623" spans="3:6" x14ac:dyDescent="0.35">
      <c r="C5623" s="7"/>
      <c r="D5623" s="18"/>
      <c r="F5623" s="28"/>
    </row>
    <row r="5624" spans="3:6" x14ac:dyDescent="0.35">
      <c r="C5624" s="16"/>
      <c r="D5624" s="18"/>
      <c r="F5624" s="28"/>
    </row>
    <row r="5625" spans="3:6" x14ac:dyDescent="0.35">
      <c r="C5625" s="16"/>
      <c r="D5625" s="18"/>
      <c r="F5625" s="28"/>
    </row>
    <row r="5626" spans="3:6" x14ac:dyDescent="0.35">
      <c r="C5626" s="16"/>
      <c r="D5626" s="18"/>
      <c r="F5626" s="28"/>
    </row>
    <row r="5627" spans="3:6" x14ac:dyDescent="0.35">
      <c r="C5627" s="16"/>
      <c r="D5627" s="18"/>
      <c r="F5627" s="28"/>
    </row>
    <row r="5628" spans="3:6" x14ac:dyDescent="0.35">
      <c r="C5628" s="16"/>
      <c r="D5628" s="18"/>
      <c r="F5628" s="28"/>
    </row>
    <row r="5629" spans="3:6" x14ac:dyDescent="0.35">
      <c r="C5629" s="16"/>
      <c r="D5629" s="18"/>
      <c r="F5629" s="28"/>
    </row>
    <row r="5630" spans="3:6" x14ac:dyDescent="0.35">
      <c r="C5630" s="7"/>
      <c r="D5630" s="18"/>
      <c r="F5630" s="28"/>
    </row>
    <row r="5631" spans="3:6" x14ac:dyDescent="0.35">
      <c r="C5631" s="7"/>
      <c r="D5631" s="18"/>
      <c r="F5631" s="28"/>
    </row>
    <row r="5632" spans="3:6" x14ac:dyDescent="0.35">
      <c r="C5632" s="7"/>
      <c r="D5632" s="18"/>
      <c r="F5632" s="28"/>
    </row>
    <row r="5633" spans="3:6" x14ac:dyDescent="0.35">
      <c r="C5633" s="7"/>
      <c r="D5633" s="18"/>
      <c r="F5633" s="28"/>
    </row>
    <row r="5634" spans="3:6" x14ac:dyDescent="0.35">
      <c r="C5634" s="7"/>
      <c r="D5634" s="18"/>
      <c r="F5634" s="28"/>
    </row>
    <row r="5635" spans="3:6" x14ac:dyDescent="0.35">
      <c r="C5635" s="7"/>
      <c r="D5635" s="18"/>
      <c r="F5635" s="28"/>
    </row>
    <row r="5636" spans="3:6" x14ac:dyDescent="0.35">
      <c r="C5636" s="7"/>
      <c r="D5636" s="18"/>
      <c r="F5636" s="28"/>
    </row>
    <row r="5637" spans="3:6" x14ac:dyDescent="0.35">
      <c r="C5637" s="7"/>
      <c r="D5637" s="18"/>
      <c r="F5637" s="28"/>
    </row>
    <row r="5638" spans="3:6" x14ac:dyDescent="0.35">
      <c r="C5638" s="7"/>
      <c r="D5638" s="18"/>
      <c r="F5638" s="28"/>
    </row>
    <row r="5639" spans="3:6" x14ac:dyDescent="0.35">
      <c r="C5639" s="7"/>
      <c r="D5639" s="18"/>
      <c r="F5639" s="28"/>
    </row>
    <row r="5640" spans="3:6" x14ac:dyDescent="0.35">
      <c r="C5640" s="7"/>
      <c r="D5640" s="18"/>
      <c r="F5640" s="28"/>
    </row>
    <row r="5641" spans="3:6" x14ac:dyDescent="0.35">
      <c r="C5641" s="7"/>
      <c r="D5641" s="18"/>
      <c r="F5641" s="28"/>
    </row>
    <row r="5642" spans="3:6" x14ac:dyDescent="0.35">
      <c r="C5642" s="8"/>
      <c r="D5642" s="18"/>
      <c r="F5642" s="28"/>
    </row>
    <row r="5643" spans="3:6" x14ac:dyDescent="0.35">
      <c r="C5643" s="8"/>
      <c r="D5643" s="18"/>
      <c r="F5643" s="28"/>
    </row>
    <row r="5644" spans="3:6" x14ac:dyDescent="0.35">
      <c r="C5644" s="8"/>
      <c r="D5644" s="18"/>
      <c r="F5644" s="28"/>
    </row>
    <row r="5645" spans="3:6" x14ac:dyDescent="0.35">
      <c r="C5645" s="8"/>
      <c r="D5645" s="18"/>
      <c r="F5645" s="28"/>
    </row>
    <row r="5646" spans="3:6" x14ac:dyDescent="0.35">
      <c r="C5646" s="8"/>
      <c r="D5646" s="18"/>
      <c r="F5646" s="28"/>
    </row>
    <row r="5647" spans="3:6" x14ac:dyDescent="0.35">
      <c r="C5647" s="8"/>
      <c r="D5647" s="18"/>
      <c r="F5647" s="28"/>
    </row>
    <row r="5648" spans="3:6" x14ac:dyDescent="0.35">
      <c r="C5648" s="9"/>
      <c r="D5648" s="18"/>
      <c r="F5648" s="28"/>
    </row>
    <row r="5649" spans="3:6" x14ac:dyDescent="0.35">
      <c r="C5649" s="9"/>
      <c r="D5649" s="18"/>
      <c r="F5649" s="28"/>
    </row>
    <row r="5650" spans="3:6" x14ac:dyDescent="0.35">
      <c r="C5650" s="9"/>
      <c r="D5650" s="18"/>
      <c r="F5650" s="28"/>
    </row>
    <row r="5651" spans="3:6" x14ac:dyDescent="0.35">
      <c r="C5651" s="9"/>
      <c r="D5651" s="18"/>
      <c r="F5651" s="28"/>
    </row>
    <row r="5652" spans="3:6" x14ac:dyDescent="0.35">
      <c r="C5652" s="9"/>
      <c r="D5652" s="18"/>
      <c r="F5652" s="28"/>
    </row>
    <row r="5653" spans="3:6" x14ac:dyDescent="0.35">
      <c r="C5653" s="9"/>
      <c r="D5653" s="18"/>
      <c r="F5653" s="28"/>
    </row>
    <row r="5654" spans="3:6" x14ac:dyDescent="0.35">
      <c r="C5654" s="10"/>
      <c r="D5654" s="18"/>
      <c r="F5654" s="28"/>
    </row>
    <row r="5655" spans="3:6" x14ac:dyDescent="0.35">
      <c r="C5655" s="10"/>
      <c r="D5655" s="18"/>
      <c r="F5655" s="28"/>
    </row>
    <row r="5656" spans="3:6" x14ac:dyDescent="0.35">
      <c r="C5656" s="10"/>
      <c r="D5656" s="18"/>
      <c r="F5656" s="28"/>
    </row>
    <row r="5657" spans="3:6" x14ac:dyDescent="0.35">
      <c r="C5657" s="10"/>
      <c r="D5657" s="18"/>
      <c r="F5657" s="28"/>
    </row>
    <row r="5658" spans="3:6" x14ac:dyDescent="0.35">
      <c r="C5658" s="10"/>
      <c r="D5658" s="18"/>
      <c r="F5658" s="28"/>
    </row>
    <row r="5659" spans="3:6" x14ac:dyDescent="0.35">
      <c r="C5659" s="10"/>
      <c r="D5659" s="18"/>
      <c r="F5659" s="28"/>
    </row>
    <row r="5660" spans="3:6" x14ac:dyDescent="0.35">
      <c r="C5660" s="11"/>
      <c r="D5660" s="18"/>
      <c r="F5660" s="28"/>
    </row>
    <row r="5661" spans="3:6" x14ac:dyDescent="0.35">
      <c r="C5661" s="11"/>
      <c r="D5661" s="18"/>
      <c r="F5661" s="28"/>
    </row>
    <row r="5662" spans="3:6" x14ac:dyDescent="0.35">
      <c r="C5662" s="11"/>
      <c r="D5662" s="18"/>
      <c r="F5662" s="28"/>
    </row>
    <row r="5663" spans="3:6" x14ac:dyDescent="0.35">
      <c r="C5663" s="11"/>
      <c r="D5663" s="18"/>
      <c r="F5663" s="28"/>
    </row>
    <row r="5664" spans="3:6" x14ac:dyDescent="0.35">
      <c r="C5664" s="11"/>
      <c r="D5664" s="18"/>
      <c r="F5664" s="28"/>
    </row>
    <row r="5665" spans="3:6" x14ac:dyDescent="0.35">
      <c r="C5665" s="11"/>
      <c r="D5665" s="18"/>
      <c r="F5665" s="28"/>
    </row>
    <row r="5666" spans="3:6" x14ac:dyDescent="0.35">
      <c r="C5666" s="12"/>
      <c r="D5666" s="18"/>
      <c r="F5666" s="28"/>
    </row>
    <row r="5667" spans="3:6" x14ac:dyDescent="0.35">
      <c r="C5667" s="12"/>
      <c r="D5667" s="18"/>
      <c r="F5667" s="28"/>
    </row>
    <row r="5668" spans="3:6" x14ac:dyDescent="0.35">
      <c r="C5668" s="12"/>
      <c r="D5668" s="18"/>
      <c r="F5668" s="28"/>
    </row>
    <row r="5669" spans="3:6" x14ac:dyDescent="0.35">
      <c r="C5669" s="12"/>
      <c r="D5669" s="18"/>
      <c r="F5669" s="28"/>
    </row>
    <row r="5670" spans="3:6" x14ac:dyDescent="0.35">
      <c r="C5670" s="12"/>
      <c r="D5670" s="18"/>
      <c r="F5670" s="28"/>
    </row>
    <row r="5671" spans="3:6" x14ac:dyDescent="0.35">
      <c r="C5671" s="12"/>
      <c r="D5671" s="18"/>
      <c r="F5671" s="28"/>
    </row>
    <row r="5672" spans="3:6" x14ac:dyDescent="0.35">
      <c r="C5672" s="13"/>
      <c r="D5672" s="18"/>
      <c r="F5672" s="28"/>
    </row>
    <row r="5673" spans="3:6" x14ac:dyDescent="0.35">
      <c r="C5673" s="13"/>
      <c r="D5673" s="18"/>
      <c r="F5673" s="28"/>
    </row>
    <row r="5674" spans="3:6" x14ac:dyDescent="0.35">
      <c r="C5674" s="13"/>
      <c r="D5674" s="18"/>
      <c r="F5674" s="28"/>
    </row>
    <row r="5675" spans="3:6" x14ac:dyDescent="0.35">
      <c r="C5675" s="13"/>
      <c r="D5675" s="18"/>
      <c r="F5675" s="28"/>
    </row>
    <row r="5676" spans="3:6" x14ac:dyDescent="0.35">
      <c r="C5676" s="13"/>
      <c r="D5676" s="18"/>
      <c r="F5676" s="28"/>
    </row>
    <row r="5677" spans="3:6" x14ac:dyDescent="0.35">
      <c r="C5677" s="13"/>
      <c r="D5677" s="18"/>
      <c r="F5677" s="28"/>
    </row>
    <row r="5678" spans="3:6" x14ac:dyDescent="0.35">
      <c r="C5678" s="14"/>
      <c r="D5678" s="18"/>
      <c r="F5678" s="28"/>
    </row>
    <row r="5679" spans="3:6" x14ac:dyDescent="0.35">
      <c r="C5679" s="14"/>
      <c r="D5679" s="18"/>
      <c r="F5679" s="28"/>
    </row>
    <row r="5680" spans="3:6" x14ac:dyDescent="0.35">
      <c r="C5680" s="14"/>
      <c r="D5680" s="18"/>
      <c r="F5680" s="28"/>
    </row>
    <row r="5681" spans="3:6" x14ac:dyDescent="0.35">
      <c r="C5681" s="14"/>
      <c r="D5681" s="18"/>
      <c r="F5681" s="28"/>
    </row>
    <row r="5682" spans="3:6" x14ac:dyDescent="0.35">
      <c r="C5682" s="14"/>
      <c r="D5682" s="18"/>
      <c r="F5682" s="28"/>
    </row>
    <row r="5683" spans="3:6" x14ac:dyDescent="0.35">
      <c r="C5683" s="14"/>
      <c r="D5683" s="18"/>
      <c r="F5683" s="28"/>
    </row>
    <row r="5684" spans="3:6" x14ac:dyDescent="0.35">
      <c r="C5684" s="15"/>
      <c r="D5684" s="18"/>
      <c r="F5684" s="28"/>
    </row>
    <row r="5685" spans="3:6" x14ac:dyDescent="0.35">
      <c r="C5685" s="15"/>
      <c r="D5685" s="18"/>
      <c r="F5685" s="28"/>
    </row>
    <row r="5686" spans="3:6" x14ac:dyDescent="0.35">
      <c r="C5686" s="15"/>
      <c r="D5686" s="18"/>
      <c r="F5686" s="28"/>
    </row>
    <row r="5687" spans="3:6" x14ac:dyDescent="0.35">
      <c r="C5687" s="15"/>
      <c r="D5687" s="18"/>
      <c r="F5687" s="28"/>
    </row>
    <row r="5688" spans="3:6" x14ac:dyDescent="0.35">
      <c r="C5688" s="15"/>
      <c r="D5688" s="18"/>
      <c r="F5688" s="28"/>
    </row>
    <row r="5689" spans="3:6" x14ac:dyDescent="0.35">
      <c r="C5689" s="15"/>
      <c r="D5689" s="18"/>
      <c r="F5689" s="28"/>
    </row>
    <row r="5690" spans="3:6" x14ac:dyDescent="0.35">
      <c r="C5690" s="7"/>
      <c r="D5690" s="18"/>
      <c r="F5690" s="28"/>
    </row>
    <row r="5691" spans="3:6" x14ac:dyDescent="0.35">
      <c r="C5691" s="7"/>
      <c r="D5691" s="18"/>
      <c r="F5691" s="28"/>
    </row>
    <row r="5692" spans="3:6" x14ac:dyDescent="0.35">
      <c r="C5692" s="7"/>
      <c r="D5692" s="18"/>
      <c r="F5692" s="28"/>
    </row>
    <row r="5693" spans="3:6" x14ac:dyDescent="0.35">
      <c r="C5693" s="7"/>
      <c r="D5693" s="18"/>
      <c r="F5693" s="28"/>
    </row>
    <row r="5694" spans="3:6" x14ac:dyDescent="0.35">
      <c r="C5694" s="7"/>
      <c r="D5694" s="18"/>
      <c r="F5694" s="28"/>
    </row>
    <row r="5695" spans="3:6" x14ac:dyDescent="0.35">
      <c r="C5695" s="7"/>
      <c r="D5695" s="18"/>
      <c r="F5695" s="28"/>
    </row>
    <row r="5696" spans="3:6" x14ac:dyDescent="0.35">
      <c r="C5696" s="16"/>
      <c r="D5696" s="18"/>
      <c r="F5696" s="28"/>
    </row>
    <row r="5697" spans="3:6" x14ac:dyDescent="0.35">
      <c r="C5697" s="16"/>
      <c r="D5697" s="18"/>
      <c r="F5697" s="28"/>
    </row>
    <row r="5698" spans="3:6" x14ac:dyDescent="0.35">
      <c r="C5698" s="16"/>
      <c r="D5698" s="18"/>
      <c r="F5698" s="28"/>
    </row>
    <row r="5699" spans="3:6" x14ac:dyDescent="0.35">
      <c r="C5699" s="16"/>
      <c r="D5699" s="18"/>
      <c r="F5699" s="28"/>
    </row>
    <row r="5700" spans="3:6" x14ac:dyDescent="0.35">
      <c r="C5700" s="16"/>
      <c r="D5700" s="18"/>
      <c r="F5700" s="28"/>
    </row>
    <row r="5701" spans="3:6" x14ac:dyDescent="0.35">
      <c r="C5701" s="16"/>
      <c r="D5701" s="18"/>
      <c r="F5701" s="28"/>
    </row>
    <row r="5702" spans="3:6" x14ac:dyDescent="0.35">
      <c r="C5702" s="7"/>
      <c r="D5702" s="18"/>
      <c r="F5702" s="28"/>
    </row>
    <row r="5703" spans="3:6" x14ac:dyDescent="0.35">
      <c r="C5703" s="7"/>
      <c r="D5703" s="18"/>
      <c r="F5703" s="28"/>
    </row>
    <row r="5704" spans="3:6" x14ac:dyDescent="0.35">
      <c r="C5704" s="7"/>
      <c r="D5704" s="18"/>
      <c r="F5704" s="28"/>
    </row>
    <row r="5705" spans="3:6" x14ac:dyDescent="0.35">
      <c r="C5705" s="7"/>
      <c r="D5705" s="18"/>
      <c r="F5705" s="28"/>
    </row>
    <row r="5706" spans="3:6" x14ac:dyDescent="0.35">
      <c r="C5706" s="7"/>
      <c r="D5706" s="18"/>
      <c r="F5706" s="28"/>
    </row>
    <row r="5707" spans="3:6" x14ac:dyDescent="0.35">
      <c r="C5707" s="7"/>
      <c r="D5707" s="18"/>
      <c r="F5707" s="28"/>
    </row>
    <row r="5708" spans="3:6" x14ac:dyDescent="0.35">
      <c r="C5708" s="7"/>
      <c r="D5708" s="18"/>
      <c r="F5708" s="28"/>
    </row>
    <row r="5709" spans="3:6" x14ac:dyDescent="0.35">
      <c r="C5709" s="7"/>
      <c r="D5709" s="18"/>
      <c r="F5709" s="28"/>
    </row>
    <row r="5710" spans="3:6" x14ac:dyDescent="0.35">
      <c r="C5710" s="7"/>
      <c r="D5710" s="18"/>
      <c r="F5710" s="28"/>
    </row>
    <row r="5711" spans="3:6" x14ac:dyDescent="0.35">
      <c r="C5711" s="7"/>
      <c r="D5711" s="18"/>
      <c r="F5711" s="28"/>
    </row>
    <row r="5712" spans="3:6" x14ac:dyDescent="0.35">
      <c r="C5712" s="7"/>
      <c r="D5712" s="18"/>
      <c r="F5712" s="28"/>
    </row>
    <row r="5713" spans="3:6" x14ac:dyDescent="0.35">
      <c r="C5713" s="7"/>
      <c r="D5713" s="18"/>
      <c r="F5713" s="28"/>
    </row>
    <row r="5714" spans="3:6" x14ac:dyDescent="0.35">
      <c r="C5714" s="8"/>
      <c r="D5714" s="18"/>
      <c r="F5714" s="28"/>
    </row>
    <row r="5715" spans="3:6" x14ac:dyDescent="0.35">
      <c r="C5715" s="8"/>
      <c r="D5715" s="18"/>
      <c r="F5715" s="28"/>
    </row>
    <row r="5716" spans="3:6" x14ac:dyDescent="0.35">
      <c r="C5716" s="8"/>
      <c r="D5716" s="18"/>
      <c r="F5716" s="28"/>
    </row>
    <row r="5717" spans="3:6" x14ac:dyDescent="0.35">
      <c r="C5717" s="8"/>
      <c r="D5717" s="18"/>
      <c r="F5717" s="28"/>
    </row>
    <row r="5718" spans="3:6" x14ac:dyDescent="0.35">
      <c r="C5718" s="8"/>
      <c r="D5718" s="18"/>
      <c r="F5718" s="28"/>
    </row>
    <row r="5719" spans="3:6" x14ac:dyDescent="0.35">
      <c r="C5719" s="8"/>
      <c r="D5719" s="18"/>
      <c r="F5719" s="28"/>
    </row>
    <row r="5720" spans="3:6" x14ac:dyDescent="0.35">
      <c r="C5720" s="9"/>
      <c r="D5720" s="18"/>
      <c r="F5720" s="28"/>
    </row>
    <row r="5721" spans="3:6" x14ac:dyDescent="0.35">
      <c r="C5721" s="9"/>
      <c r="D5721" s="18"/>
      <c r="F5721" s="28"/>
    </row>
    <row r="5722" spans="3:6" x14ac:dyDescent="0.35">
      <c r="C5722" s="9"/>
      <c r="D5722" s="18"/>
      <c r="F5722" s="28"/>
    </row>
    <row r="5723" spans="3:6" x14ac:dyDescent="0.35">
      <c r="C5723" s="9"/>
      <c r="D5723" s="18"/>
      <c r="F5723" s="28"/>
    </row>
    <row r="5724" spans="3:6" x14ac:dyDescent="0.35">
      <c r="C5724" s="9"/>
      <c r="D5724" s="18"/>
      <c r="F5724" s="28"/>
    </row>
    <row r="5725" spans="3:6" x14ac:dyDescent="0.35">
      <c r="C5725" s="9"/>
      <c r="D5725" s="18"/>
      <c r="F5725" s="28"/>
    </row>
    <row r="5726" spans="3:6" x14ac:dyDescent="0.35">
      <c r="C5726" s="10"/>
      <c r="D5726" s="18"/>
      <c r="F5726" s="28"/>
    </row>
    <row r="5727" spans="3:6" x14ac:dyDescent="0.35">
      <c r="C5727" s="10"/>
      <c r="D5727" s="18"/>
      <c r="F5727" s="28"/>
    </row>
    <row r="5728" spans="3:6" x14ac:dyDescent="0.35">
      <c r="C5728" s="10"/>
      <c r="D5728" s="18"/>
      <c r="F5728" s="28"/>
    </row>
    <row r="5729" spans="3:6" x14ac:dyDescent="0.35">
      <c r="C5729" s="10"/>
      <c r="D5729" s="18"/>
      <c r="F5729" s="28"/>
    </row>
    <row r="5730" spans="3:6" x14ac:dyDescent="0.35">
      <c r="C5730" s="10"/>
      <c r="D5730" s="18"/>
      <c r="F5730" s="28"/>
    </row>
    <row r="5731" spans="3:6" x14ac:dyDescent="0.35">
      <c r="C5731" s="10"/>
      <c r="D5731" s="18"/>
      <c r="F5731" s="28"/>
    </row>
    <row r="5732" spans="3:6" x14ac:dyDescent="0.35">
      <c r="C5732" s="11"/>
      <c r="D5732" s="18"/>
      <c r="F5732" s="28"/>
    </row>
    <row r="5733" spans="3:6" x14ac:dyDescent="0.35">
      <c r="C5733" s="11"/>
      <c r="D5733" s="18"/>
      <c r="F5733" s="28"/>
    </row>
    <row r="5734" spans="3:6" x14ac:dyDescent="0.35">
      <c r="C5734" s="11"/>
      <c r="D5734" s="18"/>
      <c r="F5734" s="28"/>
    </row>
    <row r="5735" spans="3:6" x14ac:dyDescent="0.35">
      <c r="C5735" s="11"/>
      <c r="D5735" s="18"/>
      <c r="F5735" s="28"/>
    </row>
    <row r="5736" spans="3:6" x14ac:dyDescent="0.35">
      <c r="C5736" s="11"/>
      <c r="D5736" s="18"/>
      <c r="F5736" s="28"/>
    </row>
    <row r="5737" spans="3:6" x14ac:dyDescent="0.35">
      <c r="C5737" s="11"/>
      <c r="D5737" s="18"/>
      <c r="F5737" s="28"/>
    </row>
    <row r="5738" spans="3:6" x14ac:dyDescent="0.35">
      <c r="C5738" s="12"/>
      <c r="D5738" s="18"/>
      <c r="F5738" s="28"/>
    </row>
    <row r="5739" spans="3:6" x14ac:dyDescent="0.35">
      <c r="C5739" s="12"/>
      <c r="D5739" s="18"/>
      <c r="F5739" s="28"/>
    </row>
    <row r="5740" spans="3:6" x14ac:dyDescent="0.35">
      <c r="C5740" s="12"/>
      <c r="D5740" s="18"/>
      <c r="F5740" s="28"/>
    </row>
    <row r="5741" spans="3:6" x14ac:dyDescent="0.35">
      <c r="C5741" s="12"/>
      <c r="D5741" s="18"/>
      <c r="F5741" s="28"/>
    </row>
    <row r="5742" spans="3:6" x14ac:dyDescent="0.35">
      <c r="C5742" s="12"/>
      <c r="D5742" s="18"/>
      <c r="F5742" s="28"/>
    </row>
    <row r="5743" spans="3:6" x14ac:dyDescent="0.35">
      <c r="C5743" s="12"/>
      <c r="D5743" s="18"/>
      <c r="F5743" s="28"/>
    </row>
    <row r="5744" spans="3:6" x14ac:dyDescent="0.35">
      <c r="C5744" s="13"/>
      <c r="D5744" s="18"/>
      <c r="F5744" s="28"/>
    </row>
    <row r="5745" spans="3:6" x14ac:dyDescent="0.35">
      <c r="C5745" s="13"/>
      <c r="D5745" s="18"/>
      <c r="F5745" s="28"/>
    </row>
    <row r="5746" spans="3:6" x14ac:dyDescent="0.35">
      <c r="C5746" s="13"/>
      <c r="D5746" s="18"/>
      <c r="F5746" s="28"/>
    </row>
    <row r="5747" spans="3:6" x14ac:dyDescent="0.35">
      <c r="C5747" s="13"/>
      <c r="D5747" s="18"/>
      <c r="F5747" s="28"/>
    </row>
    <row r="5748" spans="3:6" x14ac:dyDescent="0.35">
      <c r="C5748" s="13"/>
      <c r="D5748" s="18"/>
      <c r="F5748" s="28"/>
    </row>
    <row r="5749" spans="3:6" x14ac:dyDescent="0.35">
      <c r="C5749" s="13"/>
      <c r="D5749" s="18"/>
      <c r="F5749" s="28"/>
    </row>
    <row r="5750" spans="3:6" x14ac:dyDescent="0.35">
      <c r="C5750" s="14"/>
      <c r="D5750" s="18"/>
      <c r="F5750" s="28"/>
    </row>
    <row r="5751" spans="3:6" x14ac:dyDescent="0.35">
      <c r="C5751" s="14"/>
      <c r="D5751" s="18"/>
      <c r="F5751" s="28"/>
    </row>
    <row r="5752" spans="3:6" x14ac:dyDescent="0.35">
      <c r="C5752" s="14"/>
      <c r="D5752" s="18"/>
      <c r="F5752" s="28"/>
    </row>
    <row r="5753" spans="3:6" x14ac:dyDescent="0.35">
      <c r="C5753" s="14"/>
      <c r="D5753" s="18"/>
      <c r="F5753" s="28"/>
    </row>
    <row r="5754" spans="3:6" x14ac:dyDescent="0.35">
      <c r="C5754" s="14"/>
      <c r="D5754" s="18"/>
      <c r="F5754" s="28"/>
    </row>
    <row r="5755" spans="3:6" x14ac:dyDescent="0.35">
      <c r="C5755" s="14"/>
      <c r="D5755" s="18"/>
      <c r="F5755" s="28"/>
    </row>
    <row r="5756" spans="3:6" x14ac:dyDescent="0.35">
      <c r="C5756" s="15"/>
      <c r="D5756" s="18"/>
      <c r="F5756" s="28"/>
    </row>
    <row r="5757" spans="3:6" x14ac:dyDescent="0.35">
      <c r="C5757" s="15"/>
      <c r="D5757" s="18"/>
      <c r="F5757" s="28"/>
    </row>
    <row r="5758" spans="3:6" x14ac:dyDescent="0.35">
      <c r="C5758" s="15"/>
      <c r="D5758" s="18"/>
      <c r="F5758" s="28"/>
    </row>
    <row r="5759" spans="3:6" x14ac:dyDescent="0.35">
      <c r="C5759" s="15"/>
      <c r="D5759" s="18"/>
      <c r="F5759" s="28"/>
    </row>
    <row r="5760" spans="3:6" x14ac:dyDescent="0.35">
      <c r="C5760" s="15"/>
      <c r="D5760" s="18"/>
      <c r="F5760" s="28"/>
    </row>
    <row r="5761" spans="3:6" x14ac:dyDescent="0.35">
      <c r="C5761" s="15"/>
      <c r="D5761" s="18"/>
      <c r="F5761" s="28"/>
    </row>
    <row r="5762" spans="3:6" x14ac:dyDescent="0.35">
      <c r="C5762" s="7"/>
      <c r="D5762" s="18"/>
      <c r="F5762" s="28"/>
    </row>
    <row r="5763" spans="3:6" x14ac:dyDescent="0.35">
      <c r="C5763" s="7"/>
      <c r="D5763" s="18"/>
      <c r="F5763" s="28"/>
    </row>
    <row r="5764" spans="3:6" x14ac:dyDescent="0.35">
      <c r="C5764" s="7"/>
      <c r="D5764" s="18"/>
      <c r="F5764" s="28"/>
    </row>
    <row r="5765" spans="3:6" x14ac:dyDescent="0.35">
      <c r="C5765" s="7"/>
      <c r="D5765" s="18"/>
      <c r="F5765" s="28"/>
    </row>
    <row r="5766" spans="3:6" x14ac:dyDescent="0.35">
      <c r="C5766" s="7"/>
      <c r="D5766" s="18"/>
      <c r="F5766" s="28"/>
    </row>
    <row r="5767" spans="3:6" x14ac:dyDescent="0.35">
      <c r="C5767" s="7"/>
      <c r="D5767" s="18"/>
      <c r="F5767" s="28"/>
    </row>
    <row r="5768" spans="3:6" x14ac:dyDescent="0.35">
      <c r="C5768" s="16"/>
      <c r="D5768" s="18"/>
      <c r="F5768" s="28"/>
    </row>
    <row r="5769" spans="3:6" x14ac:dyDescent="0.35">
      <c r="C5769" s="16"/>
      <c r="D5769" s="18"/>
      <c r="F5769" s="28"/>
    </row>
    <row r="5770" spans="3:6" x14ac:dyDescent="0.35">
      <c r="C5770" s="16"/>
      <c r="D5770" s="18"/>
      <c r="F5770" s="28"/>
    </row>
    <row r="5771" spans="3:6" x14ac:dyDescent="0.35">
      <c r="C5771" s="16"/>
      <c r="D5771" s="18"/>
      <c r="F5771" s="28"/>
    </row>
    <row r="5772" spans="3:6" x14ac:dyDescent="0.35">
      <c r="C5772" s="16"/>
      <c r="D5772" s="18"/>
      <c r="F5772" s="28"/>
    </row>
    <row r="5773" spans="3:6" x14ac:dyDescent="0.35">
      <c r="C5773" s="16"/>
      <c r="D5773" s="18"/>
      <c r="F5773" s="28"/>
    </row>
    <row r="5774" spans="3:6" x14ac:dyDescent="0.35">
      <c r="C5774" s="7"/>
      <c r="D5774" s="18"/>
      <c r="F5774" s="28"/>
    </row>
    <row r="5775" spans="3:6" x14ac:dyDescent="0.35">
      <c r="C5775" s="7"/>
      <c r="D5775" s="18"/>
      <c r="F5775" s="28"/>
    </row>
    <row r="5776" spans="3:6" x14ac:dyDescent="0.35">
      <c r="C5776" s="7"/>
      <c r="D5776" s="18"/>
      <c r="F5776" s="28"/>
    </row>
    <row r="5777" spans="3:6" x14ac:dyDescent="0.35">
      <c r="C5777" s="7"/>
      <c r="D5777" s="18"/>
      <c r="F5777" s="28"/>
    </row>
    <row r="5778" spans="3:6" x14ac:dyDescent="0.35">
      <c r="C5778" s="7"/>
      <c r="D5778" s="18"/>
      <c r="F5778" s="28"/>
    </row>
    <row r="5779" spans="3:6" x14ac:dyDescent="0.35">
      <c r="C5779" s="7"/>
      <c r="D5779" s="18"/>
      <c r="F5779" s="28"/>
    </row>
    <row r="5780" spans="3:6" x14ac:dyDescent="0.35">
      <c r="C5780" s="7"/>
      <c r="D5780" s="18"/>
      <c r="F5780" s="28"/>
    </row>
    <row r="5781" spans="3:6" x14ac:dyDescent="0.35">
      <c r="C5781" s="7"/>
      <c r="D5781" s="18"/>
      <c r="F5781" s="28"/>
    </row>
    <row r="5782" spans="3:6" x14ac:dyDescent="0.35">
      <c r="C5782" s="7"/>
      <c r="D5782" s="18"/>
      <c r="F5782" s="28"/>
    </row>
    <row r="5783" spans="3:6" x14ac:dyDescent="0.35">
      <c r="C5783" s="7"/>
      <c r="D5783" s="18"/>
      <c r="F5783" s="28"/>
    </row>
    <row r="5784" spans="3:6" x14ac:dyDescent="0.35">
      <c r="C5784" s="7"/>
      <c r="D5784" s="18"/>
      <c r="F5784" s="28"/>
    </row>
    <row r="5785" spans="3:6" x14ac:dyDescent="0.35">
      <c r="C5785" s="7"/>
      <c r="D5785" s="18"/>
      <c r="F5785" s="28"/>
    </row>
    <row r="5786" spans="3:6" x14ac:dyDescent="0.35">
      <c r="C5786" s="8"/>
      <c r="D5786" s="18"/>
      <c r="F5786" s="28"/>
    </row>
    <row r="5787" spans="3:6" x14ac:dyDescent="0.35">
      <c r="C5787" s="8"/>
      <c r="D5787" s="18"/>
      <c r="F5787" s="28"/>
    </row>
    <row r="5788" spans="3:6" x14ac:dyDescent="0.35">
      <c r="C5788" s="8"/>
      <c r="D5788" s="18"/>
      <c r="F5788" s="28"/>
    </row>
    <row r="5789" spans="3:6" x14ac:dyDescent="0.35">
      <c r="C5789" s="8"/>
      <c r="D5789" s="18"/>
      <c r="F5789" s="28"/>
    </row>
    <row r="5790" spans="3:6" x14ac:dyDescent="0.35">
      <c r="C5790" s="8"/>
      <c r="D5790" s="18"/>
      <c r="F5790" s="28"/>
    </row>
    <row r="5791" spans="3:6" x14ac:dyDescent="0.35">
      <c r="C5791" s="8"/>
      <c r="D5791" s="18"/>
      <c r="F5791" s="28"/>
    </row>
    <row r="5792" spans="3:6" x14ac:dyDescent="0.35">
      <c r="C5792" s="9"/>
      <c r="D5792" s="18"/>
      <c r="F5792" s="28"/>
    </row>
    <row r="5793" spans="3:6" x14ac:dyDescent="0.35">
      <c r="C5793" s="9"/>
      <c r="D5793" s="18"/>
      <c r="F5793" s="28"/>
    </row>
    <row r="5794" spans="3:6" x14ac:dyDescent="0.35">
      <c r="C5794" s="9"/>
      <c r="D5794" s="18"/>
      <c r="F5794" s="28"/>
    </row>
    <row r="5795" spans="3:6" x14ac:dyDescent="0.35">
      <c r="C5795" s="9"/>
      <c r="D5795" s="18"/>
      <c r="F5795" s="28"/>
    </row>
    <row r="5796" spans="3:6" x14ac:dyDescent="0.35">
      <c r="C5796" s="9"/>
      <c r="D5796" s="18"/>
      <c r="F5796" s="28"/>
    </row>
    <row r="5797" spans="3:6" x14ac:dyDescent="0.35">
      <c r="C5797" s="9"/>
      <c r="D5797" s="18"/>
      <c r="F5797" s="28"/>
    </row>
    <row r="5798" spans="3:6" x14ac:dyDescent="0.35">
      <c r="C5798" s="10"/>
      <c r="D5798" s="18"/>
      <c r="F5798" s="28"/>
    </row>
    <row r="5799" spans="3:6" x14ac:dyDescent="0.35">
      <c r="C5799" s="10"/>
      <c r="D5799" s="18"/>
      <c r="F5799" s="28"/>
    </row>
    <row r="5800" spans="3:6" x14ac:dyDescent="0.35">
      <c r="C5800" s="10"/>
      <c r="D5800" s="18"/>
      <c r="F5800" s="28"/>
    </row>
    <row r="5801" spans="3:6" x14ac:dyDescent="0.35">
      <c r="C5801" s="10"/>
      <c r="D5801" s="18"/>
      <c r="F5801" s="28"/>
    </row>
    <row r="5802" spans="3:6" x14ac:dyDescent="0.35">
      <c r="C5802" s="10"/>
      <c r="D5802" s="18"/>
      <c r="F5802" s="28"/>
    </row>
    <row r="5803" spans="3:6" x14ac:dyDescent="0.35">
      <c r="C5803" s="10"/>
      <c r="D5803" s="18"/>
      <c r="F5803" s="28"/>
    </row>
    <row r="5804" spans="3:6" x14ac:dyDescent="0.35">
      <c r="C5804" s="11"/>
      <c r="D5804" s="18"/>
      <c r="F5804" s="28"/>
    </row>
    <row r="5805" spans="3:6" x14ac:dyDescent="0.35">
      <c r="C5805" s="11"/>
      <c r="D5805" s="18"/>
      <c r="F5805" s="28"/>
    </row>
    <row r="5806" spans="3:6" x14ac:dyDescent="0.35">
      <c r="C5806" s="11"/>
      <c r="D5806" s="18"/>
      <c r="F5806" s="28"/>
    </row>
    <row r="5807" spans="3:6" x14ac:dyDescent="0.35">
      <c r="C5807" s="11"/>
      <c r="D5807" s="18"/>
      <c r="F5807" s="28"/>
    </row>
    <row r="5808" spans="3:6" x14ac:dyDescent="0.35">
      <c r="C5808" s="11"/>
      <c r="D5808" s="18"/>
      <c r="F5808" s="28"/>
    </row>
    <row r="5809" spans="3:6" x14ac:dyDescent="0.35">
      <c r="C5809" s="11"/>
      <c r="D5809" s="18"/>
      <c r="F5809" s="28"/>
    </row>
    <row r="5810" spans="3:6" x14ac:dyDescent="0.35">
      <c r="C5810" s="12"/>
      <c r="D5810" s="18"/>
      <c r="F5810" s="28"/>
    </row>
    <row r="5811" spans="3:6" x14ac:dyDescent="0.35">
      <c r="C5811" s="12"/>
      <c r="D5811" s="18"/>
      <c r="F5811" s="28"/>
    </row>
    <row r="5812" spans="3:6" x14ac:dyDescent="0.35">
      <c r="C5812" s="12"/>
      <c r="D5812" s="18"/>
      <c r="F5812" s="28"/>
    </row>
    <row r="5813" spans="3:6" x14ac:dyDescent="0.35">
      <c r="C5813" s="12"/>
      <c r="D5813" s="18"/>
      <c r="F5813" s="28"/>
    </row>
    <row r="5814" spans="3:6" x14ac:dyDescent="0.35">
      <c r="C5814" s="12"/>
      <c r="D5814" s="18"/>
      <c r="F5814" s="28"/>
    </row>
    <row r="5815" spans="3:6" x14ac:dyDescent="0.35">
      <c r="C5815" s="12"/>
      <c r="D5815" s="18"/>
      <c r="F5815" s="28"/>
    </row>
    <row r="5816" spans="3:6" x14ac:dyDescent="0.35">
      <c r="C5816" s="13"/>
      <c r="D5816" s="18"/>
      <c r="F5816" s="28"/>
    </row>
    <row r="5817" spans="3:6" x14ac:dyDescent="0.35">
      <c r="C5817" s="13"/>
      <c r="D5817" s="18"/>
      <c r="F5817" s="28"/>
    </row>
    <row r="5818" spans="3:6" x14ac:dyDescent="0.35">
      <c r="C5818" s="13"/>
      <c r="D5818" s="18"/>
      <c r="F5818" s="28"/>
    </row>
    <row r="5819" spans="3:6" x14ac:dyDescent="0.35">
      <c r="C5819" s="13"/>
      <c r="D5819" s="18"/>
      <c r="F5819" s="28"/>
    </row>
    <row r="5820" spans="3:6" x14ac:dyDescent="0.35">
      <c r="C5820" s="13"/>
      <c r="D5820" s="18"/>
      <c r="F5820" s="28"/>
    </row>
    <row r="5821" spans="3:6" x14ac:dyDescent="0.35">
      <c r="C5821" s="13"/>
      <c r="D5821" s="18"/>
      <c r="F5821" s="28"/>
    </row>
    <row r="5822" spans="3:6" x14ac:dyDescent="0.35">
      <c r="C5822" s="14"/>
      <c r="D5822" s="18"/>
      <c r="F5822" s="28"/>
    </row>
    <row r="5823" spans="3:6" x14ac:dyDescent="0.35">
      <c r="C5823" s="14"/>
      <c r="D5823" s="18"/>
      <c r="F5823" s="28"/>
    </row>
    <row r="5824" spans="3:6" x14ac:dyDescent="0.35">
      <c r="C5824" s="14"/>
      <c r="D5824" s="18"/>
      <c r="F5824" s="28"/>
    </row>
    <row r="5825" spans="3:6" x14ac:dyDescent="0.35">
      <c r="C5825" s="14"/>
      <c r="D5825" s="18"/>
      <c r="F5825" s="28"/>
    </row>
    <row r="5826" spans="3:6" x14ac:dyDescent="0.35">
      <c r="C5826" s="14"/>
      <c r="D5826" s="18"/>
      <c r="F5826" s="28"/>
    </row>
    <row r="5827" spans="3:6" x14ac:dyDescent="0.35">
      <c r="C5827" s="14"/>
      <c r="D5827" s="18"/>
      <c r="F5827" s="28"/>
    </row>
    <row r="5828" spans="3:6" x14ac:dyDescent="0.35">
      <c r="C5828" s="15"/>
      <c r="D5828" s="18"/>
      <c r="F5828" s="28"/>
    </row>
    <row r="5829" spans="3:6" x14ac:dyDescent="0.35">
      <c r="C5829" s="15"/>
      <c r="D5829" s="18"/>
      <c r="F5829" s="28"/>
    </row>
    <row r="5830" spans="3:6" x14ac:dyDescent="0.35">
      <c r="C5830" s="15"/>
      <c r="D5830" s="18"/>
      <c r="F5830" s="28"/>
    </row>
    <row r="5831" spans="3:6" x14ac:dyDescent="0.35">
      <c r="C5831" s="15"/>
      <c r="D5831" s="18"/>
      <c r="F5831" s="28"/>
    </row>
    <row r="5832" spans="3:6" x14ac:dyDescent="0.35">
      <c r="C5832" s="15"/>
      <c r="D5832" s="18"/>
      <c r="F5832" s="28"/>
    </row>
    <row r="5833" spans="3:6" x14ac:dyDescent="0.35">
      <c r="C5833" s="15"/>
      <c r="D5833" s="18"/>
      <c r="F5833" s="28"/>
    </row>
    <row r="5834" spans="3:6" x14ac:dyDescent="0.35">
      <c r="C5834" s="7"/>
      <c r="D5834" s="18"/>
      <c r="F5834" s="28"/>
    </row>
    <row r="5835" spans="3:6" x14ac:dyDescent="0.35">
      <c r="C5835" s="7"/>
      <c r="D5835" s="18"/>
      <c r="F5835" s="28"/>
    </row>
    <row r="5836" spans="3:6" x14ac:dyDescent="0.35">
      <c r="C5836" s="7"/>
      <c r="D5836" s="18"/>
      <c r="F5836" s="28"/>
    </row>
    <row r="5837" spans="3:6" x14ac:dyDescent="0.35">
      <c r="C5837" s="7"/>
      <c r="D5837" s="18"/>
      <c r="F5837" s="28"/>
    </row>
    <row r="5838" spans="3:6" x14ac:dyDescent="0.35">
      <c r="C5838" s="7"/>
      <c r="D5838" s="18"/>
      <c r="F5838" s="28"/>
    </row>
    <row r="5839" spans="3:6" x14ac:dyDescent="0.35">
      <c r="C5839" s="7"/>
      <c r="D5839" s="18"/>
      <c r="F5839" s="28"/>
    </row>
    <row r="5840" spans="3:6" x14ac:dyDescent="0.35">
      <c r="C5840" s="16"/>
      <c r="D5840" s="18"/>
      <c r="F5840" s="28"/>
    </row>
    <row r="5841" spans="3:6" x14ac:dyDescent="0.35">
      <c r="C5841" s="16"/>
      <c r="D5841" s="18"/>
      <c r="F5841" s="28"/>
    </row>
    <row r="5842" spans="3:6" x14ac:dyDescent="0.35">
      <c r="C5842" s="16"/>
      <c r="D5842" s="18"/>
      <c r="F5842" s="28"/>
    </row>
    <row r="5843" spans="3:6" x14ac:dyDescent="0.35">
      <c r="C5843" s="16"/>
      <c r="D5843" s="18"/>
      <c r="F5843" s="28"/>
    </row>
    <row r="5844" spans="3:6" x14ac:dyDescent="0.35">
      <c r="C5844" s="16"/>
      <c r="D5844" s="18"/>
      <c r="F5844" s="28"/>
    </row>
    <row r="5845" spans="3:6" x14ac:dyDescent="0.35">
      <c r="C5845" s="16"/>
      <c r="D5845" s="18"/>
      <c r="F5845" s="28"/>
    </row>
    <row r="5846" spans="3:6" x14ac:dyDescent="0.35">
      <c r="C5846" s="7"/>
      <c r="D5846" s="18"/>
      <c r="F5846" s="28"/>
    </row>
    <row r="5847" spans="3:6" x14ac:dyDescent="0.35">
      <c r="C5847" s="7"/>
      <c r="D5847" s="18"/>
      <c r="F5847" s="28"/>
    </row>
    <row r="5848" spans="3:6" x14ac:dyDescent="0.35">
      <c r="C5848" s="7"/>
      <c r="D5848" s="18"/>
      <c r="F5848" s="28"/>
    </row>
    <row r="5849" spans="3:6" x14ac:dyDescent="0.35">
      <c r="C5849" s="7"/>
      <c r="D5849" s="18"/>
      <c r="F5849" s="28"/>
    </row>
    <row r="5850" spans="3:6" x14ac:dyDescent="0.35">
      <c r="C5850" s="7"/>
      <c r="D5850" s="18"/>
      <c r="F5850" s="28"/>
    </row>
    <row r="5851" spans="3:6" x14ac:dyDescent="0.35">
      <c r="C5851" s="7"/>
      <c r="D5851" s="18"/>
      <c r="F5851" s="28"/>
    </row>
    <row r="5852" spans="3:6" x14ac:dyDescent="0.35">
      <c r="C5852" s="7"/>
      <c r="D5852" s="18"/>
      <c r="F5852" s="28"/>
    </row>
    <row r="5853" spans="3:6" x14ac:dyDescent="0.35">
      <c r="C5853" s="7"/>
      <c r="D5853" s="18"/>
      <c r="F5853" s="28"/>
    </row>
    <row r="5854" spans="3:6" x14ac:dyDescent="0.35">
      <c r="C5854" s="7"/>
      <c r="D5854" s="18"/>
      <c r="F5854" s="28"/>
    </row>
    <row r="5855" spans="3:6" x14ac:dyDescent="0.35">
      <c r="C5855" s="7"/>
      <c r="D5855" s="18"/>
      <c r="F5855" s="28"/>
    </row>
    <row r="5856" spans="3:6" x14ac:dyDescent="0.35">
      <c r="C5856" s="7"/>
      <c r="D5856" s="18"/>
      <c r="F5856" s="28"/>
    </row>
    <row r="5857" spans="3:6" x14ac:dyDescent="0.35">
      <c r="C5857" s="7"/>
      <c r="D5857" s="18"/>
      <c r="F5857" s="28"/>
    </row>
    <row r="5858" spans="3:6" x14ac:dyDescent="0.35">
      <c r="C5858" s="8"/>
      <c r="D5858" s="18"/>
      <c r="F5858" s="28"/>
    </row>
    <row r="5859" spans="3:6" x14ac:dyDescent="0.35">
      <c r="C5859" s="8"/>
      <c r="D5859" s="18"/>
      <c r="F5859" s="28"/>
    </row>
    <row r="5860" spans="3:6" x14ac:dyDescent="0.35">
      <c r="C5860" s="8"/>
      <c r="D5860" s="18"/>
      <c r="F5860" s="28"/>
    </row>
    <row r="5861" spans="3:6" x14ac:dyDescent="0.35">
      <c r="C5861" s="8"/>
      <c r="D5861" s="18"/>
      <c r="F5861" s="28"/>
    </row>
    <row r="5862" spans="3:6" x14ac:dyDescent="0.35">
      <c r="C5862" s="8"/>
      <c r="D5862" s="18"/>
      <c r="F5862" s="28"/>
    </row>
    <row r="5863" spans="3:6" x14ac:dyDescent="0.35">
      <c r="C5863" s="8"/>
      <c r="D5863" s="18"/>
      <c r="F5863" s="28"/>
    </row>
    <row r="5864" spans="3:6" x14ac:dyDescent="0.35">
      <c r="C5864" s="9"/>
      <c r="D5864" s="18"/>
      <c r="F5864" s="28"/>
    </row>
    <row r="5865" spans="3:6" x14ac:dyDescent="0.35">
      <c r="C5865" s="9"/>
      <c r="D5865" s="18"/>
      <c r="F5865" s="28"/>
    </row>
    <row r="5866" spans="3:6" x14ac:dyDescent="0.35">
      <c r="C5866" s="9"/>
      <c r="D5866" s="18"/>
      <c r="F5866" s="28"/>
    </row>
    <row r="5867" spans="3:6" x14ac:dyDescent="0.35">
      <c r="C5867" s="9"/>
      <c r="D5867" s="18"/>
      <c r="F5867" s="28"/>
    </row>
    <row r="5868" spans="3:6" x14ac:dyDescent="0.35">
      <c r="C5868" s="9"/>
      <c r="D5868" s="18"/>
      <c r="F5868" s="28"/>
    </row>
    <row r="5869" spans="3:6" x14ac:dyDescent="0.35">
      <c r="C5869" s="9"/>
      <c r="D5869" s="18"/>
      <c r="F5869" s="28"/>
    </row>
    <row r="5870" spans="3:6" x14ac:dyDescent="0.35">
      <c r="C5870" s="10"/>
      <c r="D5870" s="18"/>
      <c r="F5870" s="28"/>
    </row>
    <row r="5871" spans="3:6" x14ac:dyDescent="0.35">
      <c r="C5871" s="10"/>
      <c r="D5871" s="18"/>
      <c r="F5871" s="28"/>
    </row>
    <row r="5872" spans="3:6" x14ac:dyDescent="0.35">
      <c r="C5872" s="10"/>
      <c r="D5872" s="18"/>
      <c r="F5872" s="28"/>
    </row>
    <row r="5873" spans="3:6" x14ac:dyDescent="0.35">
      <c r="C5873" s="10"/>
      <c r="D5873" s="18"/>
      <c r="F5873" s="28"/>
    </row>
    <row r="5874" spans="3:6" x14ac:dyDescent="0.35">
      <c r="C5874" s="10"/>
      <c r="D5874" s="18"/>
      <c r="F5874" s="28"/>
    </row>
    <row r="5875" spans="3:6" x14ac:dyDescent="0.35">
      <c r="C5875" s="10"/>
      <c r="D5875" s="18"/>
      <c r="F5875" s="28"/>
    </row>
    <row r="5876" spans="3:6" x14ac:dyDescent="0.35">
      <c r="C5876" s="11"/>
      <c r="D5876" s="18"/>
      <c r="F5876" s="28"/>
    </row>
    <row r="5877" spans="3:6" x14ac:dyDescent="0.35">
      <c r="C5877" s="11"/>
      <c r="D5877" s="18"/>
      <c r="F5877" s="28"/>
    </row>
    <row r="5878" spans="3:6" x14ac:dyDescent="0.35">
      <c r="C5878" s="11"/>
      <c r="D5878" s="18"/>
      <c r="F5878" s="28"/>
    </row>
    <row r="5879" spans="3:6" x14ac:dyDescent="0.35">
      <c r="C5879" s="11"/>
      <c r="D5879" s="18"/>
      <c r="F5879" s="28"/>
    </row>
    <row r="5880" spans="3:6" x14ac:dyDescent="0.35">
      <c r="C5880" s="11"/>
      <c r="D5880" s="18"/>
      <c r="F5880" s="28"/>
    </row>
    <row r="5881" spans="3:6" x14ac:dyDescent="0.35">
      <c r="C5881" s="11"/>
      <c r="D5881" s="18"/>
      <c r="F5881" s="28"/>
    </row>
    <row r="5882" spans="3:6" x14ac:dyDescent="0.35">
      <c r="C5882" s="12"/>
      <c r="D5882" s="18"/>
      <c r="F5882" s="28"/>
    </row>
    <row r="5883" spans="3:6" x14ac:dyDescent="0.35">
      <c r="C5883" s="12"/>
      <c r="D5883" s="18"/>
      <c r="F5883" s="28"/>
    </row>
    <row r="5884" spans="3:6" x14ac:dyDescent="0.35">
      <c r="C5884" s="12"/>
      <c r="D5884" s="18"/>
      <c r="F5884" s="28"/>
    </row>
    <row r="5885" spans="3:6" x14ac:dyDescent="0.35">
      <c r="C5885" s="12"/>
      <c r="D5885" s="18"/>
      <c r="F5885" s="28"/>
    </row>
    <row r="5886" spans="3:6" x14ac:dyDescent="0.35">
      <c r="C5886" s="12"/>
      <c r="D5886" s="18"/>
      <c r="F5886" s="28"/>
    </row>
    <row r="5887" spans="3:6" x14ac:dyDescent="0.35">
      <c r="C5887" s="12"/>
      <c r="D5887" s="18"/>
      <c r="F5887" s="28"/>
    </row>
    <row r="5888" spans="3:6" x14ac:dyDescent="0.35">
      <c r="C5888" s="13"/>
      <c r="D5888" s="18"/>
      <c r="F5888" s="28"/>
    </row>
    <row r="5889" spans="3:6" x14ac:dyDescent="0.35">
      <c r="C5889" s="13"/>
      <c r="D5889" s="18"/>
      <c r="F5889" s="28"/>
    </row>
    <row r="5890" spans="3:6" x14ac:dyDescent="0.35">
      <c r="C5890" s="13"/>
      <c r="D5890" s="18"/>
      <c r="F5890" s="28"/>
    </row>
    <row r="5891" spans="3:6" x14ac:dyDescent="0.35">
      <c r="C5891" s="13"/>
      <c r="D5891" s="18"/>
      <c r="F5891" s="28"/>
    </row>
    <row r="5892" spans="3:6" x14ac:dyDescent="0.35">
      <c r="C5892" s="13"/>
      <c r="D5892" s="18"/>
      <c r="F5892" s="28"/>
    </row>
    <row r="5893" spans="3:6" x14ac:dyDescent="0.35">
      <c r="C5893" s="13"/>
      <c r="D5893" s="18"/>
      <c r="F5893" s="28"/>
    </row>
    <row r="5894" spans="3:6" x14ac:dyDescent="0.35">
      <c r="C5894" s="14"/>
      <c r="D5894" s="18"/>
      <c r="F5894" s="28"/>
    </row>
    <row r="5895" spans="3:6" x14ac:dyDescent="0.35">
      <c r="C5895" s="14"/>
      <c r="D5895" s="18"/>
      <c r="F5895" s="28"/>
    </row>
    <row r="5896" spans="3:6" x14ac:dyDescent="0.35">
      <c r="C5896" s="14"/>
      <c r="D5896" s="18"/>
      <c r="F5896" s="28"/>
    </row>
    <row r="5897" spans="3:6" x14ac:dyDescent="0.35">
      <c r="C5897" s="14"/>
      <c r="D5897" s="18"/>
      <c r="F5897" s="28"/>
    </row>
    <row r="5898" spans="3:6" x14ac:dyDescent="0.35">
      <c r="C5898" s="14"/>
      <c r="D5898" s="18"/>
      <c r="F5898" s="28"/>
    </row>
    <row r="5899" spans="3:6" x14ac:dyDescent="0.35">
      <c r="C5899" s="14"/>
      <c r="D5899" s="18"/>
      <c r="F5899" s="28"/>
    </row>
    <row r="5900" spans="3:6" x14ac:dyDescent="0.35">
      <c r="C5900" s="15"/>
      <c r="D5900" s="18"/>
      <c r="F5900" s="28"/>
    </row>
    <row r="5901" spans="3:6" x14ac:dyDescent="0.35">
      <c r="C5901" s="15"/>
      <c r="D5901" s="18"/>
      <c r="F5901" s="28"/>
    </row>
    <row r="5902" spans="3:6" x14ac:dyDescent="0.35">
      <c r="C5902" s="15"/>
      <c r="D5902" s="18"/>
      <c r="F5902" s="28"/>
    </row>
    <row r="5903" spans="3:6" x14ac:dyDescent="0.35">
      <c r="C5903" s="15"/>
      <c r="D5903" s="18"/>
      <c r="F5903" s="28"/>
    </row>
    <row r="5904" spans="3:6" x14ac:dyDescent="0.35">
      <c r="C5904" s="15"/>
      <c r="D5904" s="18"/>
      <c r="F5904" s="28"/>
    </row>
    <row r="5905" spans="3:6" x14ac:dyDescent="0.35">
      <c r="C5905" s="15"/>
      <c r="D5905" s="18"/>
      <c r="F5905" s="28"/>
    </row>
    <row r="5906" spans="3:6" x14ac:dyDescent="0.35">
      <c r="C5906" s="7"/>
      <c r="D5906" s="18"/>
      <c r="F5906" s="28"/>
    </row>
    <row r="5907" spans="3:6" x14ac:dyDescent="0.35">
      <c r="C5907" s="7"/>
      <c r="D5907" s="18"/>
      <c r="F5907" s="28"/>
    </row>
    <row r="5908" spans="3:6" x14ac:dyDescent="0.35">
      <c r="C5908" s="7"/>
      <c r="D5908" s="18"/>
      <c r="F5908" s="28"/>
    </row>
    <row r="5909" spans="3:6" x14ac:dyDescent="0.35">
      <c r="C5909" s="7"/>
      <c r="D5909" s="18"/>
      <c r="F5909" s="28"/>
    </row>
    <row r="5910" spans="3:6" x14ac:dyDescent="0.35">
      <c r="C5910" s="7"/>
      <c r="D5910" s="18"/>
      <c r="F5910" s="28"/>
    </row>
    <row r="5911" spans="3:6" x14ac:dyDescent="0.35">
      <c r="C5911" s="7"/>
      <c r="D5911" s="18"/>
      <c r="F5911" s="28"/>
    </row>
    <row r="5912" spans="3:6" x14ac:dyDescent="0.35">
      <c r="C5912" s="16"/>
      <c r="D5912" s="18"/>
      <c r="F5912" s="28"/>
    </row>
    <row r="5913" spans="3:6" x14ac:dyDescent="0.35">
      <c r="C5913" s="16"/>
      <c r="D5913" s="18"/>
      <c r="F5913" s="28"/>
    </row>
    <row r="5914" spans="3:6" x14ac:dyDescent="0.35">
      <c r="C5914" s="16"/>
      <c r="D5914" s="18"/>
      <c r="F5914" s="28"/>
    </row>
    <row r="5915" spans="3:6" x14ac:dyDescent="0.35">
      <c r="C5915" s="16"/>
      <c r="D5915" s="18"/>
      <c r="F5915" s="28"/>
    </row>
    <row r="5916" spans="3:6" x14ac:dyDescent="0.35">
      <c r="C5916" s="16"/>
      <c r="D5916" s="18"/>
      <c r="F5916" s="28"/>
    </row>
    <row r="5917" spans="3:6" x14ac:dyDescent="0.35">
      <c r="C5917" s="16"/>
      <c r="D5917" s="18"/>
      <c r="F5917" s="28"/>
    </row>
    <row r="5918" spans="3:6" x14ac:dyDescent="0.35">
      <c r="C5918" s="7"/>
      <c r="D5918" s="18"/>
      <c r="F5918" s="28"/>
    </row>
    <row r="5919" spans="3:6" x14ac:dyDescent="0.35">
      <c r="C5919" s="7"/>
      <c r="D5919" s="18"/>
      <c r="F5919" s="28"/>
    </row>
    <row r="5920" spans="3:6" x14ac:dyDescent="0.35">
      <c r="C5920" s="7"/>
      <c r="D5920" s="18"/>
      <c r="F5920" s="28"/>
    </row>
    <row r="5921" spans="3:6" x14ac:dyDescent="0.35">
      <c r="C5921" s="7"/>
      <c r="D5921" s="18"/>
      <c r="F5921" s="28"/>
    </row>
    <row r="5922" spans="3:6" x14ac:dyDescent="0.35">
      <c r="C5922" s="7"/>
      <c r="D5922" s="18"/>
      <c r="F5922" s="28"/>
    </row>
    <row r="5923" spans="3:6" x14ac:dyDescent="0.35">
      <c r="C5923" s="7"/>
      <c r="D5923" s="18"/>
      <c r="F5923" s="28"/>
    </row>
    <row r="5924" spans="3:6" x14ac:dyDescent="0.35">
      <c r="C5924" s="7"/>
      <c r="D5924" s="18"/>
      <c r="F5924" s="28"/>
    </row>
    <row r="5925" spans="3:6" x14ac:dyDescent="0.35">
      <c r="C5925" s="7"/>
      <c r="D5925" s="18"/>
      <c r="F5925" s="28"/>
    </row>
    <row r="5926" spans="3:6" x14ac:dyDescent="0.35">
      <c r="C5926" s="7"/>
      <c r="D5926" s="18"/>
      <c r="F5926" s="28"/>
    </row>
    <row r="5927" spans="3:6" x14ac:dyDescent="0.35">
      <c r="C5927" s="7"/>
      <c r="D5927" s="18"/>
      <c r="F5927" s="28"/>
    </row>
    <row r="5928" spans="3:6" x14ac:dyDescent="0.35">
      <c r="C5928" s="7"/>
      <c r="D5928" s="18"/>
      <c r="F5928" s="28"/>
    </row>
    <row r="5929" spans="3:6" x14ac:dyDescent="0.35">
      <c r="C5929" s="7"/>
      <c r="D5929" s="18"/>
      <c r="F5929" s="28"/>
    </row>
    <row r="5930" spans="3:6" x14ac:dyDescent="0.35">
      <c r="C5930" s="8"/>
      <c r="D5930" s="18"/>
      <c r="F5930" s="28"/>
    </row>
    <row r="5931" spans="3:6" x14ac:dyDescent="0.35">
      <c r="C5931" s="8"/>
      <c r="D5931" s="18"/>
      <c r="F5931" s="28"/>
    </row>
    <row r="5932" spans="3:6" x14ac:dyDescent="0.35">
      <c r="C5932" s="8"/>
      <c r="D5932" s="18"/>
      <c r="F5932" s="28"/>
    </row>
    <row r="5933" spans="3:6" x14ac:dyDescent="0.35">
      <c r="C5933" s="8"/>
      <c r="D5933" s="18"/>
      <c r="F5933" s="28"/>
    </row>
    <row r="5934" spans="3:6" x14ac:dyDescent="0.35">
      <c r="C5934" s="8"/>
      <c r="D5934" s="18"/>
      <c r="F5934" s="28"/>
    </row>
    <row r="5935" spans="3:6" x14ac:dyDescent="0.35">
      <c r="C5935" s="8"/>
      <c r="D5935" s="18"/>
      <c r="F5935" s="28"/>
    </row>
    <row r="5936" spans="3:6" x14ac:dyDescent="0.35">
      <c r="C5936" s="9"/>
      <c r="D5936" s="18"/>
      <c r="F5936" s="28"/>
    </row>
    <row r="5937" spans="3:6" x14ac:dyDescent="0.35">
      <c r="C5937" s="9"/>
      <c r="D5937" s="18"/>
      <c r="F5937" s="28"/>
    </row>
    <row r="5938" spans="3:6" x14ac:dyDescent="0.35">
      <c r="C5938" s="9"/>
      <c r="D5938" s="18"/>
      <c r="F5938" s="28"/>
    </row>
    <row r="5939" spans="3:6" x14ac:dyDescent="0.35">
      <c r="C5939" s="9"/>
      <c r="D5939" s="18"/>
      <c r="F5939" s="28"/>
    </row>
    <row r="5940" spans="3:6" x14ac:dyDescent="0.35">
      <c r="C5940" s="9"/>
      <c r="D5940" s="18"/>
      <c r="F5940" s="28"/>
    </row>
    <row r="5941" spans="3:6" x14ac:dyDescent="0.35">
      <c r="C5941" s="9"/>
      <c r="D5941" s="18"/>
      <c r="F5941" s="28"/>
    </row>
    <row r="5942" spans="3:6" x14ac:dyDescent="0.35">
      <c r="C5942" s="10"/>
      <c r="D5942" s="18"/>
      <c r="F5942" s="28"/>
    </row>
    <row r="5943" spans="3:6" x14ac:dyDescent="0.35">
      <c r="C5943" s="10"/>
      <c r="D5943" s="18"/>
      <c r="F5943" s="28"/>
    </row>
    <row r="5944" spans="3:6" x14ac:dyDescent="0.35">
      <c r="C5944" s="10"/>
      <c r="D5944" s="18"/>
      <c r="F5944" s="28"/>
    </row>
    <row r="5945" spans="3:6" x14ac:dyDescent="0.35">
      <c r="C5945" s="10"/>
      <c r="D5945" s="18"/>
      <c r="F5945" s="28"/>
    </row>
    <row r="5946" spans="3:6" x14ac:dyDescent="0.35">
      <c r="C5946" s="10"/>
      <c r="D5946" s="18"/>
      <c r="F5946" s="28"/>
    </row>
    <row r="5947" spans="3:6" x14ac:dyDescent="0.35">
      <c r="C5947" s="10"/>
      <c r="D5947" s="18"/>
      <c r="F5947" s="28"/>
    </row>
    <row r="5948" spans="3:6" x14ac:dyDescent="0.35">
      <c r="C5948" s="11"/>
      <c r="D5948" s="18"/>
      <c r="F5948" s="28"/>
    </row>
    <row r="5949" spans="3:6" x14ac:dyDescent="0.35">
      <c r="C5949" s="11"/>
      <c r="D5949" s="18"/>
      <c r="F5949" s="28"/>
    </row>
    <row r="5950" spans="3:6" x14ac:dyDescent="0.35">
      <c r="C5950" s="11"/>
      <c r="D5950" s="18"/>
      <c r="F5950" s="28"/>
    </row>
    <row r="5951" spans="3:6" x14ac:dyDescent="0.35">
      <c r="C5951" s="11"/>
      <c r="D5951" s="18"/>
      <c r="F5951" s="28"/>
    </row>
    <row r="5952" spans="3:6" x14ac:dyDescent="0.35">
      <c r="C5952" s="11"/>
      <c r="D5952" s="18"/>
      <c r="F5952" s="28"/>
    </row>
    <row r="5953" spans="3:6" x14ac:dyDescent="0.35">
      <c r="C5953" s="11"/>
      <c r="D5953" s="18"/>
      <c r="F5953" s="28"/>
    </row>
    <row r="5954" spans="3:6" x14ac:dyDescent="0.35">
      <c r="C5954" s="12"/>
      <c r="D5954" s="18"/>
      <c r="F5954" s="28"/>
    </row>
    <row r="5955" spans="3:6" x14ac:dyDescent="0.35">
      <c r="C5955" s="12"/>
      <c r="D5955" s="18"/>
      <c r="F5955" s="28"/>
    </row>
    <row r="5956" spans="3:6" x14ac:dyDescent="0.35">
      <c r="C5956" s="12"/>
      <c r="D5956" s="18"/>
      <c r="F5956" s="28"/>
    </row>
    <row r="5957" spans="3:6" x14ac:dyDescent="0.35">
      <c r="C5957" s="12"/>
      <c r="D5957" s="18"/>
      <c r="F5957" s="28"/>
    </row>
    <row r="5958" spans="3:6" x14ac:dyDescent="0.35">
      <c r="C5958" s="12"/>
      <c r="D5958" s="18"/>
      <c r="F5958" s="28"/>
    </row>
    <row r="5959" spans="3:6" x14ac:dyDescent="0.35">
      <c r="C5959" s="12"/>
      <c r="D5959" s="18"/>
      <c r="F5959" s="28"/>
    </row>
    <row r="5960" spans="3:6" x14ac:dyDescent="0.35">
      <c r="C5960" s="13"/>
      <c r="D5960" s="18"/>
      <c r="F5960" s="28"/>
    </row>
    <row r="5961" spans="3:6" x14ac:dyDescent="0.35">
      <c r="C5961" s="13"/>
      <c r="D5961" s="18"/>
      <c r="F5961" s="28"/>
    </row>
    <row r="5962" spans="3:6" x14ac:dyDescent="0.35">
      <c r="C5962" s="13"/>
      <c r="D5962" s="18"/>
      <c r="F5962" s="28"/>
    </row>
    <row r="5963" spans="3:6" x14ac:dyDescent="0.35">
      <c r="C5963" s="13"/>
      <c r="D5963" s="18"/>
      <c r="F5963" s="28"/>
    </row>
    <row r="5964" spans="3:6" x14ac:dyDescent="0.35">
      <c r="C5964" s="13"/>
      <c r="D5964" s="18"/>
      <c r="F5964" s="28"/>
    </row>
    <row r="5965" spans="3:6" x14ac:dyDescent="0.35">
      <c r="C5965" s="13"/>
      <c r="D5965" s="18"/>
      <c r="F5965" s="28"/>
    </row>
    <row r="5966" spans="3:6" x14ac:dyDescent="0.35">
      <c r="C5966" s="14"/>
      <c r="D5966" s="18"/>
      <c r="F5966" s="28"/>
    </row>
    <row r="5967" spans="3:6" x14ac:dyDescent="0.35">
      <c r="C5967" s="14"/>
      <c r="D5967" s="18"/>
      <c r="F5967" s="28"/>
    </row>
    <row r="5968" spans="3:6" x14ac:dyDescent="0.35">
      <c r="C5968" s="14"/>
      <c r="D5968" s="18"/>
      <c r="F5968" s="28"/>
    </row>
    <row r="5969" spans="3:6" x14ac:dyDescent="0.35">
      <c r="C5969" s="14"/>
      <c r="D5969" s="18"/>
      <c r="F5969" s="28"/>
    </row>
    <row r="5970" spans="3:6" x14ac:dyDescent="0.35">
      <c r="C5970" s="14"/>
      <c r="D5970" s="18"/>
      <c r="F5970" s="28"/>
    </row>
    <row r="5971" spans="3:6" x14ac:dyDescent="0.35">
      <c r="C5971" s="14"/>
      <c r="D5971" s="18"/>
      <c r="F5971" s="28"/>
    </row>
    <row r="5972" spans="3:6" x14ac:dyDescent="0.35">
      <c r="C5972" s="15"/>
      <c r="D5972" s="18"/>
      <c r="F5972" s="28"/>
    </row>
    <row r="5973" spans="3:6" x14ac:dyDescent="0.35">
      <c r="C5973" s="15"/>
      <c r="D5973" s="18"/>
      <c r="F5973" s="28"/>
    </row>
    <row r="5974" spans="3:6" x14ac:dyDescent="0.35">
      <c r="C5974" s="15"/>
      <c r="D5974" s="18"/>
      <c r="F5974" s="28"/>
    </row>
    <row r="5975" spans="3:6" x14ac:dyDescent="0.35">
      <c r="C5975" s="15"/>
      <c r="D5975" s="18"/>
      <c r="F5975" s="28"/>
    </row>
    <row r="5976" spans="3:6" x14ac:dyDescent="0.35">
      <c r="C5976" s="15"/>
      <c r="D5976" s="18"/>
      <c r="F5976" s="28"/>
    </row>
    <row r="5977" spans="3:6" x14ac:dyDescent="0.35">
      <c r="C5977" s="15"/>
      <c r="D5977" s="18"/>
      <c r="F5977" s="28"/>
    </row>
    <row r="5978" spans="3:6" x14ac:dyDescent="0.35">
      <c r="C5978" s="7"/>
      <c r="D5978" s="18"/>
      <c r="F5978" s="28"/>
    </row>
    <row r="5979" spans="3:6" x14ac:dyDescent="0.35">
      <c r="C5979" s="7"/>
      <c r="D5979" s="18"/>
      <c r="F5979" s="28"/>
    </row>
    <row r="5980" spans="3:6" x14ac:dyDescent="0.35">
      <c r="C5980" s="7"/>
      <c r="D5980" s="18"/>
      <c r="F5980" s="28"/>
    </row>
    <row r="5981" spans="3:6" x14ac:dyDescent="0.35">
      <c r="C5981" s="7"/>
      <c r="D5981" s="18"/>
      <c r="F5981" s="28"/>
    </row>
    <row r="5982" spans="3:6" x14ac:dyDescent="0.35">
      <c r="C5982" s="7"/>
      <c r="D5982" s="18"/>
      <c r="F5982" s="28"/>
    </row>
    <row r="5983" spans="3:6" x14ac:dyDescent="0.35">
      <c r="C5983" s="7"/>
      <c r="D5983" s="18"/>
      <c r="F5983" s="28"/>
    </row>
    <row r="5984" spans="3:6" x14ac:dyDescent="0.35">
      <c r="C5984" s="16"/>
      <c r="D5984" s="18"/>
      <c r="F5984" s="28"/>
    </row>
    <row r="5985" spans="3:6" x14ac:dyDescent="0.35">
      <c r="C5985" s="16"/>
      <c r="D5985" s="18"/>
      <c r="F5985" s="28"/>
    </row>
    <row r="5986" spans="3:6" x14ac:dyDescent="0.35">
      <c r="C5986" s="16"/>
      <c r="D5986" s="18"/>
      <c r="F5986" s="28"/>
    </row>
    <row r="5987" spans="3:6" x14ac:dyDescent="0.35">
      <c r="C5987" s="16"/>
      <c r="D5987" s="18"/>
      <c r="F5987" s="28"/>
    </row>
    <row r="5988" spans="3:6" x14ac:dyDescent="0.35">
      <c r="C5988" s="16"/>
      <c r="D5988" s="18"/>
      <c r="F5988" s="28"/>
    </row>
    <row r="5989" spans="3:6" x14ac:dyDescent="0.35">
      <c r="C5989" s="16"/>
      <c r="D5989" s="18"/>
      <c r="F5989" s="28"/>
    </row>
    <row r="5990" spans="3:6" x14ac:dyDescent="0.35">
      <c r="C5990" s="7"/>
      <c r="D5990" s="18"/>
      <c r="F5990" s="28"/>
    </row>
    <row r="5991" spans="3:6" x14ac:dyDescent="0.35">
      <c r="C5991" s="7"/>
      <c r="D5991" s="18"/>
      <c r="F5991" s="28"/>
    </row>
    <row r="5992" spans="3:6" x14ac:dyDescent="0.35">
      <c r="C5992" s="7"/>
      <c r="D5992" s="18"/>
      <c r="F5992" s="28"/>
    </row>
    <row r="5993" spans="3:6" x14ac:dyDescent="0.35">
      <c r="C5993" s="7"/>
      <c r="D5993" s="18"/>
      <c r="F5993" s="28"/>
    </row>
    <row r="5994" spans="3:6" x14ac:dyDescent="0.35">
      <c r="C5994" s="7"/>
      <c r="D5994" s="18"/>
      <c r="F5994" s="28"/>
    </row>
    <row r="5995" spans="3:6" x14ac:dyDescent="0.35">
      <c r="C5995" s="7"/>
      <c r="D5995" s="18"/>
      <c r="F5995" s="28"/>
    </row>
    <row r="5996" spans="3:6" x14ac:dyDescent="0.35">
      <c r="C5996" s="7"/>
      <c r="D5996" s="18"/>
      <c r="F5996" s="28"/>
    </row>
    <row r="5997" spans="3:6" x14ac:dyDescent="0.35">
      <c r="C5997" s="7"/>
      <c r="D5997" s="18"/>
      <c r="F5997" s="28"/>
    </row>
    <row r="5998" spans="3:6" x14ac:dyDescent="0.35">
      <c r="C5998" s="7"/>
      <c r="D5998" s="18"/>
      <c r="F5998" s="28"/>
    </row>
    <row r="5999" spans="3:6" x14ac:dyDescent="0.35">
      <c r="C5999" s="7"/>
      <c r="D5999" s="18"/>
      <c r="F5999" s="28"/>
    </row>
    <row r="6000" spans="3:6" x14ac:dyDescent="0.35">
      <c r="C6000" s="7"/>
      <c r="D6000" s="18"/>
      <c r="F6000" s="28"/>
    </row>
    <row r="6001" spans="3:6" x14ac:dyDescent="0.35">
      <c r="C6001" s="7"/>
      <c r="D6001" s="18"/>
      <c r="F6001" s="28"/>
    </row>
    <row r="6002" spans="3:6" x14ac:dyDescent="0.35">
      <c r="C6002" s="8"/>
      <c r="D6002" s="18"/>
      <c r="F6002" s="28"/>
    </row>
    <row r="6003" spans="3:6" x14ac:dyDescent="0.35">
      <c r="C6003" s="8"/>
      <c r="D6003" s="18"/>
      <c r="F6003" s="28"/>
    </row>
    <row r="6004" spans="3:6" x14ac:dyDescent="0.35">
      <c r="C6004" s="8"/>
      <c r="D6004" s="18"/>
      <c r="F6004" s="28"/>
    </row>
    <row r="6005" spans="3:6" x14ac:dyDescent="0.35">
      <c r="C6005" s="8"/>
      <c r="D6005" s="18"/>
      <c r="F6005" s="28"/>
    </row>
    <row r="6006" spans="3:6" x14ac:dyDescent="0.35">
      <c r="C6006" s="8"/>
      <c r="D6006" s="18"/>
      <c r="F6006" s="28"/>
    </row>
    <row r="6007" spans="3:6" x14ac:dyDescent="0.35">
      <c r="C6007" s="8"/>
      <c r="D6007" s="18"/>
      <c r="F6007" s="28"/>
    </row>
    <row r="6008" spans="3:6" x14ac:dyDescent="0.35">
      <c r="C6008" s="9"/>
      <c r="D6008" s="18"/>
      <c r="F6008" s="28"/>
    </row>
    <row r="6009" spans="3:6" x14ac:dyDescent="0.35">
      <c r="C6009" s="9"/>
      <c r="D6009" s="18"/>
      <c r="F6009" s="28"/>
    </row>
    <row r="6010" spans="3:6" x14ac:dyDescent="0.35">
      <c r="C6010" s="9"/>
      <c r="D6010" s="18"/>
      <c r="F6010" s="28"/>
    </row>
    <row r="6011" spans="3:6" x14ac:dyDescent="0.35">
      <c r="C6011" s="9"/>
      <c r="D6011" s="18"/>
      <c r="F6011" s="28"/>
    </row>
    <row r="6012" spans="3:6" x14ac:dyDescent="0.35">
      <c r="C6012" s="9"/>
      <c r="D6012" s="18"/>
      <c r="F6012" s="28"/>
    </row>
    <row r="6013" spans="3:6" x14ac:dyDescent="0.35">
      <c r="C6013" s="9"/>
      <c r="D6013" s="18"/>
      <c r="F6013" s="28"/>
    </row>
    <row r="6014" spans="3:6" x14ac:dyDescent="0.35">
      <c r="C6014" s="10"/>
      <c r="D6014" s="18"/>
      <c r="F6014" s="28"/>
    </row>
    <row r="6015" spans="3:6" x14ac:dyDescent="0.35">
      <c r="C6015" s="10"/>
      <c r="D6015" s="18"/>
      <c r="F6015" s="28"/>
    </row>
    <row r="6016" spans="3:6" x14ac:dyDescent="0.35">
      <c r="C6016" s="10"/>
      <c r="D6016" s="18"/>
      <c r="F6016" s="28"/>
    </row>
    <row r="6017" spans="3:6" x14ac:dyDescent="0.35">
      <c r="C6017" s="10"/>
      <c r="D6017" s="18"/>
      <c r="F6017" s="28"/>
    </row>
    <row r="6018" spans="3:6" x14ac:dyDescent="0.35">
      <c r="C6018" s="10"/>
      <c r="D6018" s="18"/>
      <c r="F6018" s="28"/>
    </row>
    <row r="6019" spans="3:6" x14ac:dyDescent="0.35">
      <c r="C6019" s="10"/>
      <c r="D6019" s="18"/>
      <c r="F6019" s="28"/>
    </row>
    <row r="6020" spans="3:6" x14ac:dyDescent="0.35">
      <c r="C6020" s="11"/>
      <c r="D6020" s="18"/>
      <c r="F6020" s="28"/>
    </row>
    <row r="6021" spans="3:6" x14ac:dyDescent="0.35">
      <c r="C6021" s="11"/>
      <c r="D6021" s="18"/>
      <c r="F6021" s="28"/>
    </row>
    <row r="6022" spans="3:6" x14ac:dyDescent="0.35">
      <c r="C6022" s="11"/>
      <c r="D6022" s="18"/>
      <c r="F6022" s="28"/>
    </row>
    <row r="6023" spans="3:6" x14ac:dyDescent="0.35">
      <c r="C6023" s="11"/>
      <c r="D6023" s="18"/>
      <c r="F6023" s="28"/>
    </row>
    <row r="6024" spans="3:6" x14ac:dyDescent="0.35">
      <c r="C6024" s="11"/>
      <c r="D6024" s="18"/>
      <c r="F6024" s="28"/>
    </row>
    <row r="6025" spans="3:6" x14ac:dyDescent="0.35">
      <c r="C6025" s="11"/>
      <c r="D6025" s="18"/>
      <c r="F6025" s="28"/>
    </row>
    <row r="6026" spans="3:6" x14ac:dyDescent="0.35">
      <c r="C6026" s="12"/>
      <c r="D6026" s="18"/>
      <c r="F6026" s="28"/>
    </row>
    <row r="6027" spans="3:6" x14ac:dyDescent="0.35">
      <c r="C6027" s="12"/>
      <c r="D6027" s="18"/>
      <c r="F6027" s="28"/>
    </row>
    <row r="6028" spans="3:6" x14ac:dyDescent="0.35">
      <c r="C6028" s="12"/>
      <c r="D6028" s="18"/>
      <c r="F6028" s="28"/>
    </row>
    <row r="6029" spans="3:6" x14ac:dyDescent="0.35">
      <c r="C6029" s="12"/>
      <c r="D6029" s="18"/>
      <c r="F6029" s="28"/>
    </row>
    <row r="6030" spans="3:6" x14ac:dyDescent="0.35">
      <c r="C6030" s="12"/>
      <c r="D6030" s="18"/>
      <c r="F6030" s="28"/>
    </row>
    <row r="6031" spans="3:6" x14ac:dyDescent="0.35">
      <c r="C6031" s="12"/>
      <c r="D6031" s="18"/>
      <c r="F6031" s="28"/>
    </row>
    <row r="6032" spans="3:6" x14ac:dyDescent="0.35">
      <c r="C6032" s="13"/>
      <c r="D6032" s="18"/>
      <c r="F6032" s="28"/>
    </row>
    <row r="6033" spans="3:6" x14ac:dyDescent="0.35">
      <c r="C6033" s="13"/>
      <c r="D6033" s="18"/>
      <c r="F6033" s="28"/>
    </row>
    <row r="6034" spans="3:6" x14ac:dyDescent="0.35">
      <c r="C6034" s="13"/>
      <c r="D6034" s="18"/>
      <c r="F6034" s="28"/>
    </row>
    <row r="6035" spans="3:6" x14ac:dyDescent="0.35">
      <c r="C6035" s="13"/>
      <c r="D6035" s="18"/>
      <c r="F6035" s="28"/>
    </row>
    <row r="6036" spans="3:6" x14ac:dyDescent="0.35">
      <c r="C6036" s="13"/>
      <c r="D6036" s="18"/>
      <c r="F6036" s="28"/>
    </row>
    <row r="6037" spans="3:6" x14ac:dyDescent="0.35">
      <c r="C6037" s="13"/>
      <c r="D6037" s="18"/>
      <c r="F6037" s="28"/>
    </row>
    <row r="6038" spans="3:6" x14ac:dyDescent="0.35">
      <c r="C6038" s="14"/>
      <c r="D6038" s="18"/>
      <c r="F6038" s="28"/>
    </row>
    <row r="6039" spans="3:6" x14ac:dyDescent="0.35">
      <c r="C6039" s="14"/>
      <c r="D6039" s="18"/>
      <c r="F6039" s="28"/>
    </row>
    <row r="6040" spans="3:6" x14ac:dyDescent="0.35">
      <c r="C6040" s="14"/>
      <c r="D6040" s="18"/>
      <c r="F6040" s="28"/>
    </row>
    <row r="6041" spans="3:6" x14ac:dyDescent="0.35">
      <c r="C6041" s="14"/>
      <c r="D6041" s="18"/>
      <c r="F6041" s="28"/>
    </row>
    <row r="6042" spans="3:6" x14ac:dyDescent="0.35">
      <c r="C6042" s="14"/>
      <c r="D6042" s="18"/>
      <c r="F6042" s="28"/>
    </row>
    <row r="6043" spans="3:6" x14ac:dyDescent="0.35">
      <c r="C6043" s="14"/>
      <c r="D6043" s="18"/>
      <c r="F6043" s="28"/>
    </row>
    <row r="6044" spans="3:6" x14ac:dyDescent="0.35">
      <c r="C6044" s="15"/>
      <c r="D6044" s="18"/>
      <c r="F6044" s="28"/>
    </row>
    <row r="6045" spans="3:6" x14ac:dyDescent="0.35">
      <c r="C6045" s="15"/>
      <c r="D6045" s="18"/>
      <c r="F6045" s="28"/>
    </row>
    <row r="6046" spans="3:6" x14ac:dyDescent="0.35">
      <c r="C6046" s="15"/>
      <c r="D6046" s="18"/>
      <c r="F6046" s="28"/>
    </row>
    <row r="6047" spans="3:6" x14ac:dyDescent="0.35">
      <c r="C6047" s="15"/>
      <c r="D6047" s="18"/>
      <c r="F6047" s="28"/>
    </row>
    <row r="6048" spans="3:6" x14ac:dyDescent="0.35">
      <c r="C6048" s="15"/>
      <c r="D6048" s="18"/>
      <c r="F6048" s="28"/>
    </row>
    <row r="6049" spans="3:6" x14ac:dyDescent="0.35">
      <c r="C6049" s="15"/>
      <c r="D6049" s="18"/>
      <c r="F6049" s="28"/>
    </row>
    <row r="6050" spans="3:6" x14ac:dyDescent="0.35">
      <c r="C6050" s="7"/>
      <c r="D6050" s="18"/>
      <c r="F6050" s="28"/>
    </row>
    <row r="6051" spans="3:6" x14ac:dyDescent="0.35">
      <c r="C6051" s="7"/>
      <c r="D6051" s="18"/>
      <c r="F6051" s="28"/>
    </row>
    <row r="6052" spans="3:6" x14ac:dyDescent="0.35">
      <c r="C6052" s="7"/>
      <c r="D6052" s="18"/>
      <c r="F6052" s="28"/>
    </row>
    <row r="6053" spans="3:6" x14ac:dyDescent="0.35">
      <c r="C6053" s="7"/>
      <c r="D6053" s="18"/>
      <c r="F6053" s="28"/>
    </row>
    <row r="6054" spans="3:6" x14ac:dyDescent="0.35">
      <c r="C6054" s="7"/>
      <c r="D6054" s="18"/>
      <c r="F6054" s="28"/>
    </row>
    <row r="6055" spans="3:6" x14ac:dyDescent="0.35">
      <c r="C6055" s="7"/>
      <c r="D6055" s="18"/>
      <c r="F6055" s="28"/>
    </row>
    <row r="6056" spans="3:6" x14ac:dyDescent="0.35">
      <c r="C6056" s="16"/>
      <c r="D6056" s="18"/>
      <c r="F6056" s="28"/>
    </row>
    <row r="6057" spans="3:6" x14ac:dyDescent="0.35">
      <c r="C6057" s="16"/>
      <c r="D6057" s="18"/>
      <c r="F6057" s="28"/>
    </row>
    <row r="6058" spans="3:6" x14ac:dyDescent="0.35">
      <c r="C6058" s="16"/>
      <c r="D6058" s="18"/>
      <c r="F6058" s="28"/>
    </row>
    <row r="6059" spans="3:6" x14ac:dyDescent="0.35">
      <c r="C6059" s="16"/>
      <c r="D6059" s="18"/>
      <c r="F6059" s="28"/>
    </row>
    <row r="6060" spans="3:6" x14ac:dyDescent="0.35">
      <c r="C6060" s="16"/>
      <c r="D6060" s="18"/>
      <c r="F6060" s="28"/>
    </row>
    <row r="6061" spans="3:6" x14ac:dyDescent="0.35">
      <c r="C6061" s="16"/>
      <c r="D6061" s="18"/>
      <c r="F6061" s="28"/>
    </row>
    <row r="6062" spans="3:6" x14ac:dyDescent="0.35">
      <c r="C6062" s="7"/>
      <c r="D6062" s="18"/>
      <c r="F6062" s="28"/>
    </row>
    <row r="6063" spans="3:6" x14ac:dyDescent="0.35">
      <c r="C6063" s="7"/>
      <c r="D6063" s="18"/>
      <c r="F6063" s="28"/>
    </row>
    <row r="6064" spans="3:6" x14ac:dyDescent="0.35">
      <c r="C6064" s="7"/>
      <c r="D6064" s="18"/>
      <c r="F6064" s="28"/>
    </row>
    <row r="6065" spans="3:6" x14ac:dyDescent="0.35">
      <c r="C6065" s="7"/>
      <c r="D6065" s="18"/>
      <c r="F6065" s="28"/>
    </row>
    <row r="6066" spans="3:6" x14ac:dyDescent="0.35">
      <c r="C6066" s="7"/>
      <c r="D6066" s="18"/>
      <c r="F6066" s="28"/>
    </row>
    <row r="6067" spans="3:6" x14ac:dyDescent="0.35">
      <c r="C6067" s="7"/>
      <c r="D6067" s="18"/>
      <c r="F6067" s="28"/>
    </row>
    <row r="6068" spans="3:6" x14ac:dyDescent="0.35">
      <c r="C6068" s="7"/>
      <c r="D6068" s="18"/>
      <c r="F6068" s="28"/>
    </row>
    <row r="6069" spans="3:6" x14ac:dyDescent="0.35">
      <c r="C6069" s="7"/>
      <c r="D6069" s="18"/>
      <c r="F6069" s="28"/>
    </row>
    <row r="6070" spans="3:6" x14ac:dyDescent="0.35">
      <c r="C6070" s="7"/>
      <c r="D6070" s="18"/>
      <c r="F6070" s="28"/>
    </row>
    <row r="6071" spans="3:6" x14ac:dyDescent="0.35">
      <c r="C6071" s="7"/>
      <c r="D6071" s="18"/>
      <c r="F6071" s="28"/>
    </row>
    <row r="6072" spans="3:6" x14ac:dyDescent="0.35">
      <c r="C6072" s="7"/>
      <c r="D6072" s="18"/>
      <c r="F6072" s="28"/>
    </row>
    <row r="6073" spans="3:6" x14ac:dyDescent="0.35">
      <c r="C6073" s="7"/>
      <c r="D6073" s="18"/>
      <c r="F6073" s="28"/>
    </row>
    <row r="6074" spans="3:6" x14ac:dyDescent="0.35">
      <c r="C6074" s="8"/>
      <c r="D6074" s="18"/>
      <c r="F6074" s="28"/>
    </row>
    <row r="6075" spans="3:6" x14ac:dyDescent="0.35">
      <c r="C6075" s="8"/>
      <c r="D6075" s="18"/>
      <c r="F6075" s="28"/>
    </row>
    <row r="6076" spans="3:6" x14ac:dyDescent="0.35">
      <c r="C6076" s="8"/>
      <c r="D6076" s="18"/>
      <c r="F6076" s="28"/>
    </row>
    <row r="6077" spans="3:6" x14ac:dyDescent="0.35">
      <c r="C6077" s="8"/>
      <c r="D6077" s="18"/>
      <c r="F6077" s="28"/>
    </row>
    <row r="6078" spans="3:6" x14ac:dyDescent="0.35">
      <c r="C6078" s="8"/>
      <c r="D6078" s="18"/>
      <c r="F6078" s="28"/>
    </row>
    <row r="6079" spans="3:6" x14ac:dyDescent="0.35">
      <c r="C6079" s="8"/>
      <c r="D6079" s="18"/>
      <c r="F6079" s="28"/>
    </row>
    <row r="6080" spans="3:6" x14ac:dyDescent="0.35">
      <c r="C6080" s="9"/>
      <c r="D6080" s="18"/>
      <c r="F6080" s="28"/>
    </row>
    <row r="6081" spans="3:6" x14ac:dyDescent="0.35">
      <c r="C6081" s="9"/>
      <c r="D6081" s="18"/>
      <c r="F6081" s="28"/>
    </row>
    <row r="6082" spans="3:6" x14ac:dyDescent="0.35">
      <c r="C6082" s="9"/>
      <c r="D6082" s="18"/>
      <c r="F6082" s="28"/>
    </row>
    <row r="6083" spans="3:6" x14ac:dyDescent="0.35">
      <c r="C6083" s="9"/>
      <c r="D6083" s="18"/>
      <c r="F6083" s="28"/>
    </row>
    <row r="6084" spans="3:6" x14ac:dyDescent="0.35">
      <c r="C6084" s="9"/>
      <c r="D6084" s="18"/>
      <c r="F6084" s="28"/>
    </row>
    <row r="6085" spans="3:6" x14ac:dyDescent="0.35">
      <c r="C6085" s="9"/>
      <c r="D6085" s="18"/>
      <c r="F6085" s="28"/>
    </row>
    <row r="6086" spans="3:6" x14ac:dyDescent="0.35">
      <c r="C6086" s="10"/>
      <c r="D6086" s="18"/>
      <c r="F6086" s="28"/>
    </row>
    <row r="6087" spans="3:6" x14ac:dyDescent="0.35">
      <c r="C6087" s="10"/>
      <c r="D6087" s="18"/>
      <c r="F6087" s="28"/>
    </row>
    <row r="6088" spans="3:6" x14ac:dyDescent="0.35">
      <c r="C6088" s="10"/>
      <c r="D6088" s="18"/>
      <c r="F6088" s="28"/>
    </row>
    <row r="6089" spans="3:6" x14ac:dyDescent="0.35">
      <c r="C6089" s="10"/>
      <c r="D6089" s="18"/>
      <c r="F6089" s="28"/>
    </row>
    <row r="6090" spans="3:6" x14ac:dyDescent="0.35">
      <c r="C6090" s="10"/>
      <c r="D6090" s="18"/>
      <c r="F6090" s="28"/>
    </row>
    <row r="6091" spans="3:6" x14ac:dyDescent="0.35">
      <c r="C6091" s="10"/>
      <c r="D6091" s="18"/>
      <c r="F6091" s="28"/>
    </row>
    <row r="6092" spans="3:6" x14ac:dyDescent="0.35">
      <c r="C6092" s="11"/>
      <c r="D6092" s="18"/>
      <c r="F6092" s="28"/>
    </row>
    <row r="6093" spans="3:6" x14ac:dyDescent="0.35">
      <c r="C6093" s="11"/>
      <c r="D6093" s="18"/>
      <c r="F6093" s="28"/>
    </row>
    <row r="6094" spans="3:6" x14ac:dyDescent="0.35">
      <c r="C6094" s="11"/>
      <c r="D6094" s="18"/>
      <c r="F6094" s="28"/>
    </row>
    <row r="6095" spans="3:6" x14ac:dyDescent="0.35">
      <c r="C6095" s="11"/>
      <c r="D6095" s="18"/>
      <c r="F6095" s="28"/>
    </row>
    <row r="6096" spans="3:6" x14ac:dyDescent="0.35">
      <c r="C6096" s="11"/>
      <c r="D6096" s="18"/>
      <c r="F6096" s="28"/>
    </row>
    <row r="6097" spans="3:6" x14ac:dyDescent="0.35">
      <c r="C6097" s="11"/>
      <c r="D6097" s="18"/>
      <c r="F6097" s="28"/>
    </row>
    <row r="6098" spans="3:6" x14ac:dyDescent="0.35">
      <c r="C6098" s="12"/>
      <c r="D6098" s="18"/>
      <c r="F6098" s="28"/>
    </row>
    <row r="6099" spans="3:6" x14ac:dyDescent="0.35">
      <c r="C6099" s="12"/>
      <c r="D6099" s="18"/>
      <c r="F6099" s="28"/>
    </row>
    <row r="6100" spans="3:6" x14ac:dyDescent="0.35">
      <c r="C6100" s="12"/>
      <c r="D6100" s="18"/>
      <c r="F6100" s="28"/>
    </row>
    <row r="6101" spans="3:6" x14ac:dyDescent="0.35">
      <c r="C6101" s="12"/>
      <c r="D6101" s="18"/>
      <c r="F6101" s="28"/>
    </row>
    <row r="6102" spans="3:6" x14ac:dyDescent="0.35">
      <c r="C6102" s="12"/>
      <c r="D6102" s="18"/>
      <c r="F6102" s="28"/>
    </row>
    <row r="6103" spans="3:6" x14ac:dyDescent="0.35">
      <c r="C6103" s="12"/>
      <c r="D6103" s="18"/>
      <c r="F6103" s="28"/>
    </row>
    <row r="6104" spans="3:6" x14ac:dyDescent="0.35">
      <c r="C6104" s="13"/>
      <c r="D6104" s="18"/>
      <c r="F6104" s="28"/>
    </row>
    <row r="6105" spans="3:6" x14ac:dyDescent="0.35">
      <c r="C6105" s="13"/>
      <c r="D6105" s="18"/>
      <c r="F6105" s="28"/>
    </row>
    <row r="6106" spans="3:6" x14ac:dyDescent="0.35">
      <c r="C6106" s="13"/>
      <c r="D6106" s="18"/>
      <c r="F6106" s="28"/>
    </row>
    <row r="6107" spans="3:6" x14ac:dyDescent="0.35">
      <c r="C6107" s="13"/>
      <c r="D6107" s="18"/>
      <c r="F6107" s="28"/>
    </row>
    <row r="6108" spans="3:6" x14ac:dyDescent="0.35">
      <c r="C6108" s="13"/>
      <c r="D6108" s="18"/>
      <c r="F6108" s="28"/>
    </row>
    <row r="6109" spans="3:6" x14ac:dyDescent="0.35">
      <c r="C6109" s="13"/>
      <c r="D6109" s="18"/>
      <c r="F6109" s="28"/>
    </row>
    <row r="6110" spans="3:6" x14ac:dyDescent="0.35">
      <c r="C6110" s="14"/>
      <c r="D6110" s="18"/>
      <c r="F6110" s="28"/>
    </row>
    <row r="6111" spans="3:6" x14ac:dyDescent="0.35">
      <c r="C6111" s="14"/>
      <c r="D6111" s="18"/>
      <c r="F6111" s="28"/>
    </row>
    <row r="6112" spans="3:6" x14ac:dyDescent="0.35">
      <c r="C6112" s="14"/>
      <c r="D6112" s="18"/>
      <c r="F6112" s="28"/>
    </row>
    <row r="6113" spans="3:6" x14ac:dyDescent="0.35">
      <c r="C6113" s="14"/>
      <c r="D6113" s="18"/>
      <c r="F6113" s="28"/>
    </row>
    <row r="6114" spans="3:6" x14ac:dyDescent="0.35">
      <c r="C6114" s="14"/>
      <c r="D6114" s="18"/>
      <c r="F6114" s="28"/>
    </row>
    <row r="6115" spans="3:6" x14ac:dyDescent="0.35">
      <c r="C6115" s="14"/>
      <c r="D6115" s="18"/>
      <c r="F6115" s="28"/>
    </row>
    <row r="6116" spans="3:6" x14ac:dyDescent="0.35">
      <c r="C6116" s="15"/>
      <c r="D6116" s="18"/>
      <c r="F6116" s="28"/>
    </row>
    <row r="6117" spans="3:6" x14ac:dyDescent="0.35">
      <c r="C6117" s="15"/>
      <c r="D6117" s="18"/>
      <c r="F6117" s="28"/>
    </row>
    <row r="6118" spans="3:6" x14ac:dyDescent="0.35">
      <c r="C6118" s="15"/>
      <c r="D6118" s="18"/>
      <c r="F6118" s="28"/>
    </row>
    <row r="6119" spans="3:6" x14ac:dyDescent="0.35">
      <c r="C6119" s="15"/>
      <c r="D6119" s="18"/>
      <c r="F6119" s="28"/>
    </row>
    <row r="6120" spans="3:6" x14ac:dyDescent="0.35">
      <c r="C6120" s="15"/>
      <c r="D6120" s="18"/>
      <c r="F6120" s="28"/>
    </row>
    <row r="6121" spans="3:6" x14ac:dyDescent="0.35">
      <c r="C6121" s="15"/>
      <c r="D6121" s="18"/>
      <c r="F6121" s="28"/>
    </row>
    <row r="6122" spans="3:6" x14ac:dyDescent="0.35">
      <c r="C6122" s="7"/>
      <c r="D6122" s="18"/>
      <c r="F6122" s="28"/>
    </row>
    <row r="6123" spans="3:6" x14ac:dyDescent="0.35">
      <c r="C6123" s="7"/>
      <c r="D6123" s="18"/>
      <c r="F6123" s="28"/>
    </row>
    <row r="6124" spans="3:6" x14ac:dyDescent="0.35">
      <c r="C6124" s="7"/>
      <c r="D6124" s="18"/>
      <c r="F6124" s="28"/>
    </row>
    <row r="6125" spans="3:6" x14ac:dyDescent="0.35">
      <c r="C6125" s="7"/>
      <c r="D6125" s="18"/>
      <c r="F6125" s="28"/>
    </row>
    <row r="6126" spans="3:6" x14ac:dyDescent="0.35">
      <c r="C6126" s="7"/>
      <c r="D6126" s="18"/>
      <c r="F6126" s="28"/>
    </row>
    <row r="6127" spans="3:6" x14ac:dyDescent="0.35">
      <c r="C6127" s="7"/>
      <c r="D6127" s="18"/>
      <c r="F6127" s="28"/>
    </row>
    <row r="6128" spans="3:6" x14ac:dyDescent="0.35">
      <c r="C6128" s="16"/>
      <c r="D6128" s="18"/>
      <c r="F6128" s="28"/>
    </row>
    <row r="6129" spans="3:6" x14ac:dyDescent="0.35">
      <c r="C6129" s="16"/>
      <c r="D6129" s="18"/>
      <c r="F6129" s="28"/>
    </row>
    <row r="6130" spans="3:6" x14ac:dyDescent="0.35">
      <c r="C6130" s="16"/>
      <c r="D6130" s="18"/>
      <c r="F6130" s="28"/>
    </row>
    <row r="6131" spans="3:6" x14ac:dyDescent="0.35">
      <c r="C6131" s="16"/>
      <c r="D6131" s="18"/>
      <c r="F6131" s="28"/>
    </row>
    <row r="6132" spans="3:6" x14ac:dyDescent="0.35">
      <c r="C6132" s="16"/>
      <c r="D6132" s="18"/>
      <c r="F6132" s="28"/>
    </row>
    <row r="6133" spans="3:6" x14ac:dyDescent="0.35">
      <c r="C6133" s="16"/>
      <c r="D6133" s="18"/>
      <c r="F6133" s="28"/>
    </row>
    <row r="6134" spans="3:6" x14ac:dyDescent="0.35">
      <c r="C6134" s="7"/>
      <c r="D6134" s="18"/>
      <c r="F6134" s="28"/>
    </row>
    <row r="6135" spans="3:6" x14ac:dyDescent="0.35">
      <c r="C6135" s="7"/>
      <c r="D6135" s="18"/>
      <c r="F6135" s="28"/>
    </row>
    <row r="6136" spans="3:6" x14ac:dyDescent="0.35">
      <c r="C6136" s="7"/>
      <c r="D6136" s="18"/>
      <c r="F6136" s="28"/>
    </row>
    <row r="6137" spans="3:6" x14ac:dyDescent="0.35">
      <c r="C6137" s="7"/>
      <c r="D6137" s="18"/>
      <c r="F6137" s="28"/>
    </row>
    <row r="6138" spans="3:6" x14ac:dyDescent="0.35">
      <c r="C6138" s="7"/>
      <c r="D6138" s="18"/>
      <c r="F6138" s="28"/>
    </row>
    <row r="6139" spans="3:6" x14ac:dyDescent="0.35">
      <c r="C6139" s="7"/>
      <c r="D6139" s="18"/>
      <c r="F6139" s="28"/>
    </row>
    <row r="6140" spans="3:6" x14ac:dyDescent="0.35">
      <c r="C6140" s="7"/>
      <c r="D6140" s="18"/>
      <c r="F6140" s="28"/>
    </row>
    <row r="6141" spans="3:6" x14ac:dyDescent="0.35">
      <c r="C6141" s="7"/>
      <c r="D6141" s="18"/>
      <c r="F6141" s="28"/>
    </row>
    <row r="6142" spans="3:6" x14ac:dyDescent="0.35">
      <c r="C6142" s="7"/>
      <c r="D6142" s="18"/>
      <c r="F6142" s="28"/>
    </row>
    <row r="6143" spans="3:6" x14ac:dyDescent="0.35">
      <c r="C6143" s="7"/>
      <c r="D6143" s="18"/>
      <c r="F6143" s="28"/>
    </row>
    <row r="6144" spans="3:6" x14ac:dyDescent="0.35">
      <c r="C6144" s="7"/>
      <c r="D6144" s="18"/>
      <c r="F6144" s="28"/>
    </row>
    <row r="6145" spans="3:6" x14ac:dyDescent="0.35">
      <c r="C6145" s="7"/>
      <c r="D6145" s="18"/>
      <c r="F6145" s="28"/>
    </row>
    <row r="6146" spans="3:6" x14ac:dyDescent="0.35">
      <c r="C6146" s="8"/>
      <c r="D6146" s="18"/>
      <c r="F6146" s="28"/>
    </row>
    <row r="6147" spans="3:6" x14ac:dyDescent="0.35">
      <c r="C6147" s="8"/>
      <c r="D6147" s="18"/>
      <c r="F6147" s="28"/>
    </row>
    <row r="6148" spans="3:6" x14ac:dyDescent="0.35">
      <c r="C6148" s="8"/>
      <c r="D6148" s="18"/>
      <c r="F6148" s="28"/>
    </row>
    <row r="6149" spans="3:6" x14ac:dyDescent="0.35">
      <c r="C6149" s="8"/>
      <c r="D6149" s="18"/>
      <c r="F6149" s="28"/>
    </row>
    <row r="6150" spans="3:6" x14ac:dyDescent="0.35">
      <c r="C6150" s="8"/>
      <c r="D6150" s="18"/>
      <c r="F6150" s="28"/>
    </row>
    <row r="6151" spans="3:6" x14ac:dyDescent="0.35">
      <c r="C6151" s="8"/>
      <c r="D6151" s="18"/>
      <c r="F6151" s="28"/>
    </row>
    <row r="6152" spans="3:6" x14ac:dyDescent="0.35">
      <c r="C6152" s="9"/>
      <c r="D6152" s="18"/>
      <c r="F6152" s="28"/>
    </row>
    <row r="6153" spans="3:6" x14ac:dyDescent="0.35">
      <c r="C6153" s="9"/>
      <c r="D6153" s="18"/>
      <c r="F6153" s="28"/>
    </row>
    <row r="6154" spans="3:6" x14ac:dyDescent="0.35">
      <c r="C6154" s="9"/>
      <c r="D6154" s="18"/>
      <c r="F6154" s="28"/>
    </row>
    <row r="6155" spans="3:6" x14ac:dyDescent="0.35">
      <c r="C6155" s="9"/>
      <c r="D6155" s="18"/>
      <c r="F6155" s="28"/>
    </row>
    <row r="6156" spans="3:6" x14ac:dyDescent="0.35">
      <c r="C6156" s="9"/>
      <c r="D6156" s="18"/>
      <c r="F6156" s="28"/>
    </row>
    <row r="6157" spans="3:6" x14ac:dyDescent="0.35">
      <c r="C6157" s="9"/>
      <c r="D6157" s="18"/>
      <c r="F6157" s="28"/>
    </row>
    <row r="6158" spans="3:6" x14ac:dyDescent="0.35">
      <c r="C6158" s="10"/>
      <c r="D6158" s="18"/>
      <c r="F6158" s="28"/>
    </row>
    <row r="6159" spans="3:6" x14ac:dyDescent="0.35">
      <c r="C6159" s="10"/>
      <c r="D6159" s="18"/>
      <c r="F6159" s="28"/>
    </row>
    <row r="6160" spans="3:6" x14ac:dyDescent="0.35">
      <c r="C6160" s="10"/>
      <c r="D6160" s="18"/>
      <c r="F6160" s="28"/>
    </row>
    <row r="6161" spans="3:6" x14ac:dyDescent="0.35">
      <c r="C6161" s="10"/>
      <c r="D6161" s="18"/>
      <c r="F6161" s="28"/>
    </row>
    <row r="6162" spans="3:6" x14ac:dyDescent="0.35">
      <c r="C6162" s="10"/>
      <c r="D6162" s="18"/>
      <c r="F6162" s="28"/>
    </row>
    <row r="6163" spans="3:6" x14ac:dyDescent="0.35">
      <c r="C6163" s="10"/>
      <c r="D6163" s="18"/>
      <c r="F6163" s="28"/>
    </row>
    <row r="6164" spans="3:6" x14ac:dyDescent="0.35">
      <c r="C6164" s="11"/>
      <c r="D6164" s="18"/>
      <c r="F6164" s="28"/>
    </row>
    <row r="6165" spans="3:6" x14ac:dyDescent="0.35">
      <c r="C6165" s="11"/>
      <c r="D6165" s="18"/>
      <c r="F6165" s="28"/>
    </row>
    <row r="6166" spans="3:6" x14ac:dyDescent="0.35">
      <c r="C6166" s="11"/>
      <c r="D6166" s="18"/>
      <c r="F6166" s="28"/>
    </row>
    <row r="6167" spans="3:6" x14ac:dyDescent="0.35">
      <c r="C6167" s="11"/>
      <c r="D6167" s="18"/>
      <c r="F6167" s="28"/>
    </row>
    <row r="6168" spans="3:6" x14ac:dyDescent="0.35">
      <c r="C6168" s="11"/>
      <c r="D6168" s="18"/>
      <c r="F6168" s="28"/>
    </row>
    <row r="6169" spans="3:6" x14ac:dyDescent="0.35">
      <c r="C6169" s="11"/>
      <c r="D6169" s="18"/>
      <c r="F6169" s="28"/>
    </row>
    <row r="6170" spans="3:6" x14ac:dyDescent="0.35">
      <c r="C6170" s="12"/>
      <c r="D6170" s="18"/>
      <c r="F6170" s="28"/>
    </row>
    <row r="6171" spans="3:6" x14ac:dyDescent="0.35">
      <c r="C6171" s="12"/>
      <c r="D6171" s="18"/>
      <c r="F6171" s="28"/>
    </row>
    <row r="6172" spans="3:6" x14ac:dyDescent="0.35">
      <c r="C6172" s="12"/>
      <c r="D6172" s="18"/>
      <c r="F6172" s="28"/>
    </row>
    <row r="6173" spans="3:6" x14ac:dyDescent="0.35">
      <c r="C6173" s="12"/>
      <c r="D6173" s="18"/>
      <c r="F6173" s="28"/>
    </row>
    <row r="6174" spans="3:6" x14ac:dyDescent="0.35">
      <c r="C6174" s="12"/>
      <c r="D6174" s="18"/>
      <c r="F6174" s="28"/>
    </row>
    <row r="6175" spans="3:6" x14ac:dyDescent="0.35">
      <c r="C6175" s="12"/>
      <c r="D6175" s="18"/>
      <c r="F6175" s="28"/>
    </row>
    <row r="6176" spans="3:6" x14ac:dyDescent="0.35">
      <c r="C6176" s="13"/>
      <c r="D6176" s="18"/>
      <c r="F6176" s="28"/>
    </row>
    <row r="6177" spans="3:6" x14ac:dyDescent="0.35">
      <c r="C6177" s="13"/>
      <c r="D6177" s="18"/>
      <c r="F6177" s="28"/>
    </row>
    <row r="6178" spans="3:6" x14ac:dyDescent="0.35">
      <c r="C6178" s="13"/>
      <c r="D6178" s="18"/>
      <c r="F6178" s="28"/>
    </row>
    <row r="6179" spans="3:6" x14ac:dyDescent="0.35">
      <c r="C6179" s="13"/>
      <c r="D6179" s="18"/>
      <c r="F6179" s="28"/>
    </row>
    <row r="6180" spans="3:6" x14ac:dyDescent="0.35">
      <c r="C6180" s="13"/>
      <c r="D6180" s="18"/>
      <c r="F6180" s="28"/>
    </row>
    <row r="6181" spans="3:6" x14ac:dyDescent="0.35">
      <c r="C6181" s="13"/>
      <c r="D6181" s="18"/>
      <c r="F6181" s="28"/>
    </row>
    <row r="6182" spans="3:6" x14ac:dyDescent="0.35">
      <c r="C6182" s="14"/>
      <c r="D6182" s="18"/>
      <c r="F6182" s="28"/>
    </row>
    <row r="6183" spans="3:6" x14ac:dyDescent="0.35">
      <c r="C6183" s="14"/>
      <c r="D6183" s="18"/>
      <c r="F6183" s="28"/>
    </row>
    <row r="6184" spans="3:6" x14ac:dyDescent="0.35">
      <c r="C6184" s="14"/>
      <c r="D6184" s="18"/>
      <c r="F6184" s="28"/>
    </row>
    <row r="6185" spans="3:6" x14ac:dyDescent="0.35">
      <c r="C6185" s="14"/>
      <c r="D6185" s="18"/>
      <c r="F6185" s="28"/>
    </row>
    <row r="6186" spans="3:6" x14ac:dyDescent="0.35">
      <c r="C6186" s="14"/>
      <c r="D6186" s="18"/>
      <c r="F6186" s="28"/>
    </row>
    <row r="6187" spans="3:6" x14ac:dyDescent="0.35">
      <c r="C6187" s="14"/>
      <c r="D6187" s="18"/>
      <c r="F6187" s="28"/>
    </row>
    <row r="6188" spans="3:6" x14ac:dyDescent="0.35">
      <c r="C6188" s="15"/>
      <c r="D6188" s="18"/>
      <c r="F6188" s="28"/>
    </row>
    <row r="6189" spans="3:6" x14ac:dyDescent="0.35">
      <c r="C6189" s="15"/>
      <c r="D6189" s="18"/>
      <c r="F6189" s="28"/>
    </row>
    <row r="6190" spans="3:6" x14ac:dyDescent="0.35">
      <c r="C6190" s="15"/>
      <c r="D6190" s="18"/>
      <c r="F6190" s="28"/>
    </row>
    <row r="6191" spans="3:6" x14ac:dyDescent="0.35">
      <c r="C6191" s="15"/>
      <c r="D6191" s="18"/>
      <c r="F6191" s="28"/>
    </row>
    <row r="6192" spans="3:6" x14ac:dyDescent="0.35">
      <c r="C6192" s="15"/>
      <c r="D6192" s="18"/>
      <c r="F6192" s="28"/>
    </row>
    <row r="6193" spans="3:6" x14ac:dyDescent="0.35">
      <c r="C6193" s="15"/>
      <c r="D6193" s="18"/>
      <c r="F6193" s="28"/>
    </row>
    <row r="6194" spans="3:6" x14ac:dyDescent="0.35">
      <c r="C6194" s="7"/>
      <c r="D6194" s="18"/>
      <c r="F6194" s="28"/>
    </row>
    <row r="6195" spans="3:6" x14ac:dyDescent="0.35">
      <c r="C6195" s="7"/>
      <c r="D6195" s="18"/>
      <c r="F6195" s="28"/>
    </row>
    <row r="6196" spans="3:6" x14ac:dyDescent="0.35">
      <c r="C6196" s="7"/>
      <c r="D6196" s="18"/>
      <c r="F6196" s="28"/>
    </row>
    <row r="6197" spans="3:6" x14ac:dyDescent="0.35">
      <c r="C6197" s="7"/>
      <c r="D6197" s="18"/>
      <c r="F6197" s="28"/>
    </row>
    <row r="6198" spans="3:6" x14ac:dyDescent="0.35">
      <c r="C6198" s="7"/>
      <c r="D6198" s="18"/>
      <c r="F6198" s="28"/>
    </row>
    <row r="6199" spans="3:6" x14ac:dyDescent="0.35">
      <c r="C6199" s="7"/>
      <c r="D6199" s="18"/>
      <c r="F6199" s="28"/>
    </row>
    <row r="6200" spans="3:6" x14ac:dyDescent="0.35">
      <c r="C6200" s="16"/>
      <c r="D6200" s="18"/>
      <c r="F6200" s="28"/>
    </row>
    <row r="6201" spans="3:6" x14ac:dyDescent="0.35">
      <c r="C6201" s="16"/>
      <c r="D6201" s="18"/>
      <c r="F6201" s="28"/>
    </row>
    <row r="6202" spans="3:6" x14ac:dyDescent="0.35">
      <c r="C6202" s="16"/>
      <c r="D6202" s="18"/>
      <c r="F6202" s="28"/>
    </row>
    <row r="6203" spans="3:6" x14ac:dyDescent="0.35">
      <c r="C6203" s="16"/>
      <c r="D6203" s="18"/>
      <c r="F6203" s="28"/>
    </row>
    <row r="6204" spans="3:6" x14ac:dyDescent="0.35">
      <c r="C6204" s="16"/>
      <c r="D6204" s="18"/>
      <c r="F6204" s="28"/>
    </row>
    <row r="6205" spans="3:6" x14ac:dyDescent="0.35">
      <c r="C6205" s="16"/>
      <c r="D6205" s="18"/>
      <c r="F6205" s="28"/>
    </row>
    <row r="6206" spans="3:6" x14ac:dyDescent="0.35">
      <c r="C6206" s="7"/>
      <c r="D6206" s="18"/>
      <c r="F6206" s="28"/>
    </row>
    <row r="6207" spans="3:6" x14ac:dyDescent="0.35">
      <c r="C6207" s="7"/>
      <c r="D6207" s="18"/>
      <c r="F6207" s="28"/>
    </row>
    <row r="6208" spans="3:6" x14ac:dyDescent="0.35">
      <c r="C6208" s="7"/>
      <c r="D6208" s="18"/>
      <c r="F6208" s="28"/>
    </row>
    <row r="6209" spans="3:6" x14ac:dyDescent="0.35">
      <c r="C6209" s="7"/>
      <c r="D6209" s="18"/>
      <c r="F6209" s="28"/>
    </row>
    <row r="6210" spans="3:6" x14ac:dyDescent="0.35">
      <c r="C6210" s="7"/>
      <c r="D6210" s="18"/>
      <c r="F6210" s="28"/>
    </row>
    <row r="6211" spans="3:6" x14ac:dyDescent="0.35">
      <c r="C6211" s="7"/>
      <c r="D6211" s="18"/>
      <c r="F6211" s="28"/>
    </row>
    <row r="6212" spans="3:6" x14ac:dyDescent="0.35">
      <c r="C6212" s="7"/>
      <c r="D6212" s="18"/>
      <c r="F6212" s="28"/>
    </row>
    <row r="6213" spans="3:6" x14ac:dyDescent="0.35">
      <c r="C6213" s="7"/>
      <c r="D6213" s="18"/>
      <c r="F6213" s="28"/>
    </row>
    <row r="6214" spans="3:6" x14ac:dyDescent="0.35">
      <c r="C6214" s="7"/>
      <c r="D6214" s="18"/>
      <c r="F6214" s="28"/>
    </row>
    <row r="6215" spans="3:6" x14ac:dyDescent="0.35">
      <c r="C6215" s="7"/>
      <c r="D6215" s="18"/>
      <c r="F6215" s="28"/>
    </row>
    <row r="6216" spans="3:6" x14ac:dyDescent="0.35">
      <c r="C6216" s="7"/>
      <c r="D6216" s="18"/>
      <c r="F6216" s="28"/>
    </row>
    <row r="6217" spans="3:6" x14ac:dyDescent="0.35">
      <c r="C6217" s="7"/>
      <c r="D6217" s="18"/>
      <c r="F6217" s="28"/>
    </row>
    <row r="6218" spans="3:6" x14ac:dyDescent="0.35">
      <c r="C6218" s="8"/>
      <c r="D6218" s="18"/>
      <c r="F6218" s="28"/>
    </row>
    <row r="6219" spans="3:6" x14ac:dyDescent="0.35">
      <c r="C6219" s="8"/>
      <c r="D6219" s="18"/>
      <c r="F6219" s="28"/>
    </row>
    <row r="6220" spans="3:6" x14ac:dyDescent="0.35">
      <c r="C6220" s="8"/>
      <c r="D6220" s="18"/>
      <c r="F6220" s="28"/>
    </row>
    <row r="6221" spans="3:6" x14ac:dyDescent="0.35">
      <c r="C6221" s="8"/>
      <c r="D6221" s="18"/>
      <c r="F6221" s="28"/>
    </row>
    <row r="6222" spans="3:6" x14ac:dyDescent="0.35">
      <c r="C6222" s="8"/>
      <c r="D6222" s="18"/>
      <c r="F6222" s="28"/>
    </row>
    <row r="6223" spans="3:6" x14ac:dyDescent="0.35">
      <c r="C6223" s="8"/>
      <c r="D6223" s="18"/>
      <c r="F6223" s="28"/>
    </row>
    <row r="6224" spans="3:6" x14ac:dyDescent="0.35">
      <c r="C6224" s="9"/>
      <c r="D6224" s="18"/>
      <c r="F6224" s="28"/>
    </row>
    <row r="6225" spans="3:6" x14ac:dyDescent="0.35">
      <c r="C6225" s="9"/>
      <c r="D6225" s="18"/>
      <c r="F6225" s="28"/>
    </row>
    <row r="6226" spans="3:6" x14ac:dyDescent="0.35">
      <c r="C6226" s="9"/>
      <c r="D6226" s="18"/>
      <c r="F6226" s="28"/>
    </row>
    <row r="6227" spans="3:6" x14ac:dyDescent="0.35">
      <c r="C6227" s="9"/>
      <c r="D6227" s="18"/>
      <c r="F6227" s="28"/>
    </row>
    <row r="6228" spans="3:6" x14ac:dyDescent="0.35">
      <c r="C6228" s="9"/>
      <c r="D6228" s="18"/>
      <c r="F6228" s="28"/>
    </row>
    <row r="6229" spans="3:6" x14ac:dyDescent="0.35">
      <c r="C6229" s="9"/>
      <c r="D6229" s="18"/>
      <c r="F6229" s="28"/>
    </row>
    <row r="6230" spans="3:6" x14ac:dyDescent="0.35">
      <c r="C6230" s="10"/>
      <c r="D6230" s="18"/>
      <c r="F6230" s="28"/>
    </row>
    <row r="6231" spans="3:6" x14ac:dyDescent="0.35">
      <c r="C6231" s="10"/>
      <c r="D6231" s="18"/>
      <c r="F6231" s="28"/>
    </row>
    <row r="6232" spans="3:6" x14ac:dyDescent="0.35">
      <c r="C6232" s="10"/>
      <c r="D6232" s="18"/>
      <c r="F6232" s="28"/>
    </row>
    <row r="6233" spans="3:6" x14ac:dyDescent="0.35">
      <c r="C6233" s="10"/>
      <c r="D6233" s="18"/>
      <c r="F6233" s="28"/>
    </row>
    <row r="6234" spans="3:6" x14ac:dyDescent="0.35">
      <c r="C6234" s="10"/>
      <c r="D6234" s="18"/>
      <c r="F6234" s="28"/>
    </row>
    <row r="6235" spans="3:6" x14ac:dyDescent="0.35">
      <c r="C6235" s="10"/>
      <c r="D6235" s="18"/>
      <c r="F6235" s="28"/>
    </row>
    <row r="6236" spans="3:6" x14ac:dyDescent="0.35">
      <c r="C6236" s="11"/>
      <c r="D6236" s="18"/>
      <c r="F6236" s="28"/>
    </row>
    <row r="6237" spans="3:6" x14ac:dyDescent="0.35">
      <c r="C6237" s="11"/>
      <c r="D6237" s="18"/>
      <c r="F6237" s="28"/>
    </row>
    <row r="6238" spans="3:6" x14ac:dyDescent="0.35">
      <c r="C6238" s="11"/>
      <c r="D6238" s="18"/>
      <c r="F6238" s="28"/>
    </row>
    <row r="6239" spans="3:6" x14ac:dyDescent="0.35">
      <c r="C6239" s="11"/>
      <c r="D6239" s="18"/>
      <c r="F6239" s="28"/>
    </row>
    <row r="6240" spans="3:6" x14ac:dyDescent="0.35">
      <c r="C6240" s="11"/>
      <c r="D6240" s="18"/>
      <c r="F6240" s="28"/>
    </row>
    <row r="6241" spans="3:6" x14ac:dyDescent="0.35">
      <c r="C6241" s="11"/>
      <c r="D6241" s="18"/>
      <c r="F6241" s="28"/>
    </row>
    <row r="6242" spans="3:6" x14ac:dyDescent="0.35">
      <c r="C6242" s="12"/>
      <c r="D6242" s="18"/>
      <c r="F6242" s="28"/>
    </row>
    <row r="6243" spans="3:6" x14ac:dyDescent="0.35">
      <c r="C6243" s="12"/>
      <c r="D6243" s="18"/>
      <c r="F6243" s="28"/>
    </row>
    <row r="6244" spans="3:6" x14ac:dyDescent="0.35">
      <c r="C6244" s="12"/>
      <c r="D6244" s="18"/>
      <c r="F6244" s="28"/>
    </row>
    <row r="6245" spans="3:6" x14ac:dyDescent="0.35">
      <c r="C6245" s="12"/>
      <c r="D6245" s="18"/>
      <c r="F6245" s="28"/>
    </row>
    <row r="6246" spans="3:6" x14ac:dyDescent="0.35">
      <c r="C6246" s="12"/>
      <c r="D6246" s="18"/>
      <c r="F6246" s="28"/>
    </row>
    <row r="6247" spans="3:6" x14ac:dyDescent="0.35">
      <c r="C6247" s="12"/>
      <c r="D6247" s="18"/>
      <c r="F6247" s="28"/>
    </row>
    <row r="6248" spans="3:6" x14ac:dyDescent="0.35">
      <c r="C6248" s="13"/>
      <c r="D6248" s="18"/>
      <c r="F6248" s="28"/>
    </row>
    <row r="6249" spans="3:6" x14ac:dyDescent="0.35">
      <c r="C6249" s="13"/>
      <c r="D6249" s="18"/>
      <c r="F6249" s="28"/>
    </row>
    <row r="6250" spans="3:6" x14ac:dyDescent="0.35">
      <c r="C6250" s="13"/>
      <c r="D6250" s="18"/>
      <c r="F6250" s="28"/>
    </row>
    <row r="6251" spans="3:6" x14ac:dyDescent="0.35">
      <c r="C6251" s="13"/>
      <c r="D6251" s="18"/>
      <c r="F6251" s="28"/>
    </row>
    <row r="6252" spans="3:6" x14ac:dyDescent="0.35">
      <c r="C6252" s="13"/>
      <c r="D6252" s="18"/>
      <c r="F6252" s="28"/>
    </row>
    <row r="6253" spans="3:6" x14ac:dyDescent="0.35">
      <c r="C6253" s="13"/>
      <c r="D6253" s="18"/>
      <c r="F6253" s="28"/>
    </row>
    <row r="6254" spans="3:6" x14ac:dyDescent="0.35">
      <c r="C6254" s="14"/>
      <c r="D6254" s="18"/>
      <c r="F6254" s="28"/>
    </row>
    <row r="6255" spans="3:6" x14ac:dyDescent="0.35">
      <c r="C6255" s="14"/>
      <c r="D6255" s="18"/>
      <c r="F6255" s="28"/>
    </row>
    <row r="6256" spans="3:6" x14ac:dyDescent="0.35">
      <c r="C6256" s="14"/>
      <c r="D6256" s="18"/>
      <c r="F6256" s="28"/>
    </row>
    <row r="6257" spans="3:6" x14ac:dyDescent="0.35">
      <c r="C6257" s="14"/>
      <c r="D6257" s="18"/>
      <c r="F6257" s="28"/>
    </row>
    <row r="6258" spans="3:6" x14ac:dyDescent="0.35">
      <c r="C6258" s="14"/>
      <c r="D6258" s="18"/>
      <c r="F6258" s="28"/>
    </row>
    <row r="6259" spans="3:6" x14ac:dyDescent="0.35">
      <c r="C6259" s="14"/>
      <c r="D6259" s="18"/>
      <c r="F6259" s="28"/>
    </row>
    <row r="6260" spans="3:6" x14ac:dyDescent="0.35">
      <c r="C6260" s="15"/>
      <c r="D6260" s="18"/>
      <c r="F6260" s="28"/>
    </row>
    <row r="6261" spans="3:6" x14ac:dyDescent="0.35">
      <c r="C6261" s="15"/>
      <c r="D6261" s="18"/>
      <c r="F6261" s="28"/>
    </row>
    <row r="6262" spans="3:6" x14ac:dyDescent="0.35">
      <c r="C6262" s="15"/>
      <c r="D6262" s="18"/>
      <c r="F6262" s="28"/>
    </row>
    <row r="6263" spans="3:6" x14ac:dyDescent="0.35">
      <c r="C6263" s="15"/>
      <c r="D6263" s="18"/>
      <c r="F6263" s="28"/>
    </row>
    <row r="6264" spans="3:6" x14ac:dyDescent="0.35">
      <c r="C6264" s="15"/>
      <c r="D6264" s="18"/>
      <c r="F6264" s="28"/>
    </row>
    <row r="6265" spans="3:6" x14ac:dyDescent="0.35">
      <c r="C6265" s="15"/>
      <c r="D6265" s="18"/>
      <c r="F6265" s="28"/>
    </row>
    <row r="6266" spans="3:6" x14ac:dyDescent="0.35">
      <c r="C6266" s="7"/>
      <c r="D6266" s="18"/>
      <c r="F6266" s="28"/>
    </row>
    <row r="6267" spans="3:6" x14ac:dyDescent="0.35">
      <c r="C6267" s="7"/>
      <c r="D6267" s="18"/>
      <c r="F6267" s="28"/>
    </row>
    <row r="6268" spans="3:6" x14ac:dyDescent="0.35">
      <c r="C6268" s="7"/>
      <c r="D6268" s="18"/>
      <c r="F6268" s="28"/>
    </row>
    <row r="6269" spans="3:6" x14ac:dyDescent="0.35">
      <c r="C6269" s="7"/>
      <c r="D6269" s="18"/>
      <c r="F6269" s="28"/>
    </row>
    <row r="6270" spans="3:6" x14ac:dyDescent="0.35">
      <c r="C6270" s="7"/>
      <c r="D6270" s="18"/>
      <c r="F6270" s="28"/>
    </row>
    <row r="6271" spans="3:6" x14ac:dyDescent="0.35">
      <c r="C6271" s="7"/>
      <c r="D6271" s="18"/>
      <c r="F6271" s="28"/>
    </row>
    <row r="6272" spans="3:6" x14ac:dyDescent="0.35">
      <c r="C6272" s="16"/>
      <c r="D6272" s="18"/>
      <c r="F6272" s="28"/>
    </row>
    <row r="6273" spans="3:6" x14ac:dyDescent="0.35">
      <c r="C6273" s="16"/>
      <c r="D6273" s="18"/>
      <c r="F6273" s="28"/>
    </row>
    <row r="6274" spans="3:6" x14ac:dyDescent="0.35">
      <c r="C6274" s="16"/>
      <c r="D6274" s="18"/>
      <c r="F6274" s="28"/>
    </row>
    <row r="6275" spans="3:6" x14ac:dyDescent="0.35">
      <c r="C6275" s="16"/>
      <c r="D6275" s="18"/>
      <c r="F6275" s="28"/>
    </row>
    <row r="6276" spans="3:6" x14ac:dyDescent="0.35">
      <c r="C6276" s="16"/>
      <c r="D6276" s="18"/>
      <c r="F6276" s="28"/>
    </row>
    <row r="6277" spans="3:6" x14ac:dyDescent="0.35">
      <c r="C6277" s="16"/>
      <c r="D6277" s="18"/>
      <c r="F6277" s="28"/>
    </row>
    <row r="6278" spans="3:6" x14ac:dyDescent="0.35">
      <c r="C6278" s="7"/>
      <c r="D6278" s="18"/>
      <c r="F6278" s="28"/>
    </row>
    <row r="6279" spans="3:6" x14ac:dyDescent="0.35">
      <c r="C6279" s="7"/>
      <c r="D6279" s="18"/>
      <c r="F6279" s="28"/>
    </row>
    <row r="6280" spans="3:6" x14ac:dyDescent="0.35">
      <c r="C6280" s="7"/>
      <c r="D6280" s="18"/>
      <c r="F6280" s="28"/>
    </row>
    <row r="6281" spans="3:6" x14ac:dyDescent="0.35">
      <c r="C6281" s="7"/>
      <c r="D6281" s="18"/>
      <c r="F6281" s="28"/>
    </row>
    <row r="6282" spans="3:6" x14ac:dyDescent="0.35">
      <c r="C6282" s="7"/>
      <c r="D6282" s="18"/>
      <c r="F6282" s="28"/>
    </row>
    <row r="6283" spans="3:6" x14ac:dyDescent="0.35">
      <c r="C6283" s="7"/>
      <c r="D6283" s="18"/>
      <c r="F6283" s="28"/>
    </row>
    <row r="6284" spans="3:6" x14ac:dyDescent="0.35">
      <c r="C6284" s="7"/>
      <c r="D6284" s="18"/>
      <c r="F6284" s="28"/>
    </row>
    <row r="6285" spans="3:6" x14ac:dyDescent="0.35">
      <c r="C6285" s="7"/>
      <c r="D6285" s="18"/>
      <c r="F6285" s="28"/>
    </row>
    <row r="6286" spans="3:6" x14ac:dyDescent="0.35">
      <c r="C6286" s="7"/>
      <c r="D6286" s="18"/>
      <c r="F6286" s="28"/>
    </row>
    <row r="6287" spans="3:6" x14ac:dyDescent="0.35">
      <c r="C6287" s="7"/>
      <c r="D6287" s="18"/>
      <c r="F6287" s="28"/>
    </row>
    <row r="6288" spans="3:6" x14ac:dyDescent="0.35">
      <c r="C6288" s="7"/>
      <c r="D6288" s="18"/>
      <c r="F6288" s="28"/>
    </row>
    <row r="6289" spans="3:6" x14ac:dyDescent="0.35">
      <c r="C6289" s="7"/>
      <c r="D6289" s="18"/>
      <c r="F6289" s="28"/>
    </row>
    <row r="6290" spans="3:6" x14ac:dyDescent="0.35">
      <c r="C6290" s="8"/>
      <c r="D6290" s="18"/>
      <c r="F6290" s="28"/>
    </row>
    <row r="6291" spans="3:6" x14ac:dyDescent="0.35">
      <c r="C6291" s="8"/>
      <c r="D6291" s="18"/>
      <c r="F6291" s="28"/>
    </row>
    <row r="6292" spans="3:6" x14ac:dyDescent="0.35">
      <c r="C6292" s="8"/>
      <c r="D6292" s="18"/>
      <c r="F6292" s="28"/>
    </row>
    <row r="6293" spans="3:6" x14ac:dyDescent="0.35">
      <c r="C6293" s="8"/>
      <c r="D6293" s="18"/>
      <c r="F6293" s="28"/>
    </row>
    <row r="6294" spans="3:6" x14ac:dyDescent="0.35">
      <c r="C6294" s="8"/>
      <c r="D6294" s="18"/>
      <c r="F6294" s="28"/>
    </row>
    <row r="6295" spans="3:6" x14ac:dyDescent="0.35">
      <c r="C6295" s="8"/>
      <c r="D6295" s="18"/>
      <c r="F6295" s="28"/>
    </row>
    <row r="6296" spans="3:6" x14ac:dyDescent="0.35">
      <c r="C6296" s="9"/>
      <c r="D6296" s="18"/>
      <c r="F6296" s="28"/>
    </row>
    <row r="6297" spans="3:6" x14ac:dyDescent="0.35">
      <c r="C6297" s="9"/>
      <c r="D6297" s="18"/>
      <c r="F6297" s="28"/>
    </row>
    <row r="6298" spans="3:6" x14ac:dyDescent="0.35">
      <c r="C6298" s="9"/>
      <c r="D6298" s="18"/>
      <c r="F6298" s="28"/>
    </row>
    <row r="6299" spans="3:6" x14ac:dyDescent="0.35">
      <c r="C6299" s="9"/>
      <c r="D6299" s="18"/>
      <c r="F6299" s="28"/>
    </row>
    <row r="6300" spans="3:6" x14ac:dyDescent="0.35">
      <c r="C6300" s="9"/>
      <c r="D6300" s="18"/>
      <c r="F6300" s="28"/>
    </row>
    <row r="6301" spans="3:6" x14ac:dyDescent="0.35">
      <c r="C6301" s="9"/>
      <c r="D6301" s="18"/>
      <c r="F6301" s="28"/>
    </row>
    <row r="6302" spans="3:6" x14ac:dyDescent="0.35">
      <c r="C6302" s="10"/>
      <c r="D6302" s="18"/>
      <c r="F6302" s="28"/>
    </row>
    <row r="6303" spans="3:6" x14ac:dyDescent="0.35">
      <c r="C6303" s="10"/>
      <c r="D6303" s="18"/>
      <c r="F6303" s="28"/>
    </row>
    <row r="6304" spans="3:6" x14ac:dyDescent="0.35">
      <c r="C6304" s="10"/>
      <c r="D6304" s="18"/>
      <c r="F6304" s="28"/>
    </row>
    <row r="6305" spans="3:6" x14ac:dyDescent="0.35">
      <c r="C6305" s="10"/>
      <c r="D6305" s="18"/>
      <c r="F6305" s="28"/>
    </row>
    <row r="6306" spans="3:6" x14ac:dyDescent="0.35">
      <c r="C6306" s="10"/>
      <c r="D6306" s="18"/>
      <c r="F6306" s="28"/>
    </row>
    <row r="6307" spans="3:6" x14ac:dyDescent="0.35">
      <c r="C6307" s="10"/>
      <c r="D6307" s="18"/>
      <c r="F6307" s="28"/>
    </row>
    <row r="6308" spans="3:6" x14ac:dyDescent="0.35">
      <c r="C6308" s="11"/>
      <c r="D6308" s="18"/>
      <c r="F6308" s="28"/>
    </row>
    <row r="6309" spans="3:6" x14ac:dyDescent="0.35">
      <c r="C6309" s="11"/>
      <c r="D6309" s="18"/>
      <c r="F6309" s="28"/>
    </row>
    <row r="6310" spans="3:6" x14ac:dyDescent="0.35">
      <c r="C6310" s="11"/>
      <c r="D6310" s="18"/>
      <c r="F6310" s="28"/>
    </row>
    <row r="6311" spans="3:6" x14ac:dyDescent="0.35">
      <c r="C6311" s="11"/>
      <c r="D6311" s="18"/>
      <c r="F6311" s="28"/>
    </row>
    <row r="6312" spans="3:6" x14ac:dyDescent="0.35">
      <c r="C6312" s="11"/>
      <c r="D6312" s="18"/>
      <c r="F6312" s="28"/>
    </row>
    <row r="6313" spans="3:6" x14ac:dyDescent="0.35">
      <c r="C6313" s="11"/>
      <c r="D6313" s="18"/>
      <c r="F6313" s="28"/>
    </row>
    <row r="6314" spans="3:6" x14ac:dyDescent="0.35">
      <c r="C6314" s="12"/>
      <c r="D6314" s="18"/>
      <c r="F6314" s="28"/>
    </row>
    <row r="6315" spans="3:6" x14ac:dyDescent="0.35">
      <c r="C6315" s="12"/>
      <c r="D6315" s="18"/>
      <c r="F6315" s="28"/>
    </row>
    <row r="6316" spans="3:6" x14ac:dyDescent="0.35">
      <c r="C6316" s="12"/>
      <c r="D6316" s="18"/>
      <c r="F6316" s="28"/>
    </row>
    <row r="6317" spans="3:6" x14ac:dyDescent="0.35">
      <c r="C6317" s="12"/>
      <c r="D6317" s="18"/>
      <c r="F6317" s="28"/>
    </row>
    <row r="6318" spans="3:6" x14ac:dyDescent="0.35">
      <c r="C6318" s="12"/>
      <c r="D6318" s="18"/>
      <c r="F6318" s="28"/>
    </row>
    <row r="6319" spans="3:6" x14ac:dyDescent="0.35">
      <c r="C6319" s="12"/>
      <c r="D6319" s="18"/>
      <c r="F6319" s="28"/>
    </row>
    <row r="6320" spans="3:6" x14ac:dyDescent="0.35">
      <c r="C6320" s="13"/>
      <c r="D6320" s="18"/>
      <c r="F6320" s="28"/>
    </row>
    <row r="6321" spans="3:6" x14ac:dyDescent="0.35">
      <c r="C6321" s="13"/>
      <c r="D6321" s="18"/>
      <c r="F6321" s="28"/>
    </row>
    <row r="6322" spans="3:6" x14ac:dyDescent="0.35">
      <c r="C6322" s="13"/>
      <c r="D6322" s="18"/>
      <c r="F6322" s="28"/>
    </row>
    <row r="6323" spans="3:6" x14ac:dyDescent="0.35">
      <c r="C6323" s="13"/>
      <c r="D6323" s="18"/>
      <c r="F6323" s="28"/>
    </row>
    <row r="6324" spans="3:6" x14ac:dyDescent="0.35">
      <c r="C6324" s="13"/>
      <c r="D6324" s="18"/>
      <c r="F6324" s="28"/>
    </row>
    <row r="6325" spans="3:6" x14ac:dyDescent="0.35">
      <c r="C6325" s="13"/>
      <c r="D6325" s="18"/>
      <c r="F6325" s="28"/>
    </row>
    <row r="6326" spans="3:6" x14ac:dyDescent="0.35">
      <c r="C6326" s="14"/>
      <c r="D6326" s="18"/>
      <c r="F6326" s="28"/>
    </row>
    <row r="6327" spans="3:6" x14ac:dyDescent="0.35">
      <c r="C6327" s="14"/>
      <c r="D6327" s="18"/>
      <c r="F6327" s="28"/>
    </row>
    <row r="6328" spans="3:6" x14ac:dyDescent="0.35">
      <c r="C6328" s="14"/>
      <c r="D6328" s="18"/>
      <c r="F6328" s="28"/>
    </row>
    <row r="6329" spans="3:6" x14ac:dyDescent="0.35">
      <c r="C6329" s="14"/>
      <c r="D6329" s="18"/>
      <c r="F6329" s="28"/>
    </row>
    <row r="6330" spans="3:6" x14ac:dyDescent="0.35">
      <c r="C6330" s="14"/>
      <c r="D6330" s="18"/>
      <c r="F6330" s="28"/>
    </row>
    <row r="6331" spans="3:6" x14ac:dyDescent="0.35">
      <c r="C6331" s="14"/>
      <c r="D6331" s="18"/>
      <c r="F6331" s="28"/>
    </row>
    <row r="6332" spans="3:6" x14ac:dyDescent="0.35">
      <c r="C6332" s="15"/>
      <c r="D6332" s="18"/>
      <c r="F6332" s="28"/>
    </row>
    <row r="6333" spans="3:6" x14ac:dyDescent="0.35">
      <c r="C6333" s="15"/>
      <c r="D6333" s="18"/>
      <c r="F6333" s="28"/>
    </row>
    <row r="6334" spans="3:6" x14ac:dyDescent="0.35">
      <c r="C6334" s="15"/>
      <c r="D6334" s="18"/>
      <c r="F6334" s="28"/>
    </row>
    <row r="6335" spans="3:6" x14ac:dyDescent="0.35">
      <c r="C6335" s="15"/>
      <c r="D6335" s="18"/>
      <c r="F6335" s="28"/>
    </row>
    <row r="6336" spans="3:6" x14ac:dyDescent="0.35">
      <c r="C6336" s="15"/>
      <c r="D6336" s="18"/>
      <c r="F6336" s="28"/>
    </row>
    <row r="6337" spans="3:6" x14ac:dyDescent="0.35">
      <c r="C6337" s="15"/>
      <c r="D6337" s="18"/>
      <c r="F6337" s="28"/>
    </row>
    <row r="6338" spans="3:6" x14ac:dyDescent="0.35">
      <c r="C6338" s="7"/>
      <c r="D6338" s="18"/>
      <c r="F6338" s="28"/>
    </row>
    <row r="6339" spans="3:6" x14ac:dyDescent="0.35">
      <c r="C6339" s="7"/>
      <c r="D6339" s="18"/>
      <c r="F6339" s="28"/>
    </row>
    <row r="6340" spans="3:6" x14ac:dyDescent="0.35">
      <c r="C6340" s="7"/>
      <c r="D6340" s="18"/>
      <c r="F6340" s="28"/>
    </row>
    <row r="6341" spans="3:6" x14ac:dyDescent="0.35">
      <c r="C6341" s="7"/>
      <c r="D6341" s="18"/>
      <c r="F6341" s="28"/>
    </row>
    <row r="6342" spans="3:6" x14ac:dyDescent="0.35">
      <c r="C6342" s="7"/>
      <c r="D6342" s="18"/>
      <c r="F6342" s="28"/>
    </row>
    <row r="6343" spans="3:6" x14ac:dyDescent="0.35">
      <c r="C6343" s="7"/>
      <c r="D6343" s="18"/>
      <c r="F6343" s="28"/>
    </row>
    <row r="6344" spans="3:6" x14ac:dyDescent="0.35">
      <c r="C6344" s="16"/>
      <c r="D6344" s="18"/>
      <c r="F6344" s="28"/>
    </row>
    <row r="6345" spans="3:6" x14ac:dyDescent="0.35">
      <c r="C6345" s="16"/>
      <c r="D6345" s="18"/>
      <c r="F6345" s="28"/>
    </row>
    <row r="6346" spans="3:6" x14ac:dyDescent="0.35">
      <c r="C6346" s="16"/>
      <c r="D6346" s="18"/>
      <c r="F6346" s="28"/>
    </row>
    <row r="6347" spans="3:6" x14ac:dyDescent="0.35">
      <c r="C6347" s="16"/>
      <c r="D6347" s="18"/>
      <c r="F6347" s="28"/>
    </row>
    <row r="6348" spans="3:6" x14ac:dyDescent="0.35">
      <c r="C6348" s="16"/>
      <c r="D6348" s="18"/>
      <c r="F6348" s="28"/>
    </row>
    <row r="6349" spans="3:6" x14ac:dyDescent="0.35">
      <c r="C6349" s="16"/>
      <c r="D6349" s="18"/>
      <c r="F6349" s="28"/>
    </row>
    <row r="6350" spans="3:6" x14ac:dyDescent="0.35">
      <c r="C6350" s="7"/>
      <c r="D6350" s="18"/>
      <c r="F6350" s="28"/>
    </row>
    <row r="6351" spans="3:6" x14ac:dyDescent="0.35">
      <c r="C6351" s="7"/>
      <c r="D6351" s="18"/>
      <c r="F6351" s="28"/>
    </row>
    <row r="6352" spans="3:6" x14ac:dyDescent="0.35">
      <c r="C6352" s="7"/>
      <c r="D6352" s="18"/>
      <c r="F6352" s="28"/>
    </row>
    <row r="6353" spans="3:6" x14ac:dyDescent="0.35">
      <c r="C6353" s="7"/>
      <c r="D6353" s="18"/>
      <c r="F6353" s="28"/>
    </row>
    <row r="6354" spans="3:6" x14ac:dyDescent="0.35">
      <c r="C6354" s="7"/>
      <c r="D6354" s="18"/>
      <c r="F6354" s="28"/>
    </row>
    <row r="6355" spans="3:6" x14ac:dyDescent="0.35">
      <c r="C6355" s="7"/>
      <c r="D6355" s="18"/>
      <c r="F6355" s="28"/>
    </row>
    <row r="6356" spans="3:6" x14ac:dyDescent="0.35">
      <c r="C6356" s="7"/>
      <c r="D6356" s="18"/>
      <c r="F6356" s="28"/>
    </row>
    <row r="6357" spans="3:6" x14ac:dyDescent="0.35">
      <c r="C6357" s="7"/>
      <c r="D6357" s="18"/>
      <c r="F6357" s="28"/>
    </row>
    <row r="6358" spans="3:6" x14ac:dyDescent="0.35">
      <c r="C6358" s="7"/>
      <c r="D6358" s="18"/>
      <c r="F6358" s="28"/>
    </row>
    <row r="6359" spans="3:6" x14ac:dyDescent="0.35">
      <c r="C6359" s="7"/>
      <c r="D6359" s="18"/>
      <c r="F6359" s="28"/>
    </row>
    <row r="6360" spans="3:6" x14ac:dyDescent="0.35">
      <c r="C6360" s="7"/>
      <c r="D6360" s="18"/>
      <c r="F6360" s="28"/>
    </row>
    <row r="6361" spans="3:6" x14ac:dyDescent="0.35">
      <c r="C6361" s="7"/>
      <c r="D6361" s="18"/>
      <c r="F6361" s="28"/>
    </row>
    <row r="6362" spans="3:6" x14ac:dyDescent="0.35">
      <c r="C6362" s="8"/>
      <c r="D6362" s="18"/>
      <c r="F6362" s="28"/>
    </row>
    <row r="6363" spans="3:6" x14ac:dyDescent="0.35">
      <c r="C6363" s="8"/>
      <c r="D6363" s="18"/>
      <c r="F6363" s="28"/>
    </row>
    <row r="6364" spans="3:6" x14ac:dyDescent="0.35">
      <c r="C6364" s="8"/>
      <c r="D6364" s="18"/>
      <c r="F6364" s="28"/>
    </row>
    <row r="6365" spans="3:6" x14ac:dyDescent="0.35">
      <c r="C6365" s="8"/>
      <c r="D6365" s="18"/>
      <c r="F6365" s="28"/>
    </row>
    <row r="6366" spans="3:6" x14ac:dyDescent="0.35">
      <c r="C6366" s="8"/>
      <c r="D6366" s="18"/>
      <c r="F6366" s="28"/>
    </row>
    <row r="6367" spans="3:6" x14ac:dyDescent="0.35">
      <c r="C6367" s="8"/>
      <c r="D6367" s="18"/>
      <c r="F6367" s="28"/>
    </row>
    <row r="6368" spans="3:6" x14ac:dyDescent="0.35">
      <c r="C6368" s="9"/>
      <c r="D6368" s="18"/>
      <c r="F6368" s="28"/>
    </row>
    <row r="6369" spans="3:6" x14ac:dyDescent="0.35">
      <c r="C6369" s="9"/>
      <c r="D6369" s="18"/>
      <c r="F6369" s="28"/>
    </row>
    <row r="6370" spans="3:6" x14ac:dyDescent="0.35">
      <c r="C6370" s="9"/>
      <c r="D6370" s="18"/>
      <c r="F6370" s="28"/>
    </row>
    <row r="6371" spans="3:6" x14ac:dyDescent="0.35">
      <c r="C6371" s="9"/>
      <c r="D6371" s="18"/>
      <c r="F6371" s="28"/>
    </row>
    <row r="6372" spans="3:6" x14ac:dyDescent="0.35">
      <c r="C6372" s="9"/>
      <c r="D6372" s="18"/>
      <c r="F6372" s="28"/>
    </row>
    <row r="6373" spans="3:6" x14ac:dyDescent="0.35">
      <c r="C6373" s="9"/>
      <c r="D6373" s="18"/>
      <c r="F6373" s="28"/>
    </row>
    <row r="6374" spans="3:6" x14ac:dyDescent="0.35">
      <c r="C6374" s="10"/>
      <c r="D6374" s="18"/>
      <c r="F6374" s="28"/>
    </row>
    <row r="6375" spans="3:6" x14ac:dyDescent="0.35">
      <c r="C6375" s="10"/>
      <c r="D6375" s="18"/>
      <c r="F6375" s="28"/>
    </row>
    <row r="6376" spans="3:6" x14ac:dyDescent="0.35">
      <c r="C6376" s="10"/>
      <c r="D6376" s="18"/>
      <c r="F6376" s="28"/>
    </row>
    <row r="6377" spans="3:6" x14ac:dyDescent="0.35">
      <c r="C6377" s="10"/>
      <c r="D6377" s="18"/>
      <c r="F6377" s="28"/>
    </row>
    <row r="6378" spans="3:6" x14ac:dyDescent="0.35">
      <c r="C6378" s="10"/>
      <c r="D6378" s="18"/>
      <c r="F6378" s="28"/>
    </row>
    <row r="6379" spans="3:6" x14ac:dyDescent="0.35">
      <c r="C6379" s="10"/>
      <c r="D6379" s="18"/>
      <c r="F6379" s="28"/>
    </row>
    <row r="6380" spans="3:6" x14ac:dyDescent="0.35">
      <c r="C6380" s="11"/>
      <c r="D6380" s="18"/>
      <c r="F6380" s="28"/>
    </row>
    <row r="6381" spans="3:6" x14ac:dyDescent="0.35">
      <c r="C6381" s="11"/>
      <c r="D6381" s="18"/>
      <c r="F6381" s="28"/>
    </row>
    <row r="6382" spans="3:6" x14ac:dyDescent="0.35">
      <c r="C6382" s="11"/>
      <c r="D6382" s="18"/>
      <c r="F6382" s="28"/>
    </row>
    <row r="6383" spans="3:6" x14ac:dyDescent="0.35">
      <c r="C6383" s="11"/>
      <c r="D6383" s="18"/>
      <c r="F6383" s="28"/>
    </row>
    <row r="6384" spans="3:6" x14ac:dyDescent="0.35">
      <c r="C6384" s="11"/>
      <c r="D6384" s="18"/>
      <c r="F6384" s="28"/>
    </row>
    <row r="6385" spans="3:6" x14ac:dyDescent="0.35">
      <c r="C6385" s="11"/>
      <c r="D6385" s="18"/>
      <c r="F6385" s="28"/>
    </row>
    <row r="6386" spans="3:6" x14ac:dyDescent="0.35">
      <c r="C6386" s="12"/>
      <c r="D6386" s="18"/>
      <c r="F6386" s="28"/>
    </row>
    <row r="6387" spans="3:6" x14ac:dyDescent="0.35">
      <c r="C6387" s="12"/>
      <c r="D6387" s="18"/>
      <c r="F6387" s="28"/>
    </row>
    <row r="6388" spans="3:6" x14ac:dyDescent="0.35">
      <c r="C6388" s="12"/>
      <c r="D6388" s="18"/>
      <c r="F6388" s="28"/>
    </row>
    <row r="6389" spans="3:6" x14ac:dyDescent="0.35">
      <c r="C6389" s="12"/>
      <c r="D6389" s="18"/>
      <c r="F6389" s="28"/>
    </row>
    <row r="6390" spans="3:6" x14ac:dyDescent="0.35">
      <c r="C6390" s="12"/>
      <c r="D6390" s="18"/>
      <c r="F6390" s="28"/>
    </row>
    <row r="6391" spans="3:6" x14ac:dyDescent="0.35">
      <c r="C6391" s="12"/>
      <c r="D6391" s="18"/>
      <c r="F6391" s="28"/>
    </row>
    <row r="6392" spans="3:6" x14ac:dyDescent="0.35">
      <c r="C6392" s="13"/>
      <c r="D6392" s="18"/>
      <c r="F6392" s="28"/>
    </row>
    <row r="6393" spans="3:6" x14ac:dyDescent="0.35">
      <c r="C6393" s="13"/>
      <c r="D6393" s="18"/>
      <c r="F6393" s="28"/>
    </row>
    <row r="6394" spans="3:6" x14ac:dyDescent="0.35">
      <c r="C6394" s="13"/>
      <c r="D6394" s="18"/>
      <c r="F6394" s="28"/>
    </row>
    <row r="6395" spans="3:6" x14ac:dyDescent="0.35">
      <c r="C6395" s="13"/>
      <c r="D6395" s="18"/>
      <c r="F6395" s="28"/>
    </row>
    <row r="6396" spans="3:6" x14ac:dyDescent="0.35">
      <c r="C6396" s="13"/>
      <c r="D6396" s="18"/>
      <c r="F6396" s="28"/>
    </row>
    <row r="6397" spans="3:6" x14ac:dyDescent="0.35">
      <c r="C6397" s="13"/>
      <c r="D6397" s="18"/>
      <c r="F6397" s="28"/>
    </row>
    <row r="6398" spans="3:6" x14ac:dyDescent="0.35">
      <c r="C6398" s="14"/>
      <c r="D6398" s="18"/>
      <c r="F6398" s="28"/>
    </row>
    <row r="6399" spans="3:6" x14ac:dyDescent="0.35">
      <c r="C6399" s="14"/>
      <c r="D6399" s="18"/>
      <c r="F6399" s="28"/>
    </row>
    <row r="6400" spans="3:6" x14ac:dyDescent="0.35">
      <c r="C6400" s="14"/>
      <c r="D6400" s="18"/>
      <c r="F6400" s="28"/>
    </row>
    <row r="6401" spans="3:6" x14ac:dyDescent="0.35">
      <c r="C6401" s="14"/>
      <c r="D6401" s="18"/>
      <c r="F6401" s="28"/>
    </row>
    <row r="6402" spans="3:6" x14ac:dyDescent="0.35">
      <c r="C6402" s="14"/>
      <c r="D6402" s="18"/>
      <c r="F6402" s="28"/>
    </row>
    <row r="6403" spans="3:6" x14ac:dyDescent="0.35">
      <c r="C6403" s="14"/>
      <c r="D6403" s="18"/>
      <c r="F6403" s="28"/>
    </row>
    <row r="6404" spans="3:6" x14ac:dyDescent="0.35">
      <c r="C6404" s="15"/>
      <c r="D6404" s="18"/>
      <c r="F6404" s="28"/>
    </row>
    <row r="6405" spans="3:6" x14ac:dyDescent="0.35">
      <c r="C6405" s="15"/>
      <c r="D6405" s="18"/>
      <c r="F6405" s="28"/>
    </row>
    <row r="6406" spans="3:6" x14ac:dyDescent="0.35">
      <c r="C6406" s="15"/>
      <c r="D6406" s="18"/>
      <c r="F6406" s="28"/>
    </row>
    <row r="6407" spans="3:6" x14ac:dyDescent="0.35">
      <c r="C6407" s="15"/>
      <c r="D6407" s="18"/>
      <c r="F6407" s="28"/>
    </row>
    <row r="6408" spans="3:6" x14ac:dyDescent="0.35">
      <c r="C6408" s="15"/>
      <c r="D6408" s="18"/>
      <c r="F6408" s="28"/>
    </row>
    <row r="6409" spans="3:6" x14ac:dyDescent="0.35">
      <c r="C6409" s="15"/>
      <c r="D6409" s="18"/>
      <c r="F6409" s="28"/>
    </row>
    <row r="6410" spans="3:6" x14ac:dyDescent="0.35">
      <c r="C6410" s="7"/>
      <c r="D6410" s="18"/>
      <c r="F6410" s="28"/>
    </row>
    <row r="6411" spans="3:6" x14ac:dyDescent="0.35">
      <c r="C6411" s="7"/>
      <c r="D6411" s="18"/>
      <c r="F6411" s="28"/>
    </row>
    <row r="6412" spans="3:6" x14ac:dyDescent="0.35">
      <c r="C6412" s="7"/>
      <c r="D6412" s="18"/>
      <c r="F6412" s="28"/>
    </row>
    <row r="6413" spans="3:6" x14ac:dyDescent="0.35">
      <c r="C6413" s="7"/>
      <c r="D6413" s="18"/>
      <c r="F6413" s="28"/>
    </row>
    <row r="6414" spans="3:6" x14ac:dyDescent="0.35">
      <c r="C6414" s="7"/>
      <c r="D6414" s="18"/>
      <c r="F6414" s="28"/>
    </row>
    <row r="6415" spans="3:6" x14ac:dyDescent="0.35">
      <c r="C6415" s="7"/>
      <c r="D6415" s="18"/>
      <c r="F6415" s="28"/>
    </row>
    <row r="6416" spans="3:6" x14ac:dyDescent="0.35">
      <c r="C6416" s="16"/>
      <c r="D6416" s="18"/>
      <c r="F6416" s="28"/>
    </row>
    <row r="6417" spans="3:6" x14ac:dyDescent="0.35">
      <c r="C6417" s="16"/>
      <c r="D6417" s="18"/>
      <c r="F6417" s="28"/>
    </row>
    <row r="6418" spans="3:6" x14ac:dyDescent="0.35">
      <c r="C6418" s="16"/>
      <c r="D6418" s="18"/>
      <c r="F6418" s="28"/>
    </row>
    <row r="6419" spans="3:6" x14ac:dyDescent="0.35">
      <c r="C6419" s="16"/>
      <c r="D6419" s="18"/>
      <c r="F6419" s="28"/>
    </row>
    <row r="6420" spans="3:6" x14ac:dyDescent="0.35">
      <c r="C6420" s="16"/>
      <c r="D6420" s="18"/>
      <c r="F6420" s="28"/>
    </row>
    <row r="6421" spans="3:6" x14ac:dyDescent="0.35">
      <c r="C6421" s="16"/>
      <c r="D6421" s="18"/>
      <c r="F6421" s="28"/>
    </row>
    <row r="6422" spans="3:6" x14ac:dyDescent="0.35">
      <c r="C6422" s="7"/>
      <c r="D6422" s="18"/>
      <c r="F6422" s="28"/>
    </row>
    <row r="6423" spans="3:6" x14ac:dyDescent="0.35">
      <c r="C6423" s="7"/>
      <c r="D6423" s="18"/>
      <c r="F6423" s="28"/>
    </row>
    <row r="6424" spans="3:6" x14ac:dyDescent="0.35">
      <c r="C6424" s="7"/>
      <c r="D6424" s="18"/>
      <c r="F6424" s="28"/>
    </row>
    <row r="6425" spans="3:6" x14ac:dyDescent="0.35">
      <c r="C6425" s="7"/>
      <c r="D6425" s="18"/>
      <c r="F6425" s="28"/>
    </row>
    <row r="6426" spans="3:6" x14ac:dyDescent="0.35">
      <c r="C6426" s="7"/>
      <c r="D6426" s="18"/>
      <c r="F6426" s="28"/>
    </row>
    <row r="6427" spans="3:6" x14ac:dyDescent="0.35">
      <c r="C6427" s="7"/>
      <c r="D6427" s="18"/>
      <c r="F6427" s="28"/>
    </row>
    <row r="6428" spans="3:6" x14ac:dyDescent="0.35">
      <c r="C6428" s="7"/>
      <c r="D6428" s="18"/>
      <c r="F6428" s="28"/>
    </row>
    <row r="6429" spans="3:6" x14ac:dyDescent="0.35">
      <c r="C6429" s="7"/>
      <c r="D6429" s="18"/>
      <c r="F6429" s="28"/>
    </row>
    <row r="6430" spans="3:6" x14ac:dyDescent="0.35">
      <c r="C6430" s="7"/>
      <c r="D6430" s="18"/>
      <c r="F6430" s="28"/>
    </row>
    <row r="6431" spans="3:6" x14ac:dyDescent="0.35">
      <c r="C6431" s="7"/>
      <c r="D6431" s="18"/>
      <c r="F6431" s="28"/>
    </row>
    <row r="6432" spans="3:6" x14ac:dyDescent="0.35">
      <c r="C6432" s="7"/>
      <c r="D6432" s="18"/>
      <c r="F6432" s="28"/>
    </row>
    <row r="6433" spans="3:6" x14ac:dyDescent="0.35">
      <c r="C6433" s="7"/>
      <c r="D6433" s="18"/>
      <c r="F6433" s="28"/>
    </row>
    <row r="6434" spans="3:6" x14ac:dyDescent="0.35">
      <c r="C6434" s="8"/>
      <c r="D6434" s="18"/>
      <c r="F6434" s="28"/>
    </row>
    <row r="6435" spans="3:6" x14ac:dyDescent="0.35">
      <c r="C6435" s="8"/>
      <c r="D6435" s="18"/>
      <c r="F6435" s="28"/>
    </row>
    <row r="6436" spans="3:6" x14ac:dyDescent="0.35">
      <c r="C6436" s="8"/>
      <c r="D6436" s="18"/>
      <c r="F6436" s="28"/>
    </row>
    <row r="6437" spans="3:6" x14ac:dyDescent="0.35">
      <c r="C6437" s="8"/>
      <c r="D6437" s="18"/>
      <c r="F6437" s="28"/>
    </row>
    <row r="6438" spans="3:6" x14ac:dyDescent="0.35">
      <c r="C6438" s="8"/>
      <c r="D6438" s="18"/>
      <c r="F6438" s="28"/>
    </row>
    <row r="6439" spans="3:6" x14ac:dyDescent="0.35">
      <c r="C6439" s="8"/>
      <c r="D6439" s="18"/>
      <c r="F6439" s="28"/>
    </row>
    <row r="6440" spans="3:6" x14ac:dyDescent="0.35">
      <c r="C6440" s="9"/>
      <c r="D6440" s="18"/>
      <c r="F6440" s="28"/>
    </row>
    <row r="6441" spans="3:6" x14ac:dyDescent="0.35">
      <c r="C6441" s="9"/>
      <c r="D6441" s="18"/>
      <c r="F6441" s="28"/>
    </row>
    <row r="6442" spans="3:6" x14ac:dyDescent="0.35">
      <c r="C6442" s="9"/>
      <c r="D6442" s="18"/>
      <c r="F6442" s="28"/>
    </row>
    <row r="6443" spans="3:6" x14ac:dyDescent="0.35">
      <c r="C6443" s="9"/>
      <c r="D6443" s="18"/>
      <c r="F6443" s="28"/>
    </row>
    <row r="6444" spans="3:6" x14ac:dyDescent="0.35">
      <c r="C6444" s="9"/>
      <c r="D6444" s="18"/>
      <c r="F6444" s="28"/>
    </row>
    <row r="6445" spans="3:6" x14ac:dyDescent="0.35">
      <c r="C6445" s="9"/>
      <c r="D6445" s="18"/>
      <c r="F6445" s="28"/>
    </row>
    <row r="6446" spans="3:6" x14ac:dyDescent="0.35">
      <c r="C6446" s="10"/>
      <c r="D6446" s="18"/>
      <c r="F6446" s="28"/>
    </row>
    <row r="6447" spans="3:6" x14ac:dyDescent="0.35">
      <c r="C6447" s="10"/>
      <c r="D6447" s="18"/>
      <c r="F6447" s="28"/>
    </row>
    <row r="6448" spans="3:6" x14ac:dyDescent="0.35">
      <c r="C6448" s="10"/>
      <c r="D6448" s="18"/>
      <c r="F6448" s="28"/>
    </row>
    <row r="6449" spans="3:6" x14ac:dyDescent="0.35">
      <c r="C6449" s="10"/>
      <c r="D6449" s="18"/>
      <c r="F6449" s="28"/>
    </row>
    <row r="6450" spans="3:6" x14ac:dyDescent="0.35">
      <c r="C6450" s="10"/>
      <c r="D6450" s="18"/>
      <c r="F6450" s="28"/>
    </row>
    <row r="6451" spans="3:6" x14ac:dyDescent="0.35">
      <c r="C6451" s="10"/>
      <c r="D6451" s="18"/>
      <c r="F6451" s="28"/>
    </row>
    <row r="6452" spans="3:6" x14ac:dyDescent="0.35">
      <c r="C6452" s="11"/>
      <c r="D6452" s="18"/>
      <c r="F6452" s="28"/>
    </row>
    <row r="6453" spans="3:6" x14ac:dyDescent="0.35">
      <c r="C6453" s="11"/>
      <c r="D6453" s="18"/>
      <c r="F6453" s="28"/>
    </row>
    <row r="6454" spans="3:6" x14ac:dyDescent="0.35">
      <c r="C6454" s="11"/>
      <c r="D6454" s="18"/>
      <c r="F6454" s="28"/>
    </row>
    <row r="6455" spans="3:6" x14ac:dyDescent="0.35">
      <c r="C6455" s="11"/>
      <c r="D6455" s="18"/>
      <c r="F6455" s="28"/>
    </row>
    <row r="6456" spans="3:6" x14ac:dyDescent="0.35">
      <c r="C6456" s="11"/>
      <c r="D6456" s="18"/>
      <c r="F6456" s="28"/>
    </row>
    <row r="6457" spans="3:6" x14ac:dyDescent="0.35">
      <c r="C6457" s="11"/>
      <c r="D6457" s="18"/>
      <c r="F6457" s="28"/>
    </row>
    <row r="6458" spans="3:6" x14ac:dyDescent="0.35">
      <c r="C6458" s="12"/>
      <c r="D6458" s="18"/>
      <c r="F6458" s="28"/>
    </row>
    <row r="6459" spans="3:6" x14ac:dyDescent="0.35">
      <c r="C6459" s="12"/>
      <c r="D6459" s="18"/>
      <c r="F6459" s="28"/>
    </row>
    <row r="6460" spans="3:6" x14ac:dyDescent="0.35">
      <c r="C6460" s="12"/>
      <c r="D6460" s="18"/>
      <c r="F6460" s="28"/>
    </row>
    <row r="6461" spans="3:6" x14ac:dyDescent="0.35">
      <c r="C6461" s="12"/>
      <c r="D6461" s="18"/>
      <c r="F6461" s="28"/>
    </row>
    <row r="6462" spans="3:6" x14ac:dyDescent="0.35">
      <c r="C6462" s="12"/>
      <c r="D6462" s="18"/>
      <c r="F6462" s="28"/>
    </row>
    <row r="6463" spans="3:6" x14ac:dyDescent="0.35">
      <c r="C6463" s="12"/>
      <c r="D6463" s="18"/>
      <c r="F6463" s="28"/>
    </row>
    <row r="6464" spans="3:6" x14ac:dyDescent="0.35">
      <c r="C6464" s="13"/>
      <c r="D6464" s="18"/>
      <c r="F6464" s="28"/>
    </row>
    <row r="6465" spans="3:6" x14ac:dyDescent="0.35">
      <c r="C6465" s="13"/>
      <c r="D6465" s="18"/>
      <c r="F6465" s="28"/>
    </row>
    <row r="6466" spans="3:6" x14ac:dyDescent="0.35">
      <c r="C6466" s="13"/>
      <c r="D6466" s="18"/>
      <c r="F6466" s="28"/>
    </row>
    <row r="6467" spans="3:6" x14ac:dyDescent="0.35">
      <c r="C6467" s="13"/>
      <c r="D6467" s="18"/>
      <c r="F6467" s="28"/>
    </row>
    <row r="6468" spans="3:6" x14ac:dyDescent="0.35">
      <c r="C6468" s="13"/>
      <c r="D6468" s="18"/>
      <c r="F6468" s="28"/>
    </row>
    <row r="6469" spans="3:6" x14ac:dyDescent="0.35">
      <c r="C6469" s="13"/>
      <c r="D6469" s="18"/>
      <c r="F6469" s="28"/>
    </row>
    <row r="6470" spans="3:6" x14ac:dyDescent="0.35">
      <c r="C6470" s="14"/>
      <c r="D6470" s="18"/>
      <c r="F6470" s="28"/>
    </row>
    <row r="6471" spans="3:6" x14ac:dyDescent="0.35">
      <c r="C6471" s="14"/>
      <c r="D6471" s="18"/>
      <c r="F6471" s="28"/>
    </row>
    <row r="6472" spans="3:6" x14ac:dyDescent="0.35">
      <c r="C6472" s="14"/>
      <c r="D6472" s="18"/>
      <c r="F6472" s="28"/>
    </row>
    <row r="6473" spans="3:6" x14ac:dyDescent="0.35">
      <c r="C6473" s="14"/>
      <c r="D6473" s="18"/>
      <c r="F6473" s="28"/>
    </row>
    <row r="6474" spans="3:6" x14ac:dyDescent="0.35">
      <c r="C6474" s="14"/>
      <c r="D6474" s="18"/>
      <c r="F6474" s="28"/>
    </row>
    <row r="6475" spans="3:6" x14ac:dyDescent="0.35">
      <c r="C6475" s="14"/>
      <c r="D6475" s="18"/>
      <c r="F6475" s="28"/>
    </row>
    <row r="6476" spans="3:6" x14ac:dyDescent="0.35">
      <c r="C6476" s="15"/>
      <c r="D6476" s="18"/>
      <c r="F6476" s="28"/>
    </row>
    <row r="6477" spans="3:6" x14ac:dyDescent="0.35">
      <c r="C6477" s="15"/>
      <c r="D6477" s="18"/>
      <c r="F6477" s="28"/>
    </row>
    <row r="6478" spans="3:6" x14ac:dyDescent="0.35">
      <c r="C6478" s="15"/>
      <c r="D6478" s="18"/>
      <c r="F6478" s="28"/>
    </row>
    <row r="6479" spans="3:6" x14ac:dyDescent="0.35">
      <c r="C6479" s="15"/>
      <c r="D6479" s="18"/>
      <c r="F6479" s="28"/>
    </row>
    <row r="6480" spans="3:6" x14ac:dyDescent="0.35">
      <c r="C6480" s="15"/>
      <c r="D6480" s="18"/>
      <c r="F6480" s="28"/>
    </row>
    <row r="6481" spans="3:6" x14ac:dyDescent="0.35">
      <c r="C6481" s="15"/>
      <c r="D6481" s="18"/>
      <c r="F6481" s="28"/>
    </row>
    <row r="6482" spans="3:6" x14ac:dyDescent="0.35">
      <c r="C6482" s="7"/>
      <c r="D6482" s="18"/>
      <c r="F6482" s="28"/>
    </row>
    <row r="6483" spans="3:6" x14ac:dyDescent="0.35">
      <c r="C6483" s="7"/>
      <c r="D6483" s="18"/>
      <c r="F6483" s="28"/>
    </row>
    <row r="6484" spans="3:6" x14ac:dyDescent="0.35">
      <c r="C6484" s="7"/>
      <c r="D6484" s="18"/>
      <c r="F6484" s="28"/>
    </row>
    <row r="6485" spans="3:6" x14ac:dyDescent="0.35">
      <c r="C6485" s="7"/>
      <c r="D6485" s="18"/>
      <c r="F6485" s="28"/>
    </row>
    <row r="6486" spans="3:6" x14ac:dyDescent="0.35">
      <c r="C6486" s="7"/>
      <c r="D6486" s="18"/>
      <c r="F6486" s="28"/>
    </row>
    <row r="6487" spans="3:6" x14ac:dyDescent="0.35">
      <c r="C6487" s="7"/>
      <c r="D6487" s="18"/>
      <c r="F6487" s="28"/>
    </row>
    <row r="6488" spans="3:6" x14ac:dyDescent="0.35">
      <c r="C6488" s="16"/>
      <c r="D6488" s="18"/>
      <c r="F6488" s="28"/>
    </row>
    <row r="6489" spans="3:6" x14ac:dyDescent="0.35">
      <c r="C6489" s="16"/>
      <c r="D6489" s="18"/>
      <c r="F6489" s="28"/>
    </row>
    <row r="6490" spans="3:6" x14ac:dyDescent="0.35">
      <c r="C6490" s="16"/>
      <c r="D6490" s="18"/>
      <c r="F6490" s="28"/>
    </row>
    <row r="6491" spans="3:6" x14ac:dyDescent="0.35">
      <c r="C6491" s="16"/>
      <c r="D6491" s="18"/>
      <c r="F6491" s="28"/>
    </row>
    <row r="6492" spans="3:6" x14ac:dyDescent="0.35">
      <c r="C6492" s="16"/>
      <c r="D6492" s="18"/>
      <c r="F6492" s="28"/>
    </row>
    <row r="6493" spans="3:6" x14ac:dyDescent="0.35">
      <c r="C6493" s="16"/>
      <c r="D6493" s="18"/>
      <c r="F6493" s="28"/>
    </row>
    <row r="6494" spans="3:6" x14ac:dyDescent="0.35">
      <c r="C6494" s="7"/>
      <c r="D6494" s="18"/>
      <c r="F6494" s="28"/>
    </row>
    <row r="6495" spans="3:6" x14ac:dyDescent="0.35">
      <c r="C6495" s="7"/>
      <c r="D6495" s="18"/>
      <c r="F6495" s="28"/>
    </row>
    <row r="6496" spans="3:6" x14ac:dyDescent="0.35">
      <c r="C6496" s="7"/>
      <c r="D6496" s="18"/>
      <c r="F6496" s="28"/>
    </row>
    <row r="6497" spans="3:6" x14ac:dyDescent="0.35">
      <c r="C6497" s="7"/>
      <c r="D6497" s="18"/>
      <c r="F6497" s="28"/>
    </row>
    <row r="6498" spans="3:6" x14ac:dyDescent="0.35">
      <c r="C6498" s="7"/>
      <c r="D6498" s="18"/>
      <c r="F6498" s="28"/>
    </row>
    <row r="6499" spans="3:6" x14ac:dyDescent="0.35">
      <c r="C6499" s="7"/>
      <c r="D6499" s="18"/>
      <c r="F6499" s="28"/>
    </row>
    <row r="6500" spans="3:6" x14ac:dyDescent="0.35">
      <c r="C6500" s="7"/>
      <c r="D6500" s="18"/>
      <c r="F6500" s="28"/>
    </row>
    <row r="6501" spans="3:6" x14ac:dyDescent="0.35">
      <c r="C6501" s="7"/>
      <c r="D6501" s="18"/>
      <c r="F6501" s="28"/>
    </row>
    <row r="6502" spans="3:6" x14ac:dyDescent="0.35">
      <c r="C6502" s="7"/>
      <c r="D6502" s="18"/>
      <c r="F6502" s="28"/>
    </row>
    <row r="6503" spans="3:6" x14ac:dyDescent="0.35">
      <c r="C6503" s="7"/>
      <c r="D6503" s="18"/>
      <c r="F6503" s="28"/>
    </row>
    <row r="6504" spans="3:6" x14ac:dyDescent="0.35">
      <c r="C6504" s="7"/>
      <c r="D6504" s="18"/>
      <c r="F6504" s="28"/>
    </row>
    <row r="6505" spans="3:6" x14ac:dyDescent="0.35">
      <c r="C6505" s="7"/>
      <c r="D6505" s="18"/>
      <c r="F6505" s="28"/>
    </row>
    <row r="6506" spans="3:6" x14ac:dyDescent="0.35">
      <c r="C6506" s="8"/>
      <c r="D6506" s="18"/>
      <c r="F6506" s="28"/>
    </row>
    <row r="6507" spans="3:6" x14ac:dyDescent="0.35">
      <c r="C6507" s="8"/>
      <c r="D6507" s="18"/>
      <c r="F6507" s="28"/>
    </row>
    <row r="6508" spans="3:6" x14ac:dyDescent="0.35">
      <c r="C6508" s="8"/>
      <c r="D6508" s="18"/>
      <c r="F6508" s="28"/>
    </row>
    <row r="6509" spans="3:6" x14ac:dyDescent="0.35">
      <c r="C6509" s="8"/>
      <c r="D6509" s="18"/>
      <c r="F6509" s="28"/>
    </row>
    <row r="6510" spans="3:6" x14ac:dyDescent="0.35">
      <c r="C6510" s="8"/>
      <c r="D6510" s="18"/>
      <c r="F6510" s="28"/>
    </row>
    <row r="6511" spans="3:6" x14ac:dyDescent="0.35">
      <c r="C6511" s="8"/>
      <c r="D6511" s="18"/>
      <c r="F6511" s="28"/>
    </row>
    <row r="6512" spans="3:6" x14ac:dyDescent="0.35">
      <c r="C6512" s="9"/>
      <c r="D6512" s="18"/>
      <c r="F6512" s="28"/>
    </row>
    <row r="6513" spans="3:6" x14ac:dyDescent="0.35">
      <c r="C6513" s="9"/>
      <c r="D6513" s="18"/>
      <c r="F6513" s="28"/>
    </row>
    <row r="6514" spans="3:6" x14ac:dyDescent="0.35">
      <c r="C6514" s="9"/>
      <c r="D6514" s="18"/>
      <c r="F6514" s="28"/>
    </row>
    <row r="6515" spans="3:6" x14ac:dyDescent="0.35">
      <c r="C6515" s="9"/>
      <c r="D6515" s="18"/>
      <c r="F6515" s="28"/>
    </row>
    <row r="6516" spans="3:6" x14ac:dyDescent="0.35">
      <c r="C6516" s="9"/>
      <c r="D6516" s="18"/>
      <c r="F6516" s="28"/>
    </row>
    <row r="6517" spans="3:6" x14ac:dyDescent="0.35">
      <c r="C6517" s="9"/>
      <c r="D6517" s="18"/>
      <c r="F6517" s="28"/>
    </row>
    <row r="6518" spans="3:6" x14ac:dyDescent="0.35">
      <c r="C6518" s="10"/>
      <c r="D6518" s="18"/>
      <c r="F6518" s="28"/>
    </row>
    <row r="6519" spans="3:6" x14ac:dyDescent="0.35">
      <c r="C6519" s="10"/>
      <c r="D6519" s="18"/>
      <c r="F6519" s="28"/>
    </row>
    <row r="6520" spans="3:6" x14ac:dyDescent="0.35">
      <c r="C6520" s="10"/>
      <c r="D6520" s="18"/>
      <c r="F6520" s="28"/>
    </row>
    <row r="6521" spans="3:6" x14ac:dyDescent="0.35">
      <c r="C6521" s="10"/>
      <c r="D6521" s="18"/>
      <c r="F6521" s="28"/>
    </row>
    <row r="6522" spans="3:6" x14ac:dyDescent="0.35">
      <c r="C6522" s="10"/>
      <c r="D6522" s="18"/>
      <c r="F6522" s="28"/>
    </row>
    <row r="6523" spans="3:6" x14ac:dyDescent="0.35">
      <c r="C6523" s="10"/>
      <c r="D6523" s="18"/>
      <c r="F6523" s="28"/>
    </row>
    <row r="6524" spans="3:6" x14ac:dyDescent="0.35">
      <c r="C6524" s="11"/>
      <c r="D6524" s="18"/>
      <c r="F6524" s="28"/>
    </row>
    <row r="6525" spans="3:6" x14ac:dyDescent="0.35">
      <c r="C6525" s="11"/>
      <c r="D6525" s="18"/>
      <c r="F6525" s="28"/>
    </row>
    <row r="6526" spans="3:6" x14ac:dyDescent="0.35">
      <c r="C6526" s="11"/>
      <c r="D6526" s="18"/>
      <c r="F6526" s="28"/>
    </row>
    <row r="6527" spans="3:6" x14ac:dyDescent="0.35">
      <c r="C6527" s="11"/>
      <c r="D6527" s="18"/>
      <c r="F6527" s="28"/>
    </row>
    <row r="6528" spans="3:6" x14ac:dyDescent="0.35">
      <c r="C6528" s="11"/>
      <c r="D6528" s="18"/>
      <c r="F6528" s="28"/>
    </row>
    <row r="6529" spans="3:6" x14ac:dyDescent="0.35">
      <c r="C6529" s="11"/>
      <c r="D6529" s="18"/>
      <c r="F6529" s="28"/>
    </row>
    <row r="6530" spans="3:6" x14ac:dyDescent="0.35">
      <c r="C6530" s="12"/>
      <c r="D6530" s="18"/>
      <c r="F6530" s="28"/>
    </row>
    <row r="6531" spans="3:6" x14ac:dyDescent="0.35">
      <c r="C6531" s="12"/>
      <c r="D6531" s="18"/>
      <c r="F6531" s="28"/>
    </row>
    <row r="6532" spans="3:6" x14ac:dyDescent="0.35">
      <c r="C6532" s="12"/>
      <c r="D6532" s="18"/>
      <c r="F6532" s="28"/>
    </row>
    <row r="6533" spans="3:6" x14ac:dyDescent="0.35">
      <c r="C6533" s="12"/>
      <c r="D6533" s="18"/>
      <c r="F6533" s="28"/>
    </row>
    <row r="6534" spans="3:6" x14ac:dyDescent="0.35">
      <c r="C6534" s="12"/>
      <c r="D6534" s="18"/>
      <c r="F6534" s="28"/>
    </row>
    <row r="6535" spans="3:6" x14ac:dyDescent="0.35">
      <c r="C6535" s="12"/>
      <c r="D6535" s="18"/>
      <c r="F6535" s="28"/>
    </row>
    <row r="6536" spans="3:6" x14ac:dyDescent="0.35">
      <c r="C6536" s="13"/>
      <c r="D6536" s="18"/>
      <c r="F6536" s="28"/>
    </row>
    <row r="6537" spans="3:6" x14ac:dyDescent="0.35">
      <c r="C6537" s="13"/>
      <c r="D6537" s="18"/>
      <c r="F6537" s="28"/>
    </row>
    <row r="6538" spans="3:6" x14ac:dyDescent="0.35">
      <c r="C6538" s="13"/>
      <c r="D6538" s="18"/>
      <c r="F6538" s="28"/>
    </row>
    <row r="6539" spans="3:6" x14ac:dyDescent="0.35">
      <c r="C6539" s="13"/>
      <c r="D6539" s="18"/>
      <c r="F6539" s="28"/>
    </row>
    <row r="6540" spans="3:6" x14ac:dyDescent="0.35">
      <c r="C6540" s="13"/>
      <c r="D6540" s="18"/>
      <c r="F6540" s="28"/>
    </row>
    <row r="6541" spans="3:6" x14ac:dyDescent="0.35">
      <c r="C6541" s="13"/>
      <c r="D6541" s="18"/>
      <c r="F6541" s="28"/>
    </row>
    <row r="6542" spans="3:6" x14ac:dyDescent="0.35">
      <c r="C6542" s="14"/>
      <c r="D6542" s="18"/>
      <c r="F6542" s="28"/>
    </row>
    <row r="6543" spans="3:6" x14ac:dyDescent="0.35">
      <c r="C6543" s="14"/>
      <c r="D6543" s="18"/>
      <c r="F6543" s="28"/>
    </row>
    <row r="6544" spans="3:6" x14ac:dyDescent="0.35">
      <c r="C6544" s="14"/>
      <c r="D6544" s="18"/>
      <c r="F6544" s="28"/>
    </row>
    <row r="6545" spans="3:6" x14ac:dyDescent="0.35">
      <c r="C6545" s="14"/>
      <c r="D6545" s="18"/>
      <c r="F6545" s="28"/>
    </row>
    <row r="6546" spans="3:6" x14ac:dyDescent="0.35">
      <c r="C6546" s="14"/>
      <c r="D6546" s="18"/>
      <c r="F6546" s="28"/>
    </row>
    <row r="6547" spans="3:6" x14ac:dyDescent="0.35">
      <c r="C6547" s="14"/>
      <c r="D6547" s="18"/>
      <c r="F6547" s="28"/>
    </row>
    <row r="6548" spans="3:6" x14ac:dyDescent="0.35">
      <c r="C6548" s="15"/>
      <c r="D6548" s="18"/>
      <c r="F6548" s="28"/>
    </row>
    <row r="6549" spans="3:6" x14ac:dyDescent="0.35">
      <c r="C6549" s="15"/>
      <c r="D6549" s="18"/>
      <c r="F6549" s="28"/>
    </row>
    <row r="6550" spans="3:6" x14ac:dyDescent="0.35">
      <c r="C6550" s="15"/>
      <c r="D6550" s="18"/>
      <c r="F6550" s="28"/>
    </row>
    <row r="6551" spans="3:6" x14ac:dyDescent="0.35">
      <c r="C6551" s="15"/>
      <c r="D6551" s="18"/>
      <c r="F6551" s="28"/>
    </row>
    <row r="6552" spans="3:6" x14ac:dyDescent="0.35">
      <c r="C6552" s="15"/>
      <c r="D6552" s="18"/>
      <c r="F6552" s="28"/>
    </row>
    <row r="6553" spans="3:6" x14ac:dyDescent="0.35">
      <c r="C6553" s="15"/>
      <c r="D6553" s="18"/>
      <c r="F6553" s="28"/>
    </row>
    <row r="6554" spans="3:6" x14ac:dyDescent="0.35">
      <c r="C6554" s="7"/>
      <c r="D6554" s="18"/>
      <c r="F6554" s="28"/>
    </row>
    <row r="6555" spans="3:6" x14ac:dyDescent="0.35">
      <c r="C6555" s="7"/>
      <c r="D6555" s="18"/>
      <c r="F6555" s="28"/>
    </row>
    <row r="6556" spans="3:6" x14ac:dyDescent="0.35">
      <c r="C6556" s="7"/>
      <c r="D6556" s="18"/>
      <c r="F6556" s="28"/>
    </row>
    <row r="6557" spans="3:6" x14ac:dyDescent="0.35">
      <c r="C6557" s="7"/>
      <c r="D6557" s="18"/>
      <c r="F6557" s="28"/>
    </row>
    <row r="6558" spans="3:6" x14ac:dyDescent="0.35">
      <c r="C6558" s="7"/>
      <c r="D6558" s="18"/>
      <c r="F6558" s="28"/>
    </row>
    <row r="6559" spans="3:6" x14ac:dyDescent="0.35">
      <c r="C6559" s="7"/>
      <c r="D6559" s="18"/>
      <c r="F6559" s="28"/>
    </row>
    <row r="6560" spans="3:6" x14ac:dyDescent="0.35">
      <c r="C6560" s="16"/>
      <c r="D6560" s="18"/>
      <c r="F6560" s="28"/>
    </row>
    <row r="6561" spans="3:6" x14ac:dyDescent="0.35">
      <c r="C6561" s="16"/>
      <c r="D6561" s="18"/>
      <c r="F6561" s="28"/>
    </row>
    <row r="6562" spans="3:6" x14ac:dyDescent="0.35">
      <c r="C6562" s="16"/>
      <c r="D6562" s="18"/>
      <c r="F6562" s="28"/>
    </row>
    <row r="6563" spans="3:6" x14ac:dyDescent="0.35">
      <c r="C6563" s="16"/>
      <c r="D6563" s="18"/>
      <c r="F6563" s="28"/>
    </row>
    <row r="6564" spans="3:6" x14ac:dyDescent="0.35">
      <c r="C6564" s="16"/>
      <c r="D6564" s="18"/>
      <c r="F6564" s="28"/>
    </row>
    <row r="6565" spans="3:6" x14ac:dyDescent="0.35">
      <c r="C6565" s="16"/>
      <c r="D6565" s="18"/>
      <c r="F6565" s="28"/>
    </row>
    <row r="6566" spans="3:6" x14ac:dyDescent="0.35">
      <c r="C6566" s="7"/>
      <c r="D6566" s="18"/>
      <c r="F6566" s="28"/>
    </row>
    <row r="6567" spans="3:6" x14ac:dyDescent="0.35">
      <c r="C6567" s="7"/>
      <c r="D6567" s="18"/>
      <c r="F6567" s="28"/>
    </row>
    <row r="6568" spans="3:6" x14ac:dyDescent="0.35">
      <c r="C6568" s="7"/>
      <c r="D6568" s="18"/>
      <c r="F6568" s="28"/>
    </row>
    <row r="6569" spans="3:6" x14ac:dyDescent="0.35">
      <c r="C6569" s="7"/>
      <c r="D6569" s="18"/>
      <c r="F6569" s="28"/>
    </row>
    <row r="6570" spans="3:6" x14ac:dyDescent="0.35">
      <c r="C6570" s="7"/>
      <c r="D6570" s="18"/>
      <c r="F6570" s="28"/>
    </row>
    <row r="6571" spans="3:6" x14ac:dyDescent="0.35">
      <c r="C6571" s="7"/>
      <c r="D6571" s="18"/>
      <c r="F6571" s="28"/>
    </row>
    <row r="6572" spans="3:6" x14ac:dyDescent="0.35">
      <c r="C6572" s="7"/>
      <c r="D6572" s="18"/>
      <c r="F6572" s="28"/>
    </row>
    <row r="6573" spans="3:6" x14ac:dyDescent="0.35">
      <c r="C6573" s="7"/>
      <c r="D6573" s="18"/>
      <c r="F6573" s="28"/>
    </row>
    <row r="6574" spans="3:6" x14ac:dyDescent="0.35">
      <c r="C6574" s="7"/>
      <c r="D6574" s="18"/>
      <c r="F6574" s="28"/>
    </row>
    <row r="6575" spans="3:6" x14ac:dyDescent="0.35">
      <c r="C6575" s="7"/>
      <c r="D6575" s="18"/>
      <c r="F6575" s="28"/>
    </row>
    <row r="6576" spans="3:6" x14ac:dyDescent="0.35">
      <c r="C6576" s="7"/>
      <c r="D6576" s="18"/>
      <c r="F6576" s="28"/>
    </row>
    <row r="6577" spans="3:6" x14ac:dyDescent="0.35">
      <c r="C6577" s="7"/>
      <c r="D6577" s="18"/>
      <c r="F6577" s="28"/>
    </row>
    <row r="6578" spans="3:6" x14ac:dyDescent="0.35">
      <c r="C6578" s="8"/>
      <c r="D6578" s="18"/>
      <c r="F6578" s="28"/>
    </row>
    <row r="6579" spans="3:6" x14ac:dyDescent="0.35">
      <c r="C6579" s="8"/>
      <c r="D6579" s="18"/>
      <c r="F6579" s="28"/>
    </row>
    <row r="6580" spans="3:6" x14ac:dyDescent="0.35">
      <c r="C6580" s="8"/>
      <c r="D6580" s="18"/>
      <c r="F6580" s="28"/>
    </row>
    <row r="6581" spans="3:6" x14ac:dyDescent="0.35">
      <c r="C6581" s="8"/>
      <c r="D6581" s="18"/>
      <c r="F6581" s="28"/>
    </row>
    <row r="6582" spans="3:6" x14ac:dyDescent="0.35">
      <c r="C6582" s="8"/>
      <c r="D6582" s="18"/>
      <c r="F6582" s="28"/>
    </row>
    <row r="6583" spans="3:6" x14ac:dyDescent="0.35">
      <c r="C6583" s="8"/>
      <c r="D6583" s="18"/>
      <c r="F6583" s="28"/>
    </row>
    <row r="6584" spans="3:6" x14ac:dyDescent="0.35">
      <c r="C6584" s="9"/>
      <c r="D6584" s="18"/>
      <c r="F6584" s="28"/>
    </row>
    <row r="6585" spans="3:6" x14ac:dyDescent="0.35">
      <c r="C6585" s="9"/>
      <c r="D6585" s="18"/>
      <c r="F6585" s="28"/>
    </row>
    <row r="6586" spans="3:6" x14ac:dyDescent="0.35">
      <c r="C6586" s="9"/>
      <c r="D6586" s="18"/>
      <c r="F6586" s="28"/>
    </row>
    <row r="6587" spans="3:6" x14ac:dyDescent="0.35">
      <c r="C6587" s="9"/>
      <c r="D6587" s="18"/>
      <c r="F6587" s="28"/>
    </row>
    <row r="6588" spans="3:6" x14ac:dyDescent="0.35">
      <c r="C6588" s="9"/>
      <c r="D6588" s="18"/>
      <c r="F6588" s="28"/>
    </row>
    <row r="6589" spans="3:6" x14ac:dyDescent="0.35">
      <c r="C6589" s="9"/>
      <c r="D6589" s="18"/>
      <c r="F6589" s="28"/>
    </row>
    <row r="6590" spans="3:6" x14ac:dyDescent="0.35">
      <c r="C6590" s="10"/>
      <c r="D6590" s="18"/>
      <c r="F6590" s="28"/>
    </row>
    <row r="6591" spans="3:6" x14ac:dyDescent="0.35">
      <c r="C6591" s="10"/>
      <c r="D6591" s="18"/>
      <c r="F6591" s="28"/>
    </row>
    <row r="6592" spans="3:6" x14ac:dyDescent="0.35">
      <c r="C6592" s="10"/>
      <c r="D6592" s="18"/>
      <c r="F6592" s="28"/>
    </row>
    <row r="6593" spans="3:6" x14ac:dyDescent="0.35">
      <c r="C6593" s="10"/>
      <c r="D6593" s="18"/>
      <c r="F6593" s="28"/>
    </row>
    <row r="6594" spans="3:6" x14ac:dyDescent="0.35">
      <c r="C6594" s="10"/>
      <c r="D6594" s="18"/>
      <c r="F6594" s="28"/>
    </row>
    <row r="6595" spans="3:6" x14ac:dyDescent="0.35">
      <c r="C6595" s="10"/>
      <c r="D6595" s="18"/>
      <c r="F6595" s="28"/>
    </row>
    <row r="6596" spans="3:6" x14ac:dyDescent="0.35">
      <c r="C6596" s="11"/>
      <c r="D6596" s="18"/>
      <c r="F6596" s="28"/>
    </row>
    <row r="6597" spans="3:6" x14ac:dyDescent="0.35">
      <c r="C6597" s="11"/>
      <c r="D6597" s="18"/>
      <c r="F6597" s="28"/>
    </row>
    <row r="6598" spans="3:6" x14ac:dyDescent="0.35">
      <c r="C6598" s="11"/>
      <c r="D6598" s="18"/>
      <c r="F6598" s="28"/>
    </row>
    <row r="6599" spans="3:6" x14ac:dyDescent="0.35">
      <c r="C6599" s="11"/>
      <c r="D6599" s="18"/>
      <c r="F6599" s="28"/>
    </row>
    <row r="6600" spans="3:6" x14ac:dyDescent="0.35">
      <c r="C6600" s="11"/>
      <c r="D6600" s="18"/>
      <c r="F6600" s="28"/>
    </row>
    <row r="6601" spans="3:6" x14ac:dyDescent="0.35">
      <c r="C6601" s="11"/>
      <c r="D6601" s="18"/>
      <c r="F6601" s="28"/>
    </row>
    <row r="6602" spans="3:6" x14ac:dyDescent="0.35">
      <c r="C6602" s="12"/>
      <c r="D6602" s="18"/>
      <c r="F6602" s="28"/>
    </row>
    <row r="6603" spans="3:6" x14ac:dyDescent="0.35">
      <c r="C6603" s="12"/>
      <c r="D6603" s="18"/>
      <c r="F6603" s="28"/>
    </row>
    <row r="6604" spans="3:6" x14ac:dyDescent="0.35">
      <c r="C6604" s="12"/>
      <c r="D6604" s="18"/>
      <c r="F6604" s="28"/>
    </row>
    <row r="6605" spans="3:6" x14ac:dyDescent="0.35">
      <c r="C6605" s="12"/>
      <c r="D6605" s="18"/>
      <c r="F6605" s="28"/>
    </row>
    <row r="6606" spans="3:6" x14ac:dyDescent="0.35">
      <c r="C6606" s="12"/>
      <c r="D6606" s="18"/>
      <c r="F6606" s="28"/>
    </row>
    <row r="6607" spans="3:6" x14ac:dyDescent="0.35">
      <c r="C6607" s="12"/>
      <c r="D6607" s="18"/>
      <c r="F6607" s="28"/>
    </row>
    <row r="6608" spans="3:6" x14ac:dyDescent="0.35">
      <c r="C6608" s="13"/>
      <c r="D6608" s="18"/>
      <c r="F6608" s="28"/>
    </row>
    <row r="6609" spans="3:6" x14ac:dyDescent="0.35">
      <c r="C6609" s="13"/>
      <c r="D6609" s="18"/>
      <c r="F6609" s="28"/>
    </row>
    <row r="6610" spans="3:6" x14ac:dyDescent="0.35">
      <c r="C6610" s="13"/>
      <c r="D6610" s="18"/>
      <c r="F6610" s="28"/>
    </row>
    <row r="6611" spans="3:6" x14ac:dyDescent="0.35">
      <c r="C6611" s="13"/>
      <c r="D6611" s="18"/>
      <c r="F6611" s="28"/>
    </row>
    <row r="6612" spans="3:6" x14ac:dyDescent="0.35">
      <c r="C6612" s="13"/>
      <c r="D6612" s="18"/>
      <c r="F6612" s="28"/>
    </row>
    <row r="6613" spans="3:6" x14ac:dyDescent="0.35">
      <c r="C6613" s="13"/>
      <c r="D6613" s="18"/>
      <c r="F6613" s="28"/>
    </row>
    <row r="6614" spans="3:6" x14ac:dyDescent="0.35">
      <c r="C6614" s="14"/>
      <c r="D6614" s="18"/>
      <c r="F6614" s="28"/>
    </row>
    <row r="6615" spans="3:6" x14ac:dyDescent="0.35">
      <c r="C6615" s="14"/>
      <c r="D6615" s="18"/>
      <c r="F6615" s="28"/>
    </row>
    <row r="6616" spans="3:6" x14ac:dyDescent="0.35">
      <c r="C6616" s="14"/>
      <c r="D6616" s="18"/>
      <c r="F6616" s="28"/>
    </row>
    <row r="6617" spans="3:6" x14ac:dyDescent="0.35">
      <c r="C6617" s="14"/>
      <c r="D6617" s="18"/>
      <c r="F6617" s="28"/>
    </row>
    <row r="6618" spans="3:6" x14ac:dyDescent="0.35">
      <c r="C6618" s="14"/>
      <c r="D6618" s="18"/>
      <c r="F6618" s="28"/>
    </row>
    <row r="6619" spans="3:6" x14ac:dyDescent="0.35">
      <c r="C6619" s="14"/>
      <c r="D6619" s="18"/>
      <c r="F6619" s="28"/>
    </row>
    <row r="6620" spans="3:6" x14ac:dyDescent="0.35">
      <c r="C6620" s="15"/>
      <c r="D6620" s="18"/>
      <c r="F6620" s="28"/>
    </row>
    <row r="6621" spans="3:6" x14ac:dyDescent="0.35">
      <c r="C6621" s="15"/>
      <c r="D6621" s="18"/>
      <c r="F6621" s="28"/>
    </row>
    <row r="6622" spans="3:6" x14ac:dyDescent="0.35">
      <c r="C6622" s="15"/>
      <c r="D6622" s="18"/>
      <c r="F6622" s="28"/>
    </row>
    <row r="6623" spans="3:6" x14ac:dyDescent="0.35">
      <c r="C6623" s="15"/>
      <c r="D6623" s="18"/>
      <c r="F6623" s="28"/>
    </row>
    <row r="6624" spans="3:6" x14ac:dyDescent="0.35">
      <c r="C6624" s="15"/>
      <c r="D6624" s="18"/>
      <c r="F6624" s="28"/>
    </row>
    <row r="6625" spans="3:6" x14ac:dyDescent="0.35">
      <c r="C6625" s="15"/>
      <c r="D6625" s="18"/>
      <c r="F6625" s="28"/>
    </row>
    <row r="6626" spans="3:6" x14ac:dyDescent="0.35">
      <c r="C6626" s="7"/>
      <c r="D6626" s="18"/>
      <c r="F6626" s="28"/>
    </row>
    <row r="6627" spans="3:6" x14ac:dyDescent="0.35">
      <c r="C6627" s="7"/>
      <c r="D6627" s="18"/>
      <c r="F6627" s="28"/>
    </row>
    <row r="6628" spans="3:6" x14ac:dyDescent="0.35">
      <c r="C6628" s="7"/>
      <c r="D6628" s="18"/>
      <c r="F6628" s="28"/>
    </row>
    <row r="6629" spans="3:6" x14ac:dyDescent="0.35">
      <c r="C6629" s="7"/>
      <c r="D6629" s="18"/>
      <c r="F6629" s="28"/>
    </row>
    <row r="6630" spans="3:6" x14ac:dyDescent="0.35">
      <c r="C6630" s="7"/>
      <c r="D6630" s="18"/>
      <c r="F6630" s="28"/>
    </row>
    <row r="6631" spans="3:6" x14ac:dyDescent="0.35">
      <c r="C6631" s="7"/>
      <c r="D6631" s="18"/>
      <c r="F6631" s="28"/>
    </row>
    <row r="6632" spans="3:6" x14ac:dyDescent="0.35">
      <c r="C6632" s="16"/>
      <c r="D6632" s="18"/>
      <c r="F6632" s="28"/>
    </row>
    <row r="6633" spans="3:6" x14ac:dyDescent="0.35">
      <c r="C6633" s="16"/>
      <c r="D6633" s="18"/>
      <c r="F6633" s="28"/>
    </row>
    <row r="6634" spans="3:6" x14ac:dyDescent="0.35">
      <c r="C6634" s="16"/>
      <c r="D6634" s="18"/>
      <c r="F6634" s="28"/>
    </row>
    <row r="6635" spans="3:6" x14ac:dyDescent="0.35">
      <c r="C6635" s="16"/>
      <c r="D6635" s="18"/>
      <c r="F6635" s="28"/>
    </row>
    <row r="6636" spans="3:6" x14ac:dyDescent="0.35">
      <c r="C6636" s="16"/>
      <c r="D6636" s="18"/>
      <c r="F6636" s="28"/>
    </row>
    <row r="6637" spans="3:6" x14ac:dyDescent="0.35">
      <c r="C6637" s="16"/>
      <c r="D6637" s="18"/>
      <c r="F6637" s="28"/>
    </row>
    <row r="6638" spans="3:6" x14ac:dyDescent="0.35">
      <c r="C6638" s="7"/>
      <c r="D6638" s="18"/>
      <c r="F6638" s="28"/>
    </row>
    <row r="6639" spans="3:6" x14ac:dyDescent="0.35">
      <c r="C6639" s="7"/>
      <c r="D6639" s="18"/>
      <c r="F6639" s="28"/>
    </row>
    <row r="6640" spans="3:6" x14ac:dyDescent="0.35">
      <c r="C6640" s="7"/>
      <c r="D6640" s="18"/>
      <c r="F6640" s="28"/>
    </row>
    <row r="6641" spans="3:6" x14ac:dyDescent="0.35">
      <c r="C6641" s="7"/>
      <c r="D6641" s="18"/>
      <c r="F6641" s="28"/>
    </row>
    <row r="6642" spans="3:6" x14ac:dyDescent="0.35">
      <c r="C6642" s="7"/>
      <c r="D6642" s="18"/>
      <c r="F6642" s="28"/>
    </row>
    <row r="6643" spans="3:6" x14ac:dyDescent="0.35">
      <c r="C6643" s="7"/>
      <c r="D6643" s="18"/>
      <c r="F6643" s="28"/>
    </row>
    <row r="6644" spans="3:6" x14ac:dyDescent="0.35">
      <c r="C6644" s="7"/>
      <c r="D6644" s="18"/>
      <c r="F6644" s="28"/>
    </row>
    <row r="6645" spans="3:6" x14ac:dyDescent="0.35">
      <c r="C6645" s="7"/>
      <c r="D6645" s="18"/>
      <c r="F6645" s="28"/>
    </row>
    <row r="6646" spans="3:6" x14ac:dyDescent="0.35">
      <c r="C6646" s="7"/>
      <c r="D6646" s="18"/>
      <c r="F6646" s="28"/>
    </row>
    <row r="6647" spans="3:6" x14ac:dyDescent="0.35">
      <c r="C6647" s="7"/>
      <c r="D6647" s="18"/>
      <c r="F6647" s="28"/>
    </row>
    <row r="6648" spans="3:6" x14ac:dyDescent="0.35">
      <c r="C6648" s="7"/>
      <c r="D6648" s="18"/>
      <c r="F6648" s="28"/>
    </row>
    <row r="6649" spans="3:6" x14ac:dyDescent="0.35">
      <c r="C6649" s="7"/>
      <c r="D6649" s="18"/>
      <c r="F6649" s="28"/>
    </row>
    <row r="6650" spans="3:6" x14ac:dyDescent="0.35">
      <c r="C6650" s="8"/>
      <c r="D6650" s="18"/>
      <c r="F6650" s="28"/>
    </row>
    <row r="6651" spans="3:6" x14ac:dyDescent="0.35">
      <c r="C6651" s="8"/>
      <c r="D6651" s="18"/>
      <c r="F6651" s="28"/>
    </row>
    <row r="6652" spans="3:6" x14ac:dyDescent="0.35">
      <c r="C6652" s="8"/>
      <c r="D6652" s="18"/>
      <c r="F6652" s="28"/>
    </row>
    <row r="6653" spans="3:6" x14ac:dyDescent="0.35">
      <c r="C6653" s="8"/>
      <c r="D6653" s="18"/>
      <c r="F6653" s="28"/>
    </row>
    <row r="6654" spans="3:6" x14ac:dyDescent="0.35">
      <c r="C6654" s="8"/>
      <c r="D6654" s="18"/>
      <c r="F6654" s="28"/>
    </row>
    <row r="6655" spans="3:6" x14ac:dyDescent="0.35">
      <c r="C6655" s="8"/>
      <c r="D6655" s="18"/>
      <c r="F6655" s="28"/>
    </row>
    <row r="6656" spans="3:6" x14ac:dyDescent="0.35">
      <c r="C6656" s="9"/>
      <c r="D6656" s="18"/>
      <c r="F6656" s="28"/>
    </row>
    <row r="6657" spans="3:6" x14ac:dyDescent="0.35">
      <c r="C6657" s="9"/>
      <c r="D6657" s="18"/>
      <c r="F6657" s="28"/>
    </row>
    <row r="6658" spans="3:6" x14ac:dyDescent="0.35">
      <c r="C6658" s="9"/>
      <c r="D6658" s="18"/>
      <c r="F6658" s="28"/>
    </row>
    <row r="6659" spans="3:6" x14ac:dyDescent="0.35">
      <c r="C6659" s="9"/>
      <c r="D6659" s="18"/>
      <c r="F6659" s="28"/>
    </row>
    <row r="6660" spans="3:6" x14ac:dyDescent="0.35">
      <c r="C6660" s="9"/>
      <c r="D6660" s="18"/>
      <c r="F6660" s="28"/>
    </row>
    <row r="6661" spans="3:6" x14ac:dyDescent="0.35">
      <c r="C6661" s="9"/>
      <c r="D6661" s="18"/>
      <c r="F6661" s="28"/>
    </row>
    <row r="6662" spans="3:6" x14ac:dyDescent="0.35">
      <c r="C6662" s="10"/>
      <c r="D6662" s="18"/>
      <c r="F6662" s="28"/>
    </row>
    <row r="6663" spans="3:6" x14ac:dyDescent="0.35">
      <c r="C6663" s="10"/>
      <c r="D6663" s="18"/>
      <c r="F6663" s="28"/>
    </row>
    <row r="6664" spans="3:6" x14ac:dyDescent="0.35">
      <c r="C6664" s="10"/>
      <c r="D6664" s="18"/>
      <c r="F6664" s="28"/>
    </row>
    <row r="6665" spans="3:6" x14ac:dyDescent="0.35">
      <c r="C6665" s="10"/>
      <c r="D6665" s="18"/>
      <c r="F6665" s="28"/>
    </row>
    <row r="6666" spans="3:6" x14ac:dyDescent="0.35">
      <c r="C6666" s="10"/>
      <c r="D6666" s="18"/>
      <c r="F6666" s="28"/>
    </row>
    <row r="6667" spans="3:6" x14ac:dyDescent="0.35">
      <c r="C6667" s="10"/>
      <c r="D6667" s="18"/>
      <c r="F6667" s="28"/>
    </row>
    <row r="6668" spans="3:6" x14ac:dyDescent="0.35">
      <c r="C6668" s="11"/>
      <c r="D6668" s="18"/>
      <c r="F6668" s="28"/>
    </row>
    <row r="6669" spans="3:6" x14ac:dyDescent="0.35">
      <c r="C6669" s="11"/>
      <c r="D6669" s="18"/>
      <c r="F6669" s="28"/>
    </row>
    <row r="6670" spans="3:6" x14ac:dyDescent="0.35">
      <c r="C6670" s="11"/>
      <c r="D6670" s="18"/>
      <c r="F6670" s="28"/>
    </row>
    <row r="6671" spans="3:6" x14ac:dyDescent="0.35">
      <c r="C6671" s="11"/>
      <c r="D6671" s="18"/>
      <c r="F6671" s="28"/>
    </row>
    <row r="6672" spans="3:6" x14ac:dyDescent="0.35">
      <c r="C6672" s="11"/>
      <c r="D6672" s="18"/>
      <c r="F6672" s="28"/>
    </row>
    <row r="6673" spans="3:6" x14ac:dyDescent="0.35">
      <c r="C6673" s="11"/>
      <c r="D6673" s="18"/>
      <c r="F6673" s="28"/>
    </row>
    <row r="6674" spans="3:6" x14ac:dyDescent="0.35">
      <c r="C6674" s="12"/>
      <c r="D6674" s="18"/>
      <c r="F6674" s="28"/>
    </row>
    <row r="6675" spans="3:6" x14ac:dyDescent="0.35">
      <c r="C6675" s="12"/>
      <c r="D6675" s="18"/>
      <c r="F6675" s="28"/>
    </row>
    <row r="6676" spans="3:6" x14ac:dyDescent="0.35">
      <c r="C6676" s="12"/>
      <c r="D6676" s="18"/>
      <c r="F6676" s="28"/>
    </row>
    <row r="6677" spans="3:6" x14ac:dyDescent="0.35">
      <c r="C6677" s="12"/>
      <c r="D6677" s="18"/>
      <c r="F6677" s="28"/>
    </row>
    <row r="6678" spans="3:6" x14ac:dyDescent="0.35">
      <c r="C6678" s="12"/>
      <c r="D6678" s="18"/>
      <c r="F6678" s="28"/>
    </row>
    <row r="6679" spans="3:6" x14ac:dyDescent="0.35">
      <c r="C6679" s="12"/>
      <c r="D6679" s="18"/>
      <c r="F6679" s="28"/>
    </row>
    <row r="6680" spans="3:6" x14ac:dyDescent="0.35">
      <c r="C6680" s="13"/>
      <c r="D6680" s="18"/>
      <c r="F6680" s="28"/>
    </row>
    <row r="6681" spans="3:6" x14ac:dyDescent="0.35">
      <c r="C6681" s="13"/>
      <c r="D6681" s="18"/>
      <c r="F6681" s="28"/>
    </row>
    <row r="6682" spans="3:6" x14ac:dyDescent="0.35">
      <c r="C6682" s="13"/>
      <c r="D6682" s="18"/>
      <c r="F6682" s="28"/>
    </row>
    <row r="6683" spans="3:6" x14ac:dyDescent="0.35">
      <c r="C6683" s="13"/>
      <c r="D6683" s="18"/>
      <c r="F6683" s="28"/>
    </row>
    <row r="6684" spans="3:6" x14ac:dyDescent="0.35">
      <c r="C6684" s="13"/>
      <c r="D6684" s="18"/>
      <c r="F6684" s="28"/>
    </row>
    <row r="6685" spans="3:6" x14ac:dyDescent="0.35">
      <c r="C6685" s="13"/>
      <c r="D6685" s="18"/>
      <c r="F6685" s="28"/>
    </row>
    <row r="6686" spans="3:6" x14ac:dyDescent="0.35">
      <c r="C6686" s="14"/>
      <c r="D6686" s="18"/>
      <c r="F6686" s="28"/>
    </row>
    <row r="6687" spans="3:6" x14ac:dyDescent="0.35">
      <c r="C6687" s="14"/>
      <c r="D6687" s="18"/>
      <c r="F6687" s="28"/>
    </row>
    <row r="6688" spans="3:6" x14ac:dyDescent="0.35">
      <c r="C6688" s="14"/>
      <c r="D6688" s="18"/>
      <c r="F6688" s="28"/>
    </row>
    <row r="6689" spans="3:6" x14ac:dyDescent="0.35">
      <c r="C6689" s="14"/>
      <c r="D6689" s="18"/>
      <c r="F6689" s="28"/>
    </row>
    <row r="6690" spans="3:6" x14ac:dyDescent="0.35">
      <c r="C6690" s="14"/>
      <c r="D6690" s="18"/>
      <c r="F6690" s="28"/>
    </row>
    <row r="6691" spans="3:6" x14ac:dyDescent="0.35">
      <c r="C6691" s="14"/>
      <c r="D6691" s="18"/>
      <c r="F6691" s="28"/>
    </row>
    <row r="6692" spans="3:6" x14ac:dyDescent="0.35">
      <c r="C6692" s="15"/>
      <c r="D6692" s="18"/>
      <c r="F6692" s="28"/>
    </row>
    <row r="6693" spans="3:6" x14ac:dyDescent="0.35">
      <c r="C6693" s="15"/>
      <c r="D6693" s="18"/>
      <c r="F6693" s="28"/>
    </row>
    <row r="6694" spans="3:6" x14ac:dyDescent="0.35">
      <c r="C6694" s="15"/>
      <c r="D6694" s="18"/>
      <c r="F6694" s="28"/>
    </row>
    <row r="6695" spans="3:6" x14ac:dyDescent="0.35">
      <c r="C6695" s="15"/>
      <c r="D6695" s="18"/>
      <c r="F6695" s="28"/>
    </row>
    <row r="6696" spans="3:6" x14ac:dyDescent="0.35">
      <c r="C6696" s="15"/>
      <c r="D6696" s="18"/>
      <c r="F6696" s="28"/>
    </row>
    <row r="6697" spans="3:6" x14ac:dyDescent="0.35">
      <c r="C6697" s="15"/>
      <c r="D6697" s="18"/>
      <c r="F6697" s="28"/>
    </row>
    <row r="6698" spans="3:6" x14ac:dyDescent="0.35">
      <c r="C6698" s="7"/>
      <c r="D6698" s="18"/>
      <c r="F6698" s="28"/>
    </row>
    <row r="6699" spans="3:6" x14ac:dyDescent="0.35">
      <c r="C6699" s="7"/>
      <c r="D6699" s="18"/>
      <c r="F6699" s="28"/>
    </row>
    <row r="6700" spans="3:6" x14ac:dyDescent="0.35">
      <c r="C6700" s="7"/>
      <c r="D6700" s="18"/>
      <c r="F6700" s="28"/>
    </row>
    <row r="6701" spans="3:6" x14ac:dyDescent="0.35">
      <c r="C6701" s="7"/>
      <c r="D6701" s="18"/>
      <c r="F6701" s="28"/>
    </row>
    <row r="6702" spans="3:6" x14ac:dyDescent="0.35">
      <c r="C6702" s="7"/>
      <c r="D6702" s="18"/>
      <c r="F6702" s="28"/>
    </row>
    <row r="6703" spans="3:6" x14ac:dyDescent="0.35">
      <c r="C6703" s="7"/>
      <c r="D6703" s="18"/>
      <c r="F6703" s="28"/>
    </row>
    <row r="6704" spans="3:6" x14ac:dyDescent="0.35">
      <c r="C6704" s="16"/>
      <c r="D6704" s="18"/>
      <c r="F6704" s="28"/>
    </row>
    <row r="6705" spans="3:6" x14ac:dyDescent="0.35">
      <c r="C6705" s="16"/>
      <c r="D6705" s="18"/>
      <c r="F6705" s="28"/>
    </row>
    <row r="6706" spans="3:6" x14ac:dyDescent="0.35">
      <c r="C6706" s="16"/>
      <c r="D6706" s="18"/>
      <c r="F6706" s="28"/>
    </row>
    <row r="6707" spans="3:6" x14ac:dyDescent="0.35">
      <c r="C6707" s="16"/>
      <c r="D6707" s="18"/>
      <c r="F6707" s="28"/>
    </row>
    <row r="6708" spans="3:6" x14ac:dyDescent="0.35">
      <c r="C6708" s="16"/>
      <c r="D6708" s="18"/>
      <c r="F6708" s="28"/>
    </row>
    <row r="6709" spans="3:6" x14ac:dyDescent="0.35">
      <c r="C6709" s="16"/>
      <c r="D6709" s="18"/>
      <c r="F6709" s="28"/>
    </row>
    <row r="6710" spans="3:6" x14ac:dyDescent="0.35">
      <c r="C6710" s="7"/>
      <c r="D6710" s="18"/>
      <c r="F6710" s="28"/>
    </row>
    <row r="6711" spans="3:6" x14ac:dyDescent="0.35">
      <c r="C6711" s="7"/>
      <c r="D6711" s="18"/>
      <c r="F6711" s="28"/>
    </row>
    <row r="6712" spans="3:6" x14ac:dyDescent="0.35">
      <c r="C6712" s="7"/>
      <c r="D6712" s="18"/>
      <c r="F6712" s="28"/>
    </row>
    <row r="6713" spans="3:6" x14ac:dyDescent="0.35">
      <c r="C6713" s="7"/>
      <c r="D6713" s="18"/>
      <c r="F6713" s="28"/>
    </row>
    <row r="6714" spans="3:6" x14ac:dyDescent="0.35">
      <c r="C6714" s="7"/>
      <c r="D6714" s="18"/>
      <c r="F6714" s="28"/>
    </row>
    <row r="6715" spans="3:6" x14ac:dyDescent="0.35">
      <c r="C6715" s="7"/>
      <c r="D6715" s="18"/>
      <c r="F6715" s="28"/>
    </row>
    <row r="6716" spans="3:6" x14ac:dyDescent="0.35">
      <c r="C6716" s="7"/>
      <c r="D6716" s="18"/>
      <c r="F6716" s="28"/>
    </row>
    <row r="6717" spans="3:6" x14ac:dyDescent="0.35">
      <c r="C6717" s="7"/>
      <c r="D6717" s="18"/>
      <c r="F6717" s="28"/>
    </row>
    <row r="6718" spans="3:6" x14ac:dyDescent="0.35">
      <c r="C6718" s="7"/>
      <c r="D6718" s="18"/>
      <c r="F6718" s="28"/>
    </row>
    <row r="6719" spans="3:6" x14ac:dyDescent="0.35">
      <c r="C6719" s="7"/>
      <c r="D6719" s="18"/>
      <c r="F6719" s="28"/>
    </row>
    <row r="6720" spans="3:6" x14ac:dyDescent="0.35">
      <c r="C6720" s="7"/>
      <c r="D6720" s="18"/>
      <c r="F6720" s="28"/>
    </row>
    <row r="6721" spans="3:6" x14ac:dyDescent="0.35">
      <c r="C6721" s="7"/>
      <c r="D6721" s="18"/>
      <c r="F6721" s="28"/>
    </row>
    <row r="6722" spans="3:6" x14ac:dyDescent="0.35">
      <c r="C6722" s="8"/>
      <c r="D6722" s="18"/>
      <c r="F6722" s="28"/>
    </row>
    <row r="6723" spans="3:6" x14ac:dyDescent="0.35">
      <c r="C6723" s="8"/>
      <c r="D6723" s="18"/>
      <c r="F6723" s="28"/>
    </row>
    <row r="6724" spans="3:6" x14ac:dyDescent="0.35">
      <c r="C6724" s="8"/>
      <c r="D6724" s="18"/>
      <c r="F6724" s="28"/>
    </row>
    <row r="6725" spans="3:6" x14ac:dyDescent="0.35">
      <c r="C6725" s="8"/>
      <c r="D6725" s="18"/>
      <c r="F6725" s="28"/>
    </row>
    <row r="6726" spans="3:6" x14ac:dyDescent="0.35">
      <c r="C6726" s="8"/>
      <c r="D6726" s="18"/>
      <c r="F6726" s="28"/>
    </row>
    <row r="6727" spans="3:6" x14ac:dyDescent="0.35">
      <c r="C6727" s="8"/>
      <c r="D6727" s="18"/>
      <c r="F6727" s="28"/>
    </row>
    <row r="6728" spans="3:6" x14ac:dyDescent="0.35">
      <c r="C6728" s="9"/>
      <c r="D6728" s="18"/>
      <c r="F6728" s="28"/>
    </row>
    <row r="6729" spans="3:6" x14ac:dyDescent="0.35">
      <c r="C6729" s="9"/>
      <c r="D6729" s="18"/>
      <c r="F6729" s="28"/>
    </row>
    <row r="6730" spans="3:6" x14ac:dyDescent="0.35">
      <c r="C6730" s="9"/>
      <c r="D6730" s="18"/>
      <c r="F6730" s="28"/>
    </row>
    <row r="6731" spans="3:6" x14ac:dyDescent="0.35">
      <c r="C6731" s="9"/>
      <c r="D6731" s="18"/>
      <c r="F6731" s="28"/>
    </row>
    <row r="6732" spans="3:6" x14ac:dyDescent="0.35">
      <c r="C6732" s="9"/>
      <c r="D6732" s="18"/>
      <c r="F6732" s="28"/>
    </row>
    <row r="6733" spans="3:6" x14ac:dyDescent="0.35">
      <c r="C6733" s="9"/>
      <c r="D6733" s="18"/>
      <c r="F6733" s="28"/>
    </row>
    <row r="6734" spans="3:6" x14ac:dyDescent="0.35">
      <c r="C6734" s="10"/>
      <c r="D6734" s="18"/>
      <c r="F6734" s="28"/>
    </row>
    <row r="6735" spans="3:6" x14ac:dyDescent="0.35">
      <c r="C6735" s="10"/>
      <c r="D6735" s="18"/>
      <c r="F6735" s="28"/>
    </row>
    <row r="6736" spans="3:6" x14ac:dyDescent="0.35">
      <c r="C6736" s="10"/>
      <c r="D6736" s="18"/>
      <c r="F6736" s="28"/>
    </row>
    <row r="6737" spans="3:6" x14ac:dyDescent="0.35">
      <c r="C6737" s="10"/>
      <c r="D6737" s="18"/>
      <c r="F6737" s="28"/>
    </row>
    <row r="6738" spans="3:6" x14ac:dyDescent="0.35">
      <c r="C6738" s="10"/>
      <c r="D6738" s="18"/>
      <c r="F6738" s="28"/>
    </row>
    <row r="6739" spans="3:6" x14ac:dyDescent="0.35">
      <c r="C6739" s="10"/>
      <c r="D6739" s="18"/>
      <c r="F6739" s="28"/>
    </row>
    <row r="6740" spans="3:6" x14ac:dyDescent="0.35">
      <c r="C6740" s="11"/>
      <c r="D6740" s="18"/>
      <c r="F6740" s="28"/>
    </row>
    <row r="6741" spans="3:6" x14ac:dyDescent="0.35">
      <c r="C6741" s="11"/>
      <c r="D6741" s="18"/>
      <c r="F6741" s="28"/>
    </row>
    <row r="6742" spans="3:6" x14ac:dyDescent="0.35">
      <c r="C6742" s="11"/>
      <c r="D6742" s="18"/>
      <c r="F6742" s="28"/>
    </row>
    <row r="6743" spans="3:6" x14ac:dyDescent="0.35">
      <c r="C6743" s="11"/>
      <c r="D6743" s="18"/>
      <c r="F6743" s="28"/>
    </row>
    <row r="6744" spans="3:6" x14ac:dyDescent="0.35">
      <c r="C6744" s="11"/>
      <c r="D6744" s="18"/>
      <c r="F6744" s="28"/>
    </row>
    <row r="6745" spans="3:6" x14ac:dyDescent="0.35">
      <c r="C6745" s="11"/>
      <c r="D6745" s="18"/>
      <c r="F6745" s="28"/>
    </row>
    <row r="6746" spans="3:6" x14ac:dyDescent="0.35">
      <c r="C6746" s="12"/>
      <c r="D6746" s="18"/>
      <c r="F6746" s="28"/>
    </row>
    <row r="6747" spans="3:6" x14ac:dyDescent="0.35">
      <c r="C6747" s="12"/>
      <c r="D6747" s="18"/>
      <c r="F6747" s="28"/>
    </row>
    <row r="6748" spans="3:6" x14ac:dyDescent="0.35">
      <c r="C6748" s="12"/>
      <c r="D6748" s="18"/>
      <c r="F6748" s="28"/>
    </row>
    <row r="6749" spans="3:6" x14ac:dyDescent="0.35">
      <c r="C6749" s="12"/>
      <c r="D6749" s="18"/>
      <c r="F6749" s="28"/>
    </row>
    <row r="6750" spans="3:6" x14ac:dyDescent="0.35">
      <c r="C6750" s="12"/>
      <c r="D6750" s="18"/>
      <c r="F6750" s="28"/>
    </row>
    <row r="6751" spans="3:6" x14ac:dyDescent="0.35">
      <c r="C6751" s="12"/>
      <c r="D6751" s="18"/>
      <c r="F6751" s="28"/>
    </row>
    <row r="6752" spans="3:6" x14ac:dyDescent="0.35">
      <c r="C6752" s="13"/>
      <c r="D6752" s="18"/>
      <c r="F6752" s="28"/>
    </row>
    <row r="6753" spans="3:6" x14ac:dyDescent="0.35">
      <c r="C6753" s="13"/>
      <c r="D6753" s="18"/>
      <c r="F6753" s="28"/>
    </row>
    <row r="6754" spans="3:6" x14ac:dyDescent="0.35">
      <c r="C6754" s="13"/>
      <c r="D6754" s="18"/>
      <c r="F6754" s="28"/>
    </row>
    <row r="6755" spans="3:6" x14ac:dyDescent="0.35">
      <c r="C6755" s="13"/>
      <c r="D6755" s="18"/>
      <c r="F6755" s="28"/>
    </row>
    <row r="6756" spans="3:6" x14ac:dyDescent="0.35">
      <c r="C6756" s="13"/>
      <c r="D6756" s="18"/>
      <c r="F6756" s="28"/>
    </row>
    <row r="6757" spans="3:6" x14ac:dyDescent="0.35">
      <c r="C6757" s="13"/>
      <c r="D6757" s="18"/>
      <c r="F6757" s="28"/>
    </row>
    <row r="6758" spans="3:6" x14ac:dyDescent="0.35">
      <c r="C6758" s="14"/>
      <c r="D6758" s="18"/>
      <c r="F6758" s="28"/>
    </row>
    <row r="6759" spans="3:6" x14ac:dyDescent="0.35">
      <c r="C6759" s="14"/>
      <c r="D6759" s="18"/>
      <c r="F6759" s="28"/>
    </row>
    <row r="6760" spans="3:6" x14ac:dyDescent="0.35">
      <c r="C6760" s="14"/>
      <c r="D6760" s="18"/>
      <c r="F6760" s="28"/>
    </row>
    <row r="6761" spans="3:6" x14ac:dyDescent="0.35">
      <c r="C6761" s="14"/>
      <c r="D6761" s="18"/>
      <c r="F6761" s="28"/>
    </row>
    <row r="6762" spans="3:6" x14ac:dyDescent="0.35">
      <c r="C6762" s="14"/>
      <c r="D6762" s="18"/>
      <c r="F6762" s="28"/>
    </row>
    <row r="6763" spans="3:6" x14ac:dyDescent="0.35">
      <c r="C6763" s="14"/>
      <c r="D6763" s="18"/>
      <c r="F6763" s="28"/>
    </row>
    <row r="6764" spans="3:6" x14ac:dyDescent="0.35">
      <c r="C6764" s="15"/>
      <c r="D6764" s="18"/>
      <c r="F6764" s="28"/>
    </row>
    <row r="6765" spans="3:6" x14ac:dyDescent="0.35">
      <c r="C6765" s="15"/>
      <c r="D6765" s="18"/>
      <c r="F6765" s="28"/>
    </row>
    <row r="6766" spans="3:6" x14ac:dyDescent="0.35">
      <c r="C6766" s="15"/>
      <c r="D6766" s="18"/>
      <c r="F6766" s="28"/>
    </row>
    <row r="6767" spans="3:6" x14ac:dyDescent="0.35">
      <c r="C6767" s="15"/>
      <c r="D6767" s="18"/>
      <c r="F6767" s="28"/>
    </row>
    <row r="6768" spans="3:6" x14ac:dyDescent="0.35">
      <c r="C6768" s="15"/>
      <c r="D6768" s="18"/>
      <c r="F6768" s="28"/>
    </row>
    <row r="6769" spans="3:6" x14ac:dyDescent="0.35">
      <c r="C6769" s="15"/>
      <c r="D6769" s="18"/>
      <c r="F6769" s="28"/>
    </row>
    <row r="6770" spans="3:6" x14ac:dyDescent="0.35">
      <c r="C6770" s="7"/>
      <c r="D6770" s="18"/>
      <c r="F6770" s="28"/>
    </row>
    <row r="6771" spans="3:6" x14ac:dyDescent="0.35">
      <c r="C6771" s="7"/>
      <c r="D6771" s="18"/>
      <c r="F6771" s="28"/>
    </row>
    <row r="6772" spans="3:6" x14ac:dyDescent="0.35">
      <c r="C6772" s="7"/>
      <c r="D6772" s="18"/>
      <c r="F6772" s="28"/>
    </row>
    <row r="6773" spans="3:6" x14ac:dyDescent="0.35">
      <c r="C6773" s="7"/>
      <c r="D6773" s="18"/>
      <c r="F6773" s="28"/>
    </row>
    <row r="6774" spans="3:6" x14ac:dyDescent="0.35">
      <c r="C6774" s="7"/>
      <c r="D6774" s="18"/>
      <c r="F6774" s="28"/>
    </row>
    <row r="6775" spans="3:6" x14ac:dyDescent="0.35">
      <c r="C6775" s="7"/>
      <c r="D6775" s="18"/>
      <c r="F6775" s="28"/>
    </row>
    <row r="6776" spans="3:6" x14ac:dyDescent="0.35">
      <c r="C6776" s="16"/>
      <c r="D6776" s="18"/>
      <c r="F6776" s="28"/>
    </row>
    <row r="6777" spans="3:6" x14ac:dyDescent="0.35">
      <c r="C6777" s="16"/>
      <c r="D6777" s="18"/>
      <c r="F6777" s="28"/>
    </row>
    <row r="6778" spans="3:6" x14ac:dyDescent="0.35">
      <c r="C6778" s="16"/>
      <c r="D6778" s="18"/>
      <c r="F6778" s="28"/>
    </row>
    <row r="6779" spans="3:6" x14ac:dyDescent="0.35">
      <c r="C6779" s="16"/>
      <c r="D6779" s="18"/>
      <c r="F6779" s="28"/>
    </row>
    <row r="6780" spans="3:6" x14ac:dyDescent="0.35">
      <c r="C6780" s="16"/>
      <c r="D6780" s="18"/>
      <c r="F6780" s="28"/>
    </row>
    <row r="6781" spans="3:6" x14ac:dyDescent="0.35">
      <c r="C6781" s="16"/>
      <c r="D6781" s="18"/>
      <c r="F6781" s="28"/>
    </row>
    <row r="6782" spans="3:6" x14ac:dyDescent="0.35">
      <c r="C6782" s="7"/>
      <c r="D6782" s="18"/>
      <c r="F6782" s="28"/>
    </row>
    <row r="6783" spans="3:6" x14ac:dyDescent="0.35">
      <c r="C6783" s="7"/>
      <c r="D6783" s="18"/>
      <c r="F6783" s="28"/>
    </row>
    <row r="6784" spans="3:6" x14ac:dyDescent="0.35">
      <c r="C6784" s="7"/>
      <c r="D6784" s="18"/>
      <c r="F6784" s="28"/>
    </row>
    <row r="6785" spans="3:6" x14ac:dyDescent="0.35">
      <c r="C6785" s="7"/>
      <c r="D6785" s="18"/>
      <c r="F6785" s="28"/>
    </row>
    <row r="6786" spans="3:6" x14ac:dyDescent="0.35">
      <c r="C6786" s="7"/>
      <c r="D6786" s="18"/>
      <c r="F6786" s="28"/>
    </row>
    <row r="6787" spans="3:6" x14ac:dyDescent="0.35">
      <c r="C6787" s="7"/>
      <c r="D6787" s="18"/>
      <c r="F6787" s="28"/>
    </row>
    <row r="6788" spans="3:6" x14ac:dyDescent="0.35">
      <c r="C6788" s="7"/>
      <c r="D6788" s="18"/>
      <c r="F6788" s="28"/>
    </row>
    <row r="6789" spans="3:6" x14ac:dyDescent="0.35">
      <c r="C6789" s="7"/>
      <c r="D6789" s="18"/>
      <c r="F6789" s="28"/>
    </row>
    <row r="6790" spans="3:6" x14ac:dyDescent="0.35">
      <c r="C6790" s="7"/>
      <c r="D6790" s="18"/>
      <c r="F6790" s="28"/>
    </row>
    <row r="6791" spans="3:6" x14ac:dyDescent="0.35">
      <c r="C6791" s="7"/>
      <c r="D6791" s="18"/>
      <c r="F6791" s="28"/>
    </row>
    <row r="6792" spans="3:6" x14ac:dyDescent="0.35">
      <c r="C6792" s="7"/>
      <c r="D6792" s="18"/>
      <c r="F6792" s="28"/>
    </row>
    <row r="6793" spans="3:6" x14ac:dyDescent="0.35">
      <c r="C6793" s="7"/>
      <c r="D6793" s="18"/>
      <c r="F6793" s="28"/>
    </row>
    <row r="6794" spans="3:6" x14ac:dyDescent="0.35">
      <c r="C6794" s="8"/>
      <c r="D6794" s="18"/>
      <c r="F6794" s="28"/>
    </row>
    <row r="6795" spans="3:6" x14ac:dyDescent="0.35">
      <c r="C6795" s="8"/>
      <c r="D6795" s="18"/>
      <c r="F6795" s="28"/>
    </row>
    <row r="6796" spans="3:6" x14ac:dyDescent="0.35">
      <c r="C6796" s="8"/>
      <c r="D6796" s="18"/>
      <c r="F6796" s="28"/>
    </row>
    <row r="6797" spans="3:6" x14ac:dyDescent="0.35">
      <c r="C6797" s="8"/>
      <c r="D6797" s="18"/>
      <c r="F6797" s="28"/>
    </row>
    <row r="6798" spans="3:6" x14ac:dyDescent="0.35">
      <c r="C6798" s="8"/>
      <c r="D6798" s="18"/>
      <c r="F6798" s="28"/>
    </row>
    <row r="6799" spans="3:6" x14ac:dyDescent="0.35">
      <c r="C6799" s="8"/>
      <c r="D6799" s="18"/>
      <c r="F6799" s="28"/>
    </row>
    <row r="6800" spans="3:6" x14ac:dyDescent="0.35">
      <c r="C6800" s="9"/>
      <c r="D6800" s="18"/>
      <c r="F6800" s="28"/>
    </row>
    <row r="6801" spans="3:6" x14ac:dyDescent="0.35">
      <c r="C6801" s="9"/>
      <c r="D6801" s="18"/>
      <c r="F6801" s="28"/>
    </row>
    <row r="6802" spans="3:6" x14ac:dyDescent="0.35">
      <c r="C6802" s="9"/>
      <c r="D6802" s="18"/>
      <c r="F6802" s="28"/>
    </row>
    <row r="6803" spans="3:6" x14ac:dyDescent="0.35">
      <c r="C6803" s="9"/>
      <c r="D6803" s="18"/>
      <c r="F6803" s="28"/>
    </row>
    <row r="6804" spans="3:6" x14ac:dyDescent="0.35">
      <c r="C6804" s="9"/>
      <c r="D6804" s="18"/>
      <c r="F6804" s="28"/>
    </row>
    <row r="6805" spans="3:6" x14ac:dyDescent="0.35">
      <c r="C6805" s="9"/>
      <c r="D6805" s="18"/>
      <c r="F6805" s="28"/>
    </row>
    <row r="6806" spans="3:6" x14ac:dyDescent="0.35">
      <c r="C6806" s="10"/>
      <c r="D6806" s="18"/>
      <c r="F6806" s="28"/>
    </row>
    <row r="6807" spans="3:6" x14ac:dyDescent="0.35">
      <c r="C6807" s="10"/>
      <c r="D6807" s="18"/>
      <c r="F6807" s="28"/>
    </row>
    <row r="6808" spans="3:6" x14ac:dyDescent="0.35">
      <c r="C6808" s="10"/>
      <c r="D6808" s="18"/>
      <c r="F6808" s="28"/>
    </row>
    <row r="6809" spans="3:6" x14ac:dyDescent="0.35">
      <c r="C6809" s="10"/>
      <c r="D6809" s="18"/>
      <c r="F6809" s="28"/>
    </row>
    <row r="6810" spans="3:6" x14ac:dyDescent="0.35">
      <c r="C6810" s="10"/>
      <c r="D6810" s="18"/>
      <c r="F6810" s="28"/>
    </row>
    <row r="6811" spans="3:6" x14ac:dyDescent="0.35">
      <c r="C6811" s="10"/>
      <c r="D6811" s="18"/>
      <c r="F6811" s="28"/>
    </row>
    <row r="6812" spans="3:6" x14ac:dyDescent="0.35">
      <c r="C6812" s="11"/>
      <c r="D6812" s="18"/>
      <c r="F6812" s="28"/>
    </row>
    <row r="6813" spans="3:6" x14ac:dyDescent="0.35">
      <c r="C6813" s="11"/>
      <c r="D6813" s="18"/>
      <c r="F6813" s="28"/>
    </row>
    <row r="6814" spans="3:6" x14ac:dyDescent="0.35">
      <c r="C6814" s="11"/>
      <c r="D6814" s="18"/>
      <c r="F6814" s="28"/>
    </row>
    <row r="6815" spans="3:6" x14ac:dyDescent="0.35">
      <c r="C6815" s="11"/>
      <c r="D6815" s="18"/>
      <c r="F6815" s="28"/>
    </row>
    <row r="6816" spans="3:6" x14ac:dyDescent="0.35">
      <c r="C6816" s="11"/>
      <c r="D6816" s="18"/>
      <c r="F6816" s="28"/>
    </row>
    <row r="6817" spans="3:6" x14ac:dyDescent="0.35">
      <c r="C6817" s="11"/>
      <c r="D6817" s="18"/>
      <c r="F6817" s="28"/>
    </row>
    <row r="6818" spans="3:6" x14ac:dyDescent="0.35">
      <c r="C6818" s="12"/>
      <c r="D6818" s="18"/>
      <c r="F6818" s="28"/>
    </row>
    <row r="6819" spans="3:6" x14ac:dyDescent="0.35">
      <c r="C6819" s="12"/>
      <c r="D6819" s="18"/>
      <c r="F6819" s="28"/>
    </row>
    <row r="6820" spans="3:6" x14ac:dyDescent="0.35">
      <c r="C6820" s="12"/>
      <c r="D6820" s="18"/>
      <c r="F6820" s="28"/>
    </row>
    <row r="6821" spans="3:6" x14ac:dyDescent="0.35">
      <c r="C6821" s="12"/>
      <c r="D6821" s="18"/>
      <c r="F6821" s="28"/>
    </row>
    <row r="6822" spans="3:6" x14ac:dyDescent="0.35">
      <c r="C6822" s="12"/>
      <c r="D6822" s="18"/>
      <c r="F6822" s="28"/>
    </row>
    <row r="6823" spans="3:6" x14ac:dyDescent="0.35">
      <c r="C6823" s="12"/>
      <c r="D6823" s="18"/>
      <c r="F6823" s="28"/>
    </row>
    <row r="6824" spans="3:6" x14ac:dyDescent="0.35">
      <c r="C6824" s="13"/>
      <c r="D6824" s="18"/>
      <c r="F6824" s="28"/>
    </row>
    <row r="6825" spans="3:6" x14ac:dyDescent="0.35">
      <c r="C6825" s="13"/>
      <c r="D6825" s="18"/>
      <c r="F6825" s="28"/>
    </row>
    <row r="6826" spans="3:6" x14ac:dyDescent="0.35">
      <c r="C6826" s="13"/>
      <c r="D6826" s="18"/>
      <c r="F6826" s="28"/>
    </row>
    <row r="6827" spans="3:6" x14ac:dyDescent="0.35">
      <c r="C6827" s="13"/>
      <c r="D6827" s="18"/>
      <c r="F6827" s="28"/>
    </row>
    <row r="6828" spans="3:6" x14ac:dyDescent="0.35">
      <c r="C6828" s="13"/>
      <c r="D6828" s="18"/>
      <c r="F6828" s="28"/>
    </row>
    <row r="6829" spans="3:6" x14ac:dyDescent="0.35">
      <c r="C6829" s="13"/>
      <c r="D6829" s="18"/>
      <c r="F6829" s="28"/>
    </row>
    <row r="6830" spans="3:6" x14ac:dyDescent="0.35">
      <c r="C6830" s="14"/>
      <c r="D6830" s="18"/>
      <c r="F6830" s="28"/>
    </row>
    <row r="6831" spans="3:6" x14ac:dyDescent="0.35">
      <c r="C6831" s="14"/>
      <c r="D6831" s="18"/>
      <c r="F6831" s="28"/>
    </row>
    <row r="6832" spans="3:6" x14ac:dyDescent="0.35">
      <c r="C6832" s="14"/>
      <c r="D6832" s="18"/>
      <c r="F6832" s="28"/>
    </row>
    <row r="6833" spans="3:6" x14ac:dyDescent="0.35">
      <c r="C6833" s="14"/>
      <c r="D6833" s="18"/>
      <c r="F6833" s="28"/>
    </row>
    <row r="6834" spans="3:6" x14ac:dyDescent="0.35">
      <c r="C6834" s="14"/>
      <c r="D6834" s="18"/>
      <c r="F6834" s="28"/>
    </row>
    <row r="6835" spans="3:6" x14ac:dyDescent="0.35">
      <c r="C6835" s="14"/>
      <c r="D6835" s="18"/>
      <c r="F6835" s="28"/>
    </row>
    <row r="6836" spans="3:6" x14ac:dyDescent="0.35">
      <c r="C6836" s="15"/>
      <c r="D6836" s="18"/>
      <c r="F6836" s="28"/>
    </row>
    <row r="6837" spans="3:6" x14ac:dyDescent="0.35">
      <c r="C6837" s="15"/>
      <c r="D6837" s="18"/>
      <c r="F6837" s="28"/>
    </row>
    <row r="6838" spans="3:6" x14ac:dyDescent="0.35">
      <c r="C6838" s="15"/>
      <c r="D6838" s="18"/>
      <c r="F6838" s="28"/>
    </row>
    <row r="6839" spans="3:6" x14ac:dyDescent="0.35">
      <c r="C6839" s="15"/>
      <c r="D6839" s="18"/>
      <c r="F6839" s="28"/>
    </row>
    <row r="6840" spans="3:6" x14ac:dyDescent="0.35">
      <c r="C6840" s="15"/>
      <c r="D6840" s="18"/>
      <c r="F6840" s="28"/>
    </row>
    <row r="6841" spans="3:6" x14ac:dyDescent="0.35">
      <c r="C6841" s="15"/>
      <c r="D6841" s="18"/>
      <c r="F6841" s="28"/>
    </row>
    <row r="6842" spans="3:6" x14ac:dyDescent="0.35">
      <c r="C6842" s="7"/>
      <c r="D6842" s="18"/>
      <c r="F6842" s="28"/>
    </row>
    <row r="6843" spans="3:6" x14ac:dyDescent="0.35">
      <c r="C6843" s="7"/>
      <c r="D6843" s="18"/>
      <c r="F6843" s="28"/>
    </row>
    <row r="6844" spans="3:6" x14ac:dyDescent="0.35">
      <c r="C6844" s="7"/>
      <c r="D6844" s="18"/>
      <c r="F6844" s="28"/>
    </row>
    <row r="6845" spans="3:6" x14ac:dyDescent="0.35">
      <c r="C6845" s="7"/>
      <c r="D6845" s="18"/>
      <c r="F6845" s="28"/>
    </row>
    <row r="6846" spans="3:6" x14ac:dyDescent="0.35">
      <c r="C6846" s="7"/>
      <c r="D6846" s="18"/>
      <c r="F6846" s="28"/>
    </row>
    <row r="6847" spans="3:6" x14ac:dyDescent="0.35">
      <c r="C6847" s="7"/>
      <c r="D6847" s="18"/>
      <c r="F6847" s="28"/>
    </row>
    <row r="6848" spans="3:6" x14ac:dyDescent="0.35">
      <c r="C6848" s="16"/>
      <c r="D6848" s="18"/>
      <c r="F6848" s="28"/>
    </row>
    <row r="6849" spans="3:6" x14ac:dyDescent="0.35">
      <c r="C6849" s="16"/>
      <c r="D6849" s="18"/>
      <c r="F6849" s="28"/>
    </row>
    <row r="6850" spans="3:6" x14ac:dyDescent="0.35">
      <c r="C6850" s="16"/>
      <c r="D6850" s="18"/>
      <c r="F6850" s="28"/>
    </row>
    <row r="6851" spans="3:6" x14ac:dyDescent="0.35">
      <c r="C6851" s="16"/>
      <c r="D6851" s="18"/>
      <c r="F6851" s="28"/>
    </row>
    <row r="6852" spans="3:6" x14ac:dyDescent="0.35">
      <c r="C6852" s="16"/>
      <c r="D6852" s="18"/>
      <c r="F6852" s="28"/>
    </row>
    <row r="6853" spans="3:6" x14ac:dyDescent="0.35">
      <c r="C6853" s="16"/>
      <c r="D6853" s="18"/>
      <c r="F6853" s="28"/>
    </row>
    <row r="6854" spans="3:6" x14ac:dyDescent="0.35">
      <c r="C6854" s="7"/>
      <c r="D6854" s="18"/>
      <c r="F6854" s="28"/>
    </row>
    <row r="6855" spans="3:6" x14ac:dyDescent="0.35">
      <c r="C6855" s="7"/>
      <c r="D6855" s="18"/>
      <c r="F6855" s="28"/>
    </row>
    <row r="6856" spans="3:6" x14ac:dyDescent="0.35">
      <c r="C6856" s="7"/>
      <c r="D6856" s="18"/>
      <c r="F6856" s="28"/>
    </row>
    <row r="6857" spans="3:6" x14ac:dyDescent="0.35">
      <c r="C6857" s="7"/>
      <c r="D6857" s="18"/>
      <c r="F6857" s="28"/>
    </row>
    <row r="6858" spans="3:6" x14ac:dyDescent="0.35">
      <c r="C6858" s="7"/>
      <c r="D6858" s="18"/>
      <c r="F6858" s="28"/>
    </row>
    <row r="6859" spans="3:6" x14ac:dyDescent="0.35">
      <c r="C6859" s="7"/>
      <c r="D6859" s="18"/>
      <c r="F6859" s="28"/>
    </row>
    <row r="6860" spans="3:6" x14ac:dyDescent="0.35">
      <c r="C6860" s="7"/>
      <c r="D6860" s="18"/>
      <c r="F6860" s="28"/>
    </row>
    <row r="6861" spans="3:6" x14ac:dyDescent="0.35">
      <c r="C6861" s="7"/>
      <c r="D6861" s="18"/>
      <c r="F6861" s="28"/>
    </row>
    <row r="6862" spans="3:6" x14ac:dyDescent="0.35">
      <c r="C6862" s="7"/>
      <c r="D6862" s="18"/>
      <c r="F6862" s="28"/>
    </row>
    <row r="6863" spans="3:6" x14ac:dyDescent="0.35">
      <c r="C6863" s="7"/>
      <c r="D6863" s="18"/>
      <c r="F6863" s="28"/>
    </row>
    <row r="6864" spans="3:6" x14ac:dyDescent="0.35">
      <c r="C6864" s="7"/>
      <c r="D6864" s="18"/>
      <c r="F6864" s="28"/>
    </row>
    <row r="6865" spans="3:6" x14ac:dyDescent="0.35">
      <c r="C6865" s="7"/>
      <c r="D6865" s="18"/>
      <c r="F6865" s="28"/>
    </row>
    <row r="6866" spans="3:6" x14ac:dyDescent="0.35">
      <c r="C6866" s="8"/>
      <c r="D6866" s="18"/>
      <c r="F6866" s="28"/>
    </row>
    <row r="6867" spans="3:6" x14ac:dyDescent="0.35">
      <c r="C6867" s="8"/>
      <c r="D6867" s="18"/>
      <c r="F6867" s="28"/>
    </row>
    <row r="6868" spans="3:6" x14ac:dyDescent="0.35">
      <c r="C6868" s="8"/>
      <c r="D6868" s="18"/>
      <c r="F6868" s="28"/>
    </row>
    <row r="6869" spans="3:6" x14ac:dyDescent="0.35">
      <c r="C6869" s="8"/>
      <c r="D6869" s="18"/>
      <c r="F6869" s="28"/>
    </row>
    <row r="6870" spans="3:6" x14ac:dyDescent="0.35">
      <c r="C6870" s="8"/>
      <c r="D6870" s="18"/>
      <c r="F6870" s="28"/>
    </row>
    <row r="6871" spans="3:6" x14ac:dyDescent="0.35">
      <c r="C6871" s="8"/>
      <c r="D6871" s="18"/>
      <c r="F6871" s="28"/>
    </row>
    <row r="6872" spans="3:6" x14ac:dyDescent="0.35">
      <c r="C6872" s="9"/>
      <c r="D6872" s="18"/>
      <c r="F6872" s="28"/>
    </row>
    <row r="6873" spans="3:6" x14ac:dyDescent="0.35">
      <c r="C6873" s="9"/>
      <c r="D6873" s="18"/>
      <c r="F6873" s="28"/>
    </row>
    <row r="6874" spans="3:6" x14ac:dyDescent="0.35">
      <c r="C6874" s="9"/>
      <c r="D6874" s="18"/>
      <c r="F6874" s="28"/>
    </row>
    <row r="6875" spans="3:6" x14ac:dyDescent="0.35">
      <c r="C6875" s="9"/>
      <c r="D6875" s="18"/>
      <c r="F6875" s="28"/>
    </row>
    <row r="6876" spans="3:6" x14ac:dyDescent="0.35">
      <c r="C6876" s="9"/>
      <c r="D6876" s="18"/>
      <c r="F6876" s="28"/>
    </row>
    <row r="6877" spans="3:6" x14ac:dyDescent="0.35">
      <c r="C6877" s="9"/>
      <c r="D6877" s="18"/>
      <c r="F6877" s="28"/>
    </row>
    <row r="6878" spans="3:6" x14ac:dyDescent="0.35">
      <c r="C6878" s="10"/>
      <c r="D6878" s="18"/>
      <c r="F6878" s="28"/>
    </row>
    <row r="6879" spans="3:6" x14ac:dyDescent="0.35">
      <c r="C6879" s="10"/>
      <c r="D6879" s="18"/>
      <c r="F6879" s="28"/>
    </row>
    <row r="6880" spans="3:6" x14ac:dyDescent="0.35">
      <c r="C6880" s="10"/>
      <c r="D6880" s="18"/>
      <c r="F6880" s="28"/>
    </row>
    <row r="6881" spans="3:6" x14ac:dyDescent="0.35">
      <c r="C6881" s="10"/>
      <c r="D6881" s="18"/>
      <c r="F6881" s="28"/>
    </row>
    <row r="6882" spans="3:6" x14ac:dyDescent="0.35">
      <c r="C6882" s="10"/>
      <c r="D6882" s="18"/>
      <c r="F6882" s="28"/>
    </row>
    <row r="6883" spans="3:6" x14ac:dyDescent="0.35">
      <c r="C6883" s="10"/>
      <c r="D6883" s="18"/>
      <c r="F6883" s="28"/>
    </row>
    <row r="6884" spans="3:6" x14ac:dyDescent="0.35">
      <c r="C6884" s="11"/>
      <c r="D6884" s="18"/>
      <c r="F6884" s="28"/>
    </row>
    <row r="6885" spans="3:6" x14ac:dyDescent="0.35">
      <c r="C6885" s="11"/>
      <c r="D6885" s="18"/>
      <c r="F6885" s="28"/>
    </row>
    <row r="6886" spans="3:6" x14ac:dyDescent="0.35">
      <c r="C6886" s="11"/>
      <c r="D6886" s="18"/>
      <c r="F6886" s="28"/>
    </row>
    <row r="6887" spans="3:6" x14ac:dyDescent="0.35">
      <c r="C6887" s="11"/>
      <c r="D6887" s="18"/>
      <c r="F6887" s="28"/>
    </row>
    <row r="6888" spans="3:6" x14ac:dyDescent="0.35">
      <c r="C6888" s="11"/>
      <c r="D6888" s="18"/>
      <c r="F6888" s="28"/>
    </row>
    <row r="6889" spans="3:6" x14ac:dyDescent="0.35">
      <c r="C6889" s="11"/>
      <c r="D6889" s="18"/>
      <c r="F6889" s="28"/>
    </row>
    <row r="6890" spans="3:6" x14ac:dyDescent="0.35">
      <c r="C6890" s="12"/>
      <c r="D6890" s="18"/>
      <c r="F6890" s="28"/>
    </row>
    <row r="6891" spans="3:6" x14ac:dyDescent="0.35">
      <c r="C6891" s="12"/>
      <c r="D6891" s="18"/>
      <c r="F6891" s="28"/>
    </row>
    <row r="6892" spans="3:6" x14ac:dyDescent="0.35">
      <c r="C6892" s="12"/>
      <c r="D6892" s="18"/>
      <c r="F6892" s="28"/>
    </row>
    <row r="6893" spans="3:6" x14ac:dyDescent="0.35">
      <c r="C6893" s="12"/>
      <c r="D6893" s="18"/>
      <c r="F6893" s="28"/>
    </row>
    <row r="6894" spans="3:6" x14ac:dyDescent="0.35">
      <c r="C6894" s="12"/>
      <c r="D6894" s="18"/>
      <c r="F6894" s="28"/>
    </row>
    <row r="6895" spans="3:6" x14ac:dyDescent="0.35">
      <c r="C6895" s="12"/>
      <c r="D6895" s="18"/>
      <c r="F6895" s="28"/>
    </row>
    <row r="6896" spans="3:6" x14ac:dyDescent="0.35">
      <c r="C6896" s="13"/>
      <c r="D6896" s="18"/>
      <c r="F6896" s="28"/>
    </row>
    <row r="6897" spans="3:6" x14ac:dyDescent="0.35">
      <c r="C6897" s="13"/>
      <c r="D6897" s="18"/>
      <c r="F6897" s="28"/>
    </row>
    <row r="6898" spans="3:6" x14ac:dyDescent="0.35">
      <c r="C6898" s="13"/>
      <c r="D6898" s="18"/>
      <c r="F6898" s="28"/>
    </row>
    <row r="6899" spans="3:6" x14ac:dyDescent="0.35">
      <c r="C6899" s="13"/>
      <c r="D6899" s="18"/>
      <c r="F6899" s="28"/>
    </row>
    <row r="6900" spans="3:6" x14ac:dyDescent="0.35">
      <c r="C6900" s="13"/>
      <c r="D6900" s="18"/>
      <c r="F6900" s="28"/>
    </row>
    <row r="6901" spans="3:6" x14ac:dyDescent="0.35">
      <c r="C6901" s="13"/>
      <c r="D6901" s="18"/>
      <c r="F6901" s="28"/>
    </row>
    <row r="6902" spans="3:6" x14ac:dyDescent="0.35">
      <c r="C6902" s="14"/>
      <c r="D6902" s="18"/>
      <c r="F6902" s="28"/>
    </row>
    <row r="6903" spans="3:6" x14ac:dyDescent="0.35">
      <c r="C6903" s="14"/>
      <c r="D6903" s="18"/>
      <c r="F6903" s="28"/>
    </row>
    <row r="6904" spans="3:6" x14ac:dyDescent="0.35">
      <c r="C6904" s="14"/>
      <c r="D6904" s="18"/>
      <c r="F6904" s="28"/>
    </row>
    <row r="6905" spans="3:6" x14ac:dyDescent="0.35">
      <c r="C6905" s="14"/>
      <c r="D6905" s="18"/>
      <c r="F6905" s="28"/>
    </row>
    <row r="6906" spans="3:6" x14ac:dyDescent="0.35">
      <c r="C6906" s="14"/>
      <c r="D6906" s="18"/>
      <c r="F6906" s="28"/>
    </row>
    <row r="6907" spans="3:6" x14ac:dyDescent="0.35">
      <c r="C6907" s="14"/>
      <c r="D6907" s="18"/>
      <c r="F6907" s="28"/>
    </row>
    <row r="6908" spans="3:6" x14ac:dyDescent="0.35">
      <c r="C6908" s="15"/>
      <c r="D6908" s="18"/>
      <c r="F6908" s="28"/>
    </row>
    <row r="6909" spans="3:6" x14ac:dyDescent="0.35">
      <c r="C6909" s="15"/>
      <c r="D6909" s="18"/>
      <c r="F6909" s="28"/>
    </row>
    <row r="6910" spans="3:6" x14ac:dyDescent="0.35">
      <c r="C6910" s="15"/>
      <c r="D6910" s="18"/>
      <c r="F6910" s="28"/>
    </row>
    <row r="6911" spans="3:6" x14ac:dyDescent="0.35">
      <c r="C6911" s="15"/>
      <c r="D6911" s="18"/>
      <c r="F6911" s="28"/>
    </row>
    <row r="6912" spans="3:6" x14ac:dyDescent="0.35">
      <c r="C6912" s="15"/>
      <c r="D6912" s="18"/>
      <c r="F6912" s="28"/>
    </row>
    <row r="6913" spans="3:6" x14ac:dyDescent="0.35">
      <c r="C6913" s="15"/>
      <c r="D6913" s="18"/>
      <c r="F6913" s="28"/>
    </row>
    <row r="6914" spans="3:6" x14ac:dyDescent="0.35">
      <c r="C6914" s="7"/>
      <c r="D6914" s="18"/>
      <c r="F6914" s="28"/>
    </row>
    <row r="6915" spans="3:6" x14ac:dyDescent="0.35">
      <c r="C6915" s="7"/>
      <c r="D6915" s="18"/>
      <c r="F6915" s="28"/>
    </row>
    <row r="6916" spans="3:6" x14ac:dyDescent="0.35">
      <c r="C6916" s="7"/>
      <c r="D6916" s="18"/>
      <c r="F6916" s="28"/>
    </row>
    <row r="6917" spans="3:6" x14ac:dyDescent="0.35">
      <c r="C6917" s="7"/>
      <c r="D6917" s="18"/>
      <c r="F6917" s="28"/>
    </row>
    <row r="6918" spans="3:6" x14ac:dyDescent="0.35">
      <c r="C6918" s="7"/>
      <c r="D6918" s="18"/>
      <c r="F6918" s="28"/>
    </row>
    <row r="6919" spans="3:6" x14ac:dyDescent="0.35">
      <c r="C6919" s="7"/>
      <c r="D6919" s="18"/>
      <c r="F6919" s="28"/>
    </row>
    <row r="6920" spans="3:6" x14ac:dyDescent="0.35">
      <c r="C6920" s="16"/>
      <c r="D6920" s="18"/>
      <c r="F6920" s="28"/>
    </row>
    <row r="6921" spans="3:6" x14ac:dyDescent="0.35">
      <c r="C6921" s="16"/>
      <c r="D6921" s="18"/>
      <c r="F6921" s="28"/>
    </row>
    <row r="6922" spans="3:6" x14ac:dyDescent="0.35">
      <c r="C6922" s="16"/>
      <c r="D6922" s="18"/>
      <c r="F6922" s="28"/>
    </row>
    <row r="6923" spans="3:6" x14ac:dyDescent="0.35">
      <c r="C6923" s="16"/>
      <c r="D6923" s="18"/>
      <c r="F6923" s="28"/>
    </row>
    <row r="6924" spans="3:6" x14ac:dyDescent="0.35">
      <c r="C6924" s="16"/>
      <c r="D6924" s="18"/>
      <c r="F6924" s="28"/>
    </row>
    <row r="6925" spans="3:6" x14ac:dyDescent="0.35">
      <c r="C6925" s="16"/>
      <c r="D6925" s="18"/>
      <c r="F6925" s="28"/>
    </row>
    <row r="6926" spans="3:6" x14ac:dyDescent="0.35">
      <c r="C6926" s="7"/>
      <c r="D6926" s="18"/>
      <c r="F6926" s="28"/>
    </row>
    <row r="6927" spans="3:6" x14ac:dyDescent="0.35">
      <c r="C6927" s="7"/>
      <c r="D6927" s="18"/>
      <c r="F6927" s="28"/>
    </row>
    <row r="6928" spans="3:6" x14ac:dyDescent="0.35">
      <c r="C6928" s="7"/>
      <c r="D6928" s="18"/>
      <c r="F6928" s="28"/>
    </row>
    <row r="6929" spans="3:6" x14ac:dyDescent="0.35">
      <c r="C6929" s="7"/>
      <c r="D6929" s="18"/>
      <c r="F6929" s="28"/>
    </row>
    <row r="6930" spans="3:6" x14ac:dyDescent="0.35">
      <c r="C6930" s="7"/>
      <c r="D6930" s="18"/>
      <c r="F6930" s="28"/>
    </row>
    <row r="6931" spans="3:6" x14ac:dyDescent="0.35">
      <c r="C6931" s="7"/>
      <c r="D6931" s="18"/>
      <c r="F6931" s="28"/>
    </row>
    <row r="6932" spans="3:6" x14ac:dyDescent="0.35">
      <c r="C6932" s="7"/>
      <c r="D6932" s="18"/>
      <c r="F6932" s="28"/>
    </row>
    <row r="6933" spans="3:6" x14ac:dyDescent="0.35">
      <c r="C6933" s="7"/>
      <c r="D6933" s="18"/>
      <c r="F6933" s="28"/>
    </row>
    <row r="6934" spans="3:6" x14ac:dyDescent="0.35">
      <c r="C6934" s="7"/>
      <c r="D6934" s="18"/>
      <c r="F6934" s="28"/>
    </row>
    <row r="6935" spans="3:6" x14ac:dyDescent="0.35">
      <c r="C6935" s="7"/>
      <c r="D6935" s="18"/>
      <c r="F6935" s="28"/>
    </row>
    <row r="6936" spans="3:6" x14ac:dyDescent="0.35">
      <c r="C6936" s="7"/>
      <c r="D6936" s="18"/>
      <c r="F6936" s="28"/>
    </row>
    <row r="6937" spans="3:6" x14ac:dyDescent="0.35">
      <c r="C6937" s="7"/>
      <c r="D6937" s="18"/>
      <c r="F6937" s="28"/>
    </row>
    <row r="6938" spans="3:6" x14ac:dyDescent="0.35">
      <c r="C6938" s="8"/>
      <c r="D6938" s="18"/>
      <c r="F6938" s="28"/>
    </row>
    <row r="6939" spans="3:6" x14ac:dyDescent="0.35">
      <c r="C6939" s="8"/>
      <c r="D6939" s="18"/>
      <c r="F6939" s="28"/>
    </row>
    <row r="6940" spans="3:6" x14ac:dyDescent="0.35">
      <c r="C6940" s="8"/>
      <c r="D6940" s="18"/>
      <c r="F6940" s="28"/>
    </row>
    <row r="6941" spans="3:6" x14ac:dyDescent="0.35">
      <c r="C6941" s="8"/>
      <c r="D6941" s="18"/>
      <c r="F6941" s="28"/>
    </row>
    <row r="6942" spans="3:6" x14ac:dyDescent="0.35">
      <c r="C6942" s="8"/>
      <c r="D6942" s="18"/>
      <c r="F6942" s="28"/>
    </row>
    <row r="6943" spans="3:6" x14ac:dyDescent="0.35">
      <c r="C6943" s="8"/>
      <c r="D6943" s="18"/>
      <c r="F6943" s="28"/>
    </row>
    <row r="6944" spans="3:6" x14ac:dyDescent="0.35">
      <c r="C6944" s="9"/>
      <c r="D6944" s="18"/>
      <c r="F6944" s="28"/>
    </row>
    <row r="6945" spans="3:6" x14ac:dyDescent="0.35">
      <c r="C6945" s="9"/>
      <c r="D6945" s="18"/>
      <c r="F6945" s="28"/>
    </row>
    <row r="6946" spans="3:6" x14ac:dyDescent="0.35">
      <c r="C6946" s="9"/>
      <c r="D6946" s="18"/>
      <c r="F6946" s="28"/>
    </row>
    <row r="6947" spans="3:6" x14ac:dyDescent="0.35">
      <c r="C6947" s="9"/>
      <c r="D6947" s="18"/>
      <c r="F6947" s="28"/>
    </row>
    <row r="6948" spans="3:6" x14ac:dyDescent="0.35">
      <c r="C6948" s="9"/>
      <c r="D6948" s="18"/>
      <c r="F6948" s="28"/>
    </row>
    <row r="6949" spans="3:6" x14ac:dyDescent="0.35">
      <c r="C6949" s="9"/>
      <c r="D6949" s="18"/>
      <c r="F6949" s="28"/>
    </row>
    <row r="6950" spans="3:6" x14ac:dyDescent="0.35">
      <c r="C6950" s="10"/>
      <c r="D6950" s="18"/>
      <c r="F6950" s="28"/>
    </row>
    <row r="6951" spans="3:6" x14ac:dyDescent="0.35">
      <c r="C6951" s="10"/>
      <c r="D6951" s="18"/>
      <c r="F6951" s="28"/>
    </row>
    <row r="6952" spans="3:6" x14ac:dyDescent="0.35">
      <c r="C6952" s="10"/>
      <c r="D6952" s="18"/>
      <c r="F6952" s="28"/>
    </row>
    <row r="6953" spans="3:6" x14ac:dyDescent="0.35">
      <c r="C6953" s="10"/>
      <c r="D6953" s="18"/>
      <c r="F6953" s="28"/>
    </row>
    <row r="6954" spans="3:6" x14ac:dyDescent="0.35">
      <c r="C6954" s="10"/>
      <c r="D6954" s="18"/>
      <c r="F6954" s="28"/>
    </row>
    <row r="6955" spans="3:6" x14ac:dyDescent="0.35">
      <c r="C6955" s="10"/>
      <c r="D6955" s="18"/>
      <c r="F6955" s="28"/>
    </row>
    <row r="6956" spans="3:6" x14ac:dyDescent="0.35">
      <c r="C6956" s="11"/>
      <c r="D6956" s="18"/>
      <c r="F6956" s="28"/>
    </row>
    <row r="6957" spans="3:6" x14ac:dyDescent="0.35">
      <c r="C6957" s="11"/>
      <c r="D6957" s="18"/>
      <c r="F6957" s="28"/>
    </row>
    <row r="6958" spans="3:6" x14ac:dyDescent="0.35">
      <c r="C6958" s="11"/>
      <c r="D6958" s="18"/>
      <c r="F6958" s="28"/>
    </row>
    <row r="6959" spans="3:6" x14ac:dyDescent="0.35">
      <c r="C6959" s="11"/>
      <c r="D6959" s="18"/>
      <c r="F6959" s="28"/>
    </row>
    <row r="6960" spans="3:6" x14ac:dyDescent="0.35">
      <c r="C6960" s="11"/>
      <c r="D6960" s="18"/>
      <c r="F6960" s="28"/>
    </row>
    <row r="6961" spans="3:6" x14ac:dyDescent="0.35">
      <c r="C6961" s="11"/>
      <c r="D6961" s="18"/>
      <c r="F6961" s="28"/>
    </row>
    <row r="6962" spans="3:6" x14ac:dyDescent="0.35">
      <c r="C6962" s="12"/>
      <c r="D6962" s="18"/>
      <c r="F6962" s="28"/>
    </row>
    <row r="6963" spans="3:6" x14ac:dyDescent="0.35">
      <c r="C6963" s="12"/>
      <c r="D6963" s="18"/>
      <c r="F6963" s="28"/>
    </row>
    <row r="6964" spans="3:6" x14ac:dyDescent="0.35">
      <c r="C6964" s="12"/>
      <c r="D6964" s="18"/>
      <c r="F6964" s="28"/>
    </row>
    <row r="6965" spans="3:6" x14ac:dyDescent="0.35">
      <c r="C6965" s="12"/>
      <c r="D6965" s="18"/>
      <c r="F6965" s="28"/>
    </row>
    <row r="6966" spans="3:6" x14ac:dyDescent="0.35">
      <c r="C6966" s="12"/>
      <c r="D6966" s="18"/>
      <c r="F6966" s="28"/>
    </row>
    <row r="6967" spans="3:6" x14ac:dyDescent="0.35">
      <c r="C6967" s="12"/>
      <c r="D6967" s="18"/>
      <c r="F6967" s="28"/>
    </row>
    <row r="6968" spans="3:6" x14ac:dyDescent="0.35">
      <c r="C6968" s="13"/>
      <c r="D6968" s="18"/>
      <c r="F6968" s="28"/>
    </row>
    <row r="6969" spans="3:6" x14ac:dyDescent="0.35">
      <c r="C6969" s="13"/>
      <c r="D6969" s="18"/>
      <c r="F6969" s="28"/>
    </row>
    <row r="6970" spans="3:6" x14ac:dyDescent="0.35">
      <c r="C6970" s="13"/>
      <c r="D6970" s="18"/>
      <c r="F6970" s="28"/>
    </row>
    <row r="6971" spans="3:6" x14ac:dyDescent="0.35">
      <c r="C6971" s="13"/>
      <c r="D6971" s="18"/>
      <c r="F6971" s="28"/>
    </row>
    <row r="6972" spans="3:6" x14ac:dyDescent="0.35">
      <c r="C6972" s="13"/>
      <c r="D6972" s="18"/>
      <c r="F6972" s="28"/>
    </row>
    <row r="6973" spans="3:6" x14ac:dyDescent="0.35">
      <c r="C6973" s="13"/>
      <c r="D6973" s="18"/>
      <c r="F6973" s="28"/>
    </row>
    <row r="6974" spans="3:6" x14ac:dyDescent="0.35">
      <c r="C6974" s="14"/>
      <c r="D6974" s="18"/>
      <c r="F6974" s="28"/>
    </row>
    <row r="6975" spans="3:6" x14ac:dyDescent="0.35">
      <c r="C6975" s="14"/>
      <c r="D6975" s="18"/>
      <c r="F6975" s="28"/>
    </row>
    <row r="6976" spans="3:6" x14ac:dyDescent="0.35">
      <c r="C6976" s="14"/>
      <c r="D6976" s="18"/>
      <c r="F6976" s="28"/>
    </row>
    <row r="6977" spans="3:6" x14ac:dyDescent="0.35">
      <c r="C6977" s="14"/>
      <c r="D6977" s="18"/>
      <c r="F6977" s="28"/>
    </row>
    <row r="6978" spans="3:6" x14ac:dyDescent="0.35">
      <c r="C6978" s="14"/>
      <c r="D6978" s="18"/>
      <c r="F6978" s="28"/>
    </row>
    <row r="6979" spans="3:6" x14ac:dyDescent="0.35">
      <c r="C6979" s="14"/>
      <c r="D6979" s="18"/>
      <c r="F6979" s="28"/>
    </row>
    <row r="6980" spans="3:6" x14ac:dyDescent="0.35">
      <c r="C6980" s="15"/>
      <c r="D6980" s="18"/>
      <c r="F6980" s="28"/>
    </row>
    <row r="6981" spans="3:6" x14ac:dyDescent="0.35">
      <c r="C6981" s="15"/>
      <c r="D6981" s="18"/>
      <c r="F6981" s="28"/>
    </row>
    <row r="6982" spans="3:6" x14ac:dyDescent="0.35">
      <c r="C6982" s="15"/>
      <c r="D6982" s="18"/>
      <c r="F6982" s="28"/>
    </row>
    <row r="6983" spans="3:6" x14ac:dyDescent="0.35">
      <c r="C6983" s="15"/>
      <c r="D6983" s="18"/>
      <c r="F6983" s="28"/>
    </row>
    <row r="6984" spans="3:6" x14ac:dyDescent="0.35">
      <c r="C6984" s="15"/>
      <c r="D6984" s="18"/>
      <c r="F6984" s="28"/>
    </row>
    <row r="6985" spans="3:6" x14ac:dyDescent="0.35">
      <c r="C6985" s="15"/>
      <c r="D6985" s="18"/>
      <c r="F6985" s="28"/>
    </row>
    <row r="6986" spans="3:6" x14ac:dyDescent="0.35">
      <c r="C6986" s="7"/>
      <c r="D6986" s="18"/>
      <c r="F6986" s="28"/>
    </row>
    <row r="6987" spans="3:6" x14ac:dyDescent="0.35">
      <c r="C6987" s="7"/>
      <c r="D6987" s="18"/>
      <c r="F6987" s="28"/>
    </row>
    <row r="6988" spans="3:6" x14ac:dyDescent="0.35">
      <c r="C6988" s="7"/>
      <c r="D6988" s="18"/>
      <c r="F6988" s="28"/>
    </row>
    <row r="6989" spans="3:6" x14ac:dyDescent="0.35">
      <c r="C6989" s="7"/>
      <c r="D6989" s="18"/>
      <c r="F6989" s="28"/>
    </row>
    <row r="6990" spans="3:6" x14ac:dyDescent="0.35">
      <c r="C6990" s="7"/>
      <c r="D6990" s="18"/>
      <c r="F6990" s="28"/>
    </row>
    <row r="6991" spans="3:6" x14ac:dyDescent="0.35">
      <c r="C6991" s="7"/>
      <c r="D6991" s="18"/>
      <c r="F6991" s="28"/>
    </row>
    <row r="6992" spans="3:6" x14ac:dyDescent="0.35">
      <c r="C6992" s="16"/>
      <c r="D6992" s="18"/>
      <c r="F6992" s="28"/>
    </row>
    <row r="6993" spans="3:6" x14ac:dyDescent="0.35">
      <c r="C6993" s="16"/>
      <c r="D6993" s="18"/>
      <c r="F6993" s="28"/>
    </row>
    <row r="6994" spans="3:6" x14ac:dyDescent="0.35">
      <c r="C6994" s="16"/>
      <c r="D6994" s="18"/>
      <c r="F6994" s="28"/>
    </row>
    <row r="6995" spans="3:6" x14ac:dyDescent="0.35">
      <c r="C6995" s="16"/>
      <c r="D6995" s="18"/>
      <c r="F6995" s="28"/>
    </row>
    <row r="6996" spans="3:6" x14ac:dyDescent="0.35">
      <c r="C6996" s="16"/>
      <c r="D6996" s="18"/>
      <c r="F6996" s="28"/>
    </row>
    <row r="6997" spans="3:6" x14ac:dyDescent="0.35">
      <c r="C6997" s="16"/>
      <c r="D6997" s="18"/>
      <c r="F6997" s="28"/>
    </row>
    <row r="6998" spans="3:6" x14ac:dyDescent="0.35">
      <c r="C6998" s="7"/>
      <c r="D6998" s="18"/>
      <c r="F6998" s="28"/>
    </row>
    <row r="6999" spans="3:6" x14ac:dyDescent="0.35">
      <c r="C6999" s="7"/>
      <c r="D6999" s="18"/>
      <c r="F6999" s="28"/>
    </row>
    <row r="7000" spans="3:6" x14ac:dyDescent="0.35">
      <c r="C7000" s="7"/>
      <c r="D7000" s="18"/>
      <c r="F7000" s="28"/>
    </row>
    <row r="7001" spans="3:6" x14ac:dyDescent="0.35">
      <c r="C7001" s="7"/>
      <c r="D7001" s="18"/>
      <c r="F7001" s="28"/>
    </row>
    <row r="7002" spans="3:6" x14ac:dyDescent="0.35">
      <c r="C7002" s="7"/>
      <c r="D7002" s="18"/>
      <c r="F7002" s="28"/>
    </row>
    <row r="7003" spans="3:6" x14ac:dyDescent="0.35">
      <c r="C7003" s="7"/>
      <c r="D7003" s="18"/>
      <c r="F7003" s="28"/>
    </row>
    <row r="7004" spans="3:6" x14ac:dyDescent="0.35">
      <c r="C7004" s="7"/>
      <c r="D7004" s="18"/>
      <c r="F7004" s="28"/>
    </row>
    <row r="7005" spans="3:6" x14ac:dyDescent="0.35">
      <c r="C7005" s="7"/>
      <c r="D7005" s="18"/>
      <c r="F7005" s="28"/>
    </row>
    <row r="7006" spans="3:6" x14ac:dyDescent="0.35">
      <c r="C7006" s="7"/>
      <c r="D7006" s="18"/>
      <c r="F7006" s="28"/>
    </row>
    <row r="7007" spans="3:6" x14ac:dyDescent="0.35">
      <c r="C7007" s="7"/>
      <c r="D7007" s="18"/>
      <c r="F7007" s="28"/>
    </row>
    <row r="7008" spans="3:6" x14ac:dyDescent="0.35">
      <c r="C7008" s="7"/>
      <c r="D7008" s="18"/>
      <c r="F7008" s="28"/>
    </row>
    <row r="7009" spans="3:6" x14ac:dyDescent="0.35">
      <c r="C7009" s="7"/>
      <c r="D7009" s="18"/>
      <c r="F7009" s="28"/>
    </row>
    <row r="7010" spans="3:6" x14ac:dyDescent="0.35">
      <c r="C7010" s="8"/>
      <c r="D7010" s="18"/>
      <c r="F7010" s="28"/>
    </row>
    <row r="7011" spans="3:6" x14ac:dyDescent="0.35">
      <c r="C7011" s="8"/>
      <c r="D7011" s="18"/>
      <c r="F7011" s="28"/>
    </row>
    <row r="7012" spans="3:6" x14ac:dyDescent="0.35">
      <c r="C7012" s="8"/>
      <c r="D7012" s="18"/>
      <c r="F7012" s="28"/>
    </row>
    <row r="7013" spans="3:6" x14ac:dyDescent="0.35">
      <c r="C7013" s="8"/>
      <c r="D7013" s="18"/>
      <c r="F7013" s="28"/>
    </row>
    <row r="7014" spans="3:6" x14ac:dyDescent="0.35">
      <c r="C7014" s="8"/>
      <c r="D7014" s="18"/>
      <c r="F7014" s="28"/>
    </row>
    <row r="7015" spans="3:6" x14ac:dyDescent="0.35">
      <c r="C7015" s="8"/>
      <c r="D7015" s="18"/>
      <c r="F7015" s="28"/>
    </row>
    <row r="7016" spans="3:6" x14ac:dyDescent="0.35">
      <c r="C7016" s="9"/>
      <c r="D7016" s="18"/>
      <c r="F7016" s="28"/>
    </row>
    <row r="7017" spans="3:6" x14ac:dyDescent="0.35">
      <c r="C7017" s="9"/>
      <c r="D7017" s="18"/>
      <c r="F7017" s="28"/>
    </row>
    <row r="7018" spans="3:6" x14ac:dyDescent="0.35">
      <c r="C7018" s="9"/>
      <c r="D7018" s="18"/>
      <c r="F7018" s="28"/>
    </row>
    <row r="7019" spans="3:6" x14ac:dyDescent="0.35">
      <c r="C7019" s="9"/>
      <c r="D7019" s="18"/>
      <c r="F7019" s="28"/>
    </row>
    <row r="7020" spans="3:6" x14ac:dyDescent="0.35">
      <c r="C7020" s="9"/>
      <c r="D7020" s="18"/>
      <c r="F7020" s="28"/>
    </row>
    <row r="7021" spans="3:6" x14ac:dyDescent="0.35">
      <c r="C7021" s="9"/>
      <c r="D7021" s="18"/>
      <c r="F7021" s="28"/>
    </row>
    <row r="7022" spans="3:6" x14ac:dyDescent="0.35">
      <c r="C7022" s="10"/>
      <c r="D7022" s="18"/>
      <c r="F7022" s="28"/>
    </row>
    <row r="7023" spans="3:6" x14ac:dyDescent="0.35">
      <c r="C7023" s="10"/>
      <c r="D7023" s="18"/>
      <c r="F7023" s="28"/>
    </row>
    <row r="7024" spans="3:6" x14ac:dyDescent="0.35">
      <c r="C7024" s="10"/>
      <c r="D7024" s="18"/>
      <c r="F7024" s="28"/>
    </row>
    <row r="7025" spans="3:6" x14ac:dyDescent="0.35">
      <c r="C7025" s="10"/>
      <c r="D7025" s="18"/>
      <c r="F7025" s="28"/>
    </row>
    <row r="7026" spans="3:6" x14ac:dyDescent="0.35">
      <c r="C7026" s="10"/>
      <c r="D7026" s="18"/>
      <c r="F7026" s="28"/>
    </row>
    <row r="7027" spans="3:6" x14ac:dyDescent="0.35">
      <c r="C7027" s="10"/>
      <c r="D7027" s="18"/>
      <c r="F7027" s="28"/>
    </row>
    <row r="7028" spans="3:6" x14ac:dyDescent="0.35">
      <c r="C7028" s="11"/>
      <c r="D7028" s="18"/>
      <c r="F7028" s="28"/>
    </row>
    <row r="7029" spans="3:6" x14ac:dyDescent="0.35">
      <c r="C7029" s="11"/>
      <c r="D7029" s="18"/>
      <c r="F7029" s="28"/>
    </row>
    <row r="7030" spans="3:6" x14ac:dyDescent="0.35">
      <c r="C7030" s="11"/>
      <c r="D7030" s="18"/>
      <c r="F7030" s="28"/>
    </row>
    <row r="7031" spans="3:6" x14ac:dyDescent="0.35">
      <c r="C7031" s="11"/>
      <c r="D7031" s="18"/>
      <c r="F7031" s="28"/>
    </row>
    <row r="7032" spans="3:6" x14ac:dyDescent="0.35">
      <c r="C7032" s="11"/>
      <c r="D7032" s="18"/>
      <c r="F7032" s="28"/>
    </row>
    <row r="7033" spans="3:6" x14ac:dyDescent="0.35">
      <c r="C7033" s="11"/>
      <c r="D7033" s="18"/>
      <c r="F7033" s="28"/>
    </row>
    <row r="7034" spans="3:6" x14ac:dyDescent="0.35">
      <c r="C7034" s="12"/>
      <c r="D7034" s="18"/>
      <c r="F7034" s="28"/>
    </row>
    <row r="7035" spans="3:6" x14ac:dyDescent="0.35">
      <c r="C7035" s="12"/>
      <c r="D7035" s="18"/>
      <c r="F7035" s="28"/>
    </row>
    <row r="7036" spans="3:6" x14ac:dyDescent="0.35">
      <c r="C7036" s="12"/>
      <c r="D7036" s="18"/>
      <c r="F7036" s="28"/>
    </row>
    <row r="7037" spans="3:6" x14ac:dyDescent="0.35">
      <c r="C7037" s="12"/>
      <c r="D7037" s="18"/>
      <c r="F7037" s="28"/>
    </row>
    <row r="7038" spans="3:6" x14ac:dyDescent="0.35">
      <c r="C7038" s="12"/>
      <c r="D7038" s="18"/>
      <c r="F7038" s="28"/>
    </row>
    <row r="7039" spans="3:6" x14ac:dyDescent="0.35">
      <c r="C7039" s="12"/>
      <c r="D7039" s="18"/>
      <c r="F7039" s="28"/>
    </row>
    <row r="7040" spans="3:6" x14ac:dyDescent="0.35">
      <c r="C7040" s="13"/>
      <c r="D7040" s="18"/>
      <c r="F7040" s="28"/>
    </row>
    <row r="7041" spans="3:6" x14ac:dyDescent="0.35">
      <c r="C7041" s="13"/>
      <c r="D7041" s="18"/>
      <c r="F7041" s="28"/>
    </row>
    <row r="7042" spans="3:6" x14ac:dyDescent="0.35">
      <c r="C7042" s="13"/>
      <c r="D7042" s="18"/>
      <c r="F7042" s="28"/>
    </row>
    <row r="7043" spans="3:6" x14ac:dyDescent="0.35">
      <c r="C7043" s="13"/>
      <c r="D7043" s="18"/>
      <c r="F7043" s="28"/>
    </row>
    <row r="7044" spans="3:6" x14ac:dyDescent="0.35">
      <c r="C7044" s="13"/>
      <c r="D7044" s="18"/>
      <c r="F7044" s="28"/>
    </row>
    <row r="7045" spans="3:6" x14ac:dyDescent="0.35">
      <c r="C7045" s="13"/>
      <c r="D7045" s="18"/>
      <c r="F7045" s="28"/>
    </row>
    <row r="7046" spans="3:6" x14ac:dyDescent="0.35">
      <c r="C7046" s="14"/>
      <c r="D7046" s="18"/>
      <c r="F7046" s="28"/>
    </row>
    <row r="7047" spans="3:6" x14ac:dyDescent="0.35">
      <c r="C7047" s="14"/>
      <c r="D7047" s="18"/>
      <c r="F7047" s="28"/>
    </row>
    <row r="7048" spans="3:6" x14ac:dyDescent="0.35">
      <c r="C7048" s="14"/>
      <c r="D7048" s="18"/>
      <c r="F7048" s="28"/>
    </row>
    <row r="7049" spans="3:6" x14ac:dyDescent="0.35">
      <c r="C7049" s="14"/>
      <c r="D7049" s="18"/>
      <c r="F7049" s="28"/>
    </row>
    <row r="7050" spans="3:6" x14ac:dyDescent="0.35">
      <c r="C7050" s="14"/>
      <c r="D7050" s="18"/>
      <c r="F7050" s="28"/>
    </row>
    <row r="7051" spans="3:6" x14ac:dyDescent="0.35">
      <c r="C7051" s="14"/>
      <c r="D7051" s="18"/>
      <c r="F7051" s="28"/>
    </row>
    <row r="7052" spans="3:6" x14ac:dyDescent="0.35">
      <c r="C7052" s="15"/>
      <c r="D7052" s="18"/>
      <c r="F7052" s="28"/>
    </row>
    <row r="7053" spans="3:6" x14ac:dyDescent="0.35">
      <c r="C7053" s="15"/>
      <c r="D7053" s="18"/>
      <c r="F7053" s="28"/>
    </row>
    <row r="7054" spans="3:6" x14ac:dyDescent="0.35">
      <c r="C7054" s="15"/>
      <c r="D7054" s="18"/>
      <c r="F7054" s="28"/>
    </row>
    <row r="7055" spans="3:6" x14ac:dyDescent="0.35">
      <c r="C7055" s="15"/>
      <c r="D7055" s="18"/>
      <c r="F7055" s="28"/>
    </row>
    <row r="7056" spans="3:6" x14ac:dyDescent="0.35">
      <c r="C7056" s="15"/>
      <c r="D7056" s="18"/>
      <c r="F7056" s="28"/>
    </row>
    <row r="7057" spans="3:6" x14ac:dyDescent="0.35">
      <c r="C7057" s="15"/>
      <c r="D7057" s="18"/>
      <c r="F7057" s="28"/>
    </row>
    <row r="7058" spans="3:6" x14ac:dyDescent="0.35">
      <c r="C7058" s="7"/>
      <c r="D7058" s="18"/>
      <c r="F7058" s="28"/>
    </row>
    <row r="7059" spans="3:6" x14ac:dyDescent="0.35">
      <c r="C7059" s="7"/>
      <c r="D7059" s="18"/>
      <c r="F7059" s="28"/>
    </row>
    <row r="7060" spans="3:6" x14ac:dyDescent="0.35">
      <c r="C7060" s="7"/>
      <c r="D7060" s="18"/>
      <c r="F7060" s="28"/>
    </row>
    <row r="7061" spans="3:6" x14ac:dyDescent="0.35">
      <c r="C7061" s="7"/>
      <c r="D7061" s="18"/>
      <c r="F7061" s="28"/>
    </row>
    <row r="7062" spans="3:6" x14ac:dyDescent="0.35">
      <c r="C7062" s="7"/>
      <c r="D7062" s="18"/>
      <c r="F7062" s="28"/>
    </row>
    <row r="7063" spans="3:6" x14ac:dyDescent="0.35">
      <c r="C7063" s="7"/>
      <c r="D7063" s="18"/>
      <c r="F7063" s="28"/>
    </row>
    <row r="7064" spans="3:6" x14ac:dyDescent="0.35">
      <c r="C7064" s="16"/>
      <c r="D7064" s="18"/>
      <c r="F7064" s="28"/>
    </row>
    <row r="7065" spans="3:6" x14ac:dyDescent="0.35">
      <c r="C7065" s="16"/>
      <c r="D7065" s="18"/>
      <c r="F7065" s="28"/>
    </row>
    <row r="7066" spans="3:6" x14ac:dyDescent="0.35">
      <c r="C7066" s="16"/>
      <c r="D7066" s="18"/>
      <c r="F7066" s="28"/>
    </row>
    <row r="7067" spans="3:6" x14ac:dyDescent="0.35">
      <c r="C7067" s="16"/>
      <c r="D7067" s="18"/>
      <c r="F7067" s="28"/>
    </row>
    <row r="7068" spans="3:6" x14ac:dyDescent="0.35">
      <c r="C7068" s="16"/>
      <c r="D7068" s="18"/>
      <c r="F7068" s="28"/>
    </row>
    <row r="7069" spans="3:6" x14ac:dyDescent="0.35">
      <c r="C7069" s="16"/>
      <c r="D7069" s="18"/>
      <c r="F7069" s="28"/>
    </row>
    <row r="7070" spans="3:6" x14ac:dyDescent="0.35">
      <c r="C7070" s="7"/>
      <c r="D7070" s="18"/>
      <c r="F7070" s="28"/>
    </row>
    <row r="7071" spans="3:6" x14ac:dyDescent="0.35">
      <c r="C7071" s="7"/>
      <c r="D7071" s="18"/>
      <c r="F7071" s="28"/>
    </row>
    <row r="7072" spans="3:6" x14ac:dyDescent="0.35">
      <c r="C7072" s="7"/>
      <c r="D7072" s="18"/>
      <c r="F7072" s="28"/>
    </row>
    <row r="7073" spans="3:6" x14ac:dyDescent="0.35">
      <c r="C7073" s="7"/>
      <c r="D7073" s="18"/>
      <c r="F7073" s="28"/>
    </row>
    <row r="7074" spans="3:6" x14ac:dyDescent="0.35">
      <c r="C7074" s="7"/>
      <c r="D7074" s="18"/>
      <c r="F7074" s="28"/>
    </row>
    <row r="7075" spans="3:6" x14ac:dyDescent="0.35">
      <c r="C7075" s="7"/>
      <c r="D7075" s="18"/>
      <c r="F7075" s="28"/>
    </row>
    <row r="7076" spans="3:6" x14ac:dyDescent="0.35">
      <c r="C7076" s="7"/>
      <c r="D7076" s="18"/>
      <c r="F7076" s="28"/>
    </row>
    <row r="7077" spans="3:6" x14ac:dyDescent="0.35">
      <c r="C7077" s="7"/>
      <c r="D7077" s="18"/>
      <c r="F7077" s="28"/>
    </row>
    <row r="7078" spans="3:6" x14ac:dyDescent="0.35">
      <c r="C7078" s="7"/>
      <c r="D7078" s="18"/>
      <c r="F7078" s="28"/>
    </row>
    <row r="7079" spans="3:6" x14ac:dyDescent="0.35">
      <c r="C7079" s="7"/>
      <c r="D7079" s="18"/>
      <c r="F7079" s="28"/>
    </row>
    <row r="7080" spans="3:6" x14ac:dyDescent="0.35">
      <c r="C7080" s="7"/>
      <c r="D7080" s="18"/>
      <c r="F7080" s="28"/>
    </row>
    <row r="7081" spans="3:6" x14ac:dyDescent="0.35">
      <c r="C7081" s="7"/>
      <c r="D7081" s="18"/>
      <c r="F7081" s="28"/>
    </row>
    <row r="7082" spans="3:6" x14ac:dyDescent="0.35">
      <c r="C7082" s="8"/>
      <c r="D7082" s="18"/>
      <c r="F7082" s="28"/>
    </row>
    <row r="7083" spans="3:6" x14ac:dyDescent="0.35">
      <c r="C7083" s="8"/>
      <c r="D7083" s="18"/>
      <c r="F7083" s="28"/>
    </row>
    <row r="7084" spans="3:6" x14ac:dyDescent="0.35">
      <c r="C7084" s="8"/>
      <c r="D7084" s="18"/>
      <c r="F7084" s="28"/>
    </row>
    <row r="7085" spans="3:6" x14ac:dyDescent="0.35">
      <c r="C7085" s="8"/>
      <c r="D7085" s="18"/>
      <c r="F7085" s="28"/>
    </row>
    <row r="7086" spans="3:6" x14ac:dyDescent="0.35">
      <c r="C7086" s="8"/>
      <c r="D7086" s="18"/>
      <c r="F7086" s="28"/>
    </row>
    <row r="7087" spans="3:6" x14ac:dyDescent="0.35">
      <c r="C7087" s="8"/>
      <c r="D7087" s="18"/>
      <c r="F7087" s="28"/>
    </row>
    <row r="7088" spans="3:6" x14ac:dyDescent="0.35">
      <c r="C7088" s="9"/>
      <c r="D7088" s="18"/>
      <c r="F7088" s="28"/>
    </row>
    <row r="7089" spans="3:6" x14ac:dyDescent="0.35">
      <c r="C7089" s="9"/>
      <c r="D7089" s="18"/>
      <c r="F7089" s="28"/>
    </row>
    <row r="7090" spans="3:6" x14ac:dyDescent="0.35">
      <c r="C7090" s="9"/>
      <c r="D7090" s="18"/>
      <c r="F7090" s="28"/>
    </row>
    <row r="7091" spans="3:6" x14ac:dyDescent="0.35">
      <c r="C7091" s="9"/>
      <c r="D7091" s="18"/>
      <c r="F7091" s="28"/>
    </row>
    <row r="7092" spans="3:6" x14ac:dyDescent="0.35">
      <c r="C7092" s="9"/>
      <c r="D7092" s="18"/>
      <c r="F7092" s="28"/>
    </row>
    <row r="7093" spans="3:6" x14ac:dyDescent="0.35">
      <c r="C7093" s="9"/>
      <c r="D7093" s="18"/>
      <c r="F7093" s="28"/>
    </row>
    <row r="7094" spans="3:6" x14ac:dyDescent="0.35">
      <c r="C7094" s="10"/>
      <c r="D7094" s="18"/>
      <c r="F7094" s="28"/>
    </row>
    <row r="7095" spans="3:6" x14ac:dyDescent="0.35">
      <c r="C7095" s="10"/>
      <c r="D7095" s="18"/>
      <c r="F7095" s="28"/>
    </row>
    <row r="7096" spans="3:6" x14ac:dyDescent="0.35">
      <c r="C7096" s="10"/>
      <c r="D7096" s="18"/>
      <c r="F7096" s="28"/>
    </row>
    <row r="7097" spans="3:6" x14ac:dyDescent="0.35">
      <c r="C7097" s="10"/>
      <c r="D7097" s="18"/>
      <c r="F7097" s="28"/>
    </row>
    <row r="7098" spans="3:6" x14ac:dyDescent="0.35">
      <c r="C7098" s="10"/>
      <c r="D7098" s="18"/>
      <c r="F7098" s="28"/>
    </row>
    <row r="7099" spans="3:6" x14ac:dyDescent="0.35">
      <c r="C7099" s="10"/>
      <c r="D7099" s="18"/>
      <c r="F7099" s="28"/>
    </row>
    <row r="7100" spans="3:6" x14ac:dyDescent="0.35">
      <c r="C7100" s="11"/>
      <c r="D7100" s="18"/>
      <c r="F7100" s="28"/>
    </row>
    <row r="7101" spans="3:6" x14ac:dyDescent="0.35">
      <c r="C7101" s="11"/>
      <c r="D7101" s="18"/>
      <c r="F7101" s="28"/>
    </row>
    <row r="7102" spans="3:6" x14ac:dyDescent="0.35">
      <c r="C7102" s="11"/>
      <c r="D7102" s="18"/>
      <c r="F7102" s="28"/>
    </row>
    <row r="7103" spans="3:6" x14ac:dyDescent="0.35">
      <c r="C7103" s="11"/>
      <c r="D7103" s="18"/>
      <c r="F7103" s="28"/>
    </row>
    <row r="7104" spans="3:6" x14ac:dyDescent="0.35">
      <c r="C7104" s="11"/>
      <c r="D7104" s="18"/>
      <c r="F7104" s="28"/>
    </row>
    <row r="7105" spans="3:6" x14ac:dyDescent="0.35">
      <c r="C7105" s="11"/>
      <c r="D7105" s="18"/>
      <c r="F7105" s="28"/>
    </row>
    <row r="7106" spans="3:6" x14ac:dyDescent="0.35">
      <c r="C7106" s="12"/>
      <c r="D7106" s="18"/>
      <c r="F7106" s="28"/>
    </row>
    <row r="7107" spans="3:6" x14ac:dyDescent="0.35">
      <c r="C7107" s="12"/>
      <c r="D7107" s="18"/>
      <c r="F7107" s="28"/>
    </row>
    <row r="7108" spans="3:6" x14ac:dyDescent="0.35">
      <c r="C7108" s="12"/>
      <c r="D7108" s="18"/>
      <c r="F7108" s="28"/>
    </row>
    <row r="7109" spans="3:6" x14ac:dyDescent="0.35">
      <c r="C7109" s="12"/>
      <c r="D7109" s="18"/>
      <c r="F7109" s="28"/>
    </row>
    <row r="7110" spans="3:6" x14ac:dyDescent="0.35">
      <c r="C7110" s="12"/>
      <c r="D7110" s="18"/>
      <c r="F7110" s="28"/>
    </row>
    <row r="7111" spans="3:6" x14ac:dyDescent="0.35">
      <c r="C7111" s="12"/>
      <c r="D7111" s="18"/>
      <c r="F7111" s="28"/>
    </row>
    <row r="7112" spans="3:6" x14ac:dyDescent="0.35">
      <c r="C7112" s="13"/>
      <c r="D7112" s="18"/>
      <c r="F7112" s="28"/>
    </row>
    <row r="7113" spans="3:6" x14ac:dyDescent="0.35">
      <c r="C7113" s="13"/>
      <c r="D7113" s="18"/>
      <c r="F7113" s="28"/>
    </row>
    <row r="7114" spans="3:6" x14ac:dyDescent="0.35">
      <c r="C7114" s="13"/>
      <c r="D7114" s="18"/>
      <c r="F7114" s="28"/>
    </row>
    <row r="7115" spans="3:6" x14ac:dyDescent="0.35">
      <c r="C7115" s="13"/>
      <c r="D7115" s="18"/>
      <c r="F7115" s="28"/>
    </row>
    <row r="7116" spans="3:6" x14ac:dyDescent="0.35">
      <c r="C7116" s="13"/>
      <c r="D7116" s="18"/>
      <c r="F7116" s="28"/>
    </row>
    <row r="7117" spans="3:6" x14ac:dyDescent="0.35">
      <c r="C7117" s="13"/>
      <c r="D7117" s="18"/>
      <c r="F7117" s="28"/>
    </row>
    <row r="7118" spans="3:6" x14ac:dyDescent="0.35">
      <c r="C7118" s="14"/>
      <c r="D7118" s="18"/>
      <c r="F7118" s="28"/>
    </row>
    <row r="7119" spans="3:6" x14ac:dyDescent="0.35">
      <c r="C7119" s="14"/>
      <c r="D7119" s="18"/>
      <c r="F7119" s="28"/>
    </row>
    <row r="7120" spans="3:6" x14ac:dyDescent="0.35">
      <c r="C7120" s="14"/>
      <c r="D7120" s="18"/>
      <c r="F7120" s="28"/>
    </row>
    <row r="7121" spans="3:6" x14ac:dyDescent="0.35">
      <c r="C7121" s="14"/>
      <c r="D7121" s="18"/>
      <c r="F7121" s="28"/>
    </row>
    <row r="7122" spans="3:6" x14ac:dyDescent="0.35">
      <c r="C7122" s="14"/>
      <c r="D7122" s="18"/>
      <c r="F7122" s="28"/>
    </row>
    <row r="7123" spans="3:6" x14ac:dyDescent="0.35">
      <c r="C7123" s="14"/>
      <c r="D7123" s="18"/>
      <c r="F7123" s="28"/>
    </row>
    <row r="7124" spans="3:6" x14ac:dyDescent="0.35">
      <c r="C7124" s="15"/>
      <c r="D7124" s="18"/>
      <c r="F7124" s="28"/>
    </row>
    <row r="7125" spans="3:6" x14ac:dyDescent="0.35">
      <c r="C7125" s="15"/>
      <c r="D7125" s="18"/>
      <c r="F7125" s="28"/>
    </row>
    <row r="7126" spans="3:6" x14ac:dyDescent="0.35">
      <c r="C7126" s="15"/>
      <c r="D7126" s="18"/>
      <c r="F7126" s="28"/>
    </row>
    <row r="7127" spans="3:6" x14ac:dyDescent="0.35">
      <c r="C7127" s="15"/>
      <c r="D7127" s="18"/>
      <c r="F7127" s="28"/>
    </row>
    <row r="7128" spans="3:6" x14ac:dyDescent="0.35">
      <c r="C7128" s="15"/>
      <c r="D7128" s="18"/>
      <c r="F7128" s="28"/>
    </row>
    <row r="7129" spans="3:6" x14ac:dyDescent="0.35">
      <c r="C7129" s="15"/>
      <c r="D7129" s="18"/>
      <c r="F7129" s="28"/>
    </row>
    <row r="7130" spans="3:6" x14ac:dyDescent="0.35">
      <c r="C7130" s="7"/>
      <c r="D7130" s="18"/>
      <c r="F7130" s="28"/>
    </row>
    <row r="7131" spans="3:6" x14ac:dyDescent="0.35">
      <c r="C7131" s="7"/>
      <c r="D7131" s="18"/>
      <c r="F7131" s="28"/>
    </row>
    <row r="7132" spans="3:6" x14ac:dyDescent="0.35">
      <c r="C7132" s="7"/>
      <c r="D7132" s="18"/>
      <c r="F7132" s="28"/>
    </row>
    <row r="7133" spans="3:6" x14ac:dyDescent="0.35">
      <c r="C7133" s="7"/>
      <c r="D7133" s="18"/>
      <c r="F7133" s="28"/>
    </row>
    <row r="7134" spans="3:6" x14ac:dyDescent="0.35">
      <c r="C7134" s="7"/>
      <c r="D7134" s="18"/>
      <c r="F7134" s="28"/>
    </row>
    <row r="7135" spans="3:6" x14ac:dyDescent="0.35">
      <c r="C7135" s="7"/>
      <c r="D7135" s="18"/>
      <c r="F7135" s="28"/>
    </row>
    <row r="7136" spans="3:6" x14ac:dyDescent="0.35">
      <c r="C7136" s="16"/>
      <c r="D7136" s="18"/>
      <c r="F7136" s="28"/>
    </row>
    <row r="7137" spans="3:6" x14ac:dyDescent="0.35">
      <c r="C7137" s="16"/>
      <c r="D7137" s="18"/>
      <c r="F7137" s="28"/>
    </row>
    <row r="7138" spans="3:6" x14ac:dyDescent="0.35">
      <c r="C7138" s="16"/>
      <c r="D7138" s="18"/>
      <c r="F7138" s="28"/>
    </row>
    <row r="7139" spans="3:6" x14ac:dyDescent="0.35">
      <c r="C7139" s="16"/>
      <c r="D7139" s="18"/>
      <c r="F7139" s="28"/>
    </row>
    <row r="7140" spans="3:6" x14ac:dyDescent="0.35">
      <c r="C7140" s="16"/>
      <c r="D7140" s="18"/>
      <c r="F7140" s="28"/>
    </row>
    <row r="7141" spans="3:6" x14ac:dyDescent="0.35">
      <c r="C7141" s="16"/>
      <c r="D7141" s="18"/>
      <c r="F7141" s="28"/>
    </row>
    <row r="7142" spans="3:6" x14ac:dyDescent="0.35">
      <c r="C7142" s="7"/>
      <c r="D7142" s="18"/>
      <c r="F7142" s="28"/>
    </row>
    <row r="7143" spans="3:6" x14ac:dyDescent="0.35">
      <c r="C7143" s="7"/>
      <c r="D7143" s="18"/>
      <c r="F7143" s="28"/>
    </row>
    <row r="7144" spans="3:6" x14ac:dyDescent="0.35">
      <c r="C7144" s="7"/>
      <c r="D7144" s="18"/>
      <c r="F7144" s="28"/>
    </row>
    <row r="7145" spans="3:6" x14ac:dyDescent="0.35">
      <c r="C7145" s="7"/>
      <c r="D7145" s="18"/>
      <c r="F7145" s="28"/>
    </row>
    <row r="7146" spans="3:6" x14ac:dyDescent="0.35">
      <c r="C7146" s="7"/>
      <c r="D7146" s="18"/>
      <c r="F7146" s="28"/>
    </row>
    <row r="7147" spans="3:6" x14ac:dyDescent="0.35">
      <c r="C7147" s="7"/>
      <c r="D7147" s="18"/>
      <c r="F7147" s="28"/>
    </row>
    <row r="7148" spans="3:6" x14ac:dyDescent="0.35">
      <c r="C7148" s="7"/>
      <c r="D7148" s="18"/>
      <c r="F7148" s="28"/>
    </row>
    <row r="7149" spans="3:6" x14ac:dyDescent="0.35">
      <c r="C7149" s="7"/>
      <c r="D7149" s="18"/>
      <c r="F7149" s="28"/>
    </row>
    <row r="7150" spans="3:6" x14ac:dyDescent="0.35">
      <c r="C7150" s="7"/>
      <c r="D7150" s="18"/>
      <c r="F7150" s="28"/>
    </row>
    <row r="7151" spans="3:6" x14ac:dyDescent="0.35">
      <c r="C7151" s="7"/>
      <c r="D7151" s="18"/>
      <c r="F7151" s="28"/>
    </row>
    <row r="7152" spans="3:6" x14ac:dyDescent="0.35">
      <c r="C7152" s="7"/>
      <c r="D7152" s="18"/>
      <c r="F7152" s="28"/>
    </row>
    <row r="7153" spans="3:6" x14ac:dyDescent="0.35">
      <c r="C7153" s="7"/>
      <c r="D7153" s="18"/>
      <c r="F7153" s="28"/>
    </row>
    <row r="7154" spans="3:6" x14ac:dyDescent="0.35">
      <c r="C7154" s="8"/>
      <c r="D7154" s="18"/>
      <c r="F7154" s="28"/>
    </row>
    <row r="7155" spans="3:6" x14ac:dyDescent="0.35">
      <c r="C7155" s="8"/>
      <c r="D7155" s="18"/>
      <c r="F7155" s="28"/>
    </row>
    <row r="7156" spans="3:6" x14ac:dyDescent="0.35">
      <c r="C7156" s="8"/>
      <c r="D7156" s="18"/>
      <c r="F7156" s="28"/>
    </row>
    <row r="7157" spans="3:6" x14ac:dyDescent="0.35">
      <c r="C7157" s="8"/>
      <c r="D7157" s="18"/>
      <c r="F7157" s="28"/>
    </row>
    <row r="7158" spans="3:6" x14ac:dyDescent="0.35">
      <c r="C7158" s="8"/>
      <c r="D7158" s="18"/>
      <c r="F7158" s="28"/>
    </row>
    <row r="7159" spans="3:6" x14ac:dyDescent="0.35">
      <c r="C7159" s="8"/>
      <c r="D7159" s="18"/>
      <c r="F7159" s="28"/>
    </row>
    <row r="7160" spans="3:6" x14ac:dyDescent="0.35">
      <c r="C7160" s="9"/>
      <c r="D7160" s="18"/>
      <c r="F7160" s="28"/>
    </row>
    <row r="7161" spans="3:6" x14ac:dyDescent="0.35">
      <c r="C7161" s="9"/>
      <c r="D7161" s="18"/>
      <c r="F7161" s="28"/>
    </row>
    <row r="7162" spans="3:6" x14ac:dyDescent="0.35">
      <c r="C7162" s="9"/>
      <c r="D7162" s="18"/>
      <c r="F7162" s="28"/>
    </row>
    <row r="7163" spans="3:6" x14ac:dyDescent="0.35">
      <c r="C7163" s="9"/>
      <c r="D7163" s="18"/>
      <c r="F7163" s="28"/>
    </row>
    <row r="7164" spans="3:6" x14ac:dyDescent="0.35">
      <c r="C7164" s="9"/>
      <c r="D7164" s="18"/>
      <c r="F7164" s="28"/>
    </row>
    <row r="7165" spans="3:6" x14ac:dyDescent="0.35">
      <c r="C7165" s="9"/>
      <c r="D7165" s="18"/>
      <c r="F7165" s="28"/>
    </row>
    <row r="7166" spans="3:6" x14ac:dyDescent="0.35">
      <c r="C7166" s="10"/>
      <c r="D7166" s="18"/>
      <c r="F7166" s="28"/>
    </row>
    <row r="7167" spans="3:6" x14ac:dyDescent="0.35">
      <c r="C7167" s="10"/>
      <c r="D7167" s="18"/>
      <c r="F7167" s="28"/>
    </row>
    <row r="7168" spans="3:6" x14ac:dyDescent="0.35">
      <c r="C7168" s="10"/>
      <c r="D7168" s="18"/>
      <c r="F7168" s="28"/>
    </row>
    <row r="7169" spans="3:6" x14ac:dyDescent="0.35">
      <c r="C7169" s="10"/>
      <c r="D7169" s="18"/>
      <c r="F7169" s="28"/>
    </row>
    <row r="7170" spans="3:6" x14ac:dyDescent="0.35">
      <c r="C7170" s="10"/>
      <c r="D7170" s="18"/>
      <c r="F7170" s="28"/>
    </row>
    <row r="7171" spans="3:6" x14ac:dyDescent="0.35">
      <c r="C7171" s="10"/>
      <c r="D7171" s="18"/>
      <c r="F7171" s="28"/>
    </row>
    <row r="7172" spans="3:6" x14ac:dyDescent="0.35">
      <c r="C7172" s="11"/>
      <c r="D7172" s="18"/>
      <c r="F7172" s="28"/>
    </row>
    <row r="7173" spans="3:6" x14ac:dyDescent="0.35">
      <c r="C7173" s="11"/>
      <c r="D7173" s="18"/>
      <c r="F7173" s="28"/>
    </row>
    <row r="7174" spans="3:6" x14ac:dyDescent="0.35">
      <c r="C7174" s="11"/>
      <c r="D7174" s="18"/>
      <c r="F7174" s="28"/>
    </row>
    <row r="7175" spans="3:6" x14ac:dyDescent="0.35">
      <c r="C7175" s="11"/>
      <c r="D7175" s="18"/>
      <c r="F7175" s="28"/>
    </row>
    <row r="7176" spans="3:6" x14ac:dyDescent="0.35">
      <c r="C7176" s="11"/>
      <c r="D7176" s="18"/>
      <c r="F7176" s="28"/>
    </row>
    <row r="7177" spans="3:6" x14ac:dyDescent="0.35">
      <c r="C7177" s="11"/>
      <c r="D7177" s="18"/>
      <c r="F7177" s="28"/>
    </row>
    <row r="7178" spans="3:6" x14ac:dyDescent="0.35">
      <c r="C7178" s="12"/>
      <c r="D7178" s="18"/>
      <c r="F7178" s="28"/>
    </row>
    <row r="7179" spans="3:6" x14ac:dyDescent="0.35">
      <c r="C7179" s="12"/>
      <c r="D7179" s="18"/>
      <c r="F7179" s="28"/>
    </row>
    <row r="7180" spans="3:6" x14ac:dyDescent="0.35">
      <c r="C7180" s="12"/>
      <c r="D7180" s="18"/>
      <c r="F7180" s="28"/>
    </row>
    <row r="7181" spans="3:6" x14ac:dyDescent="0.35">
      <c r="C7181" s="12"/>
      <c r="D7181" s="18"/>
      <c r="F7181" s="28"/>
    </row>
    <row r="7182" spans="3:6" x14ac:dyDescent="0.35">
      <c r="C7182" s="12"/>
      <c r="D7182" s="18"/>
      <c r="F7182" s="28"/>
    </row>
    <row r="7183" spans="3:6" x14ac:dyDescent="0.35">
      <c r="C7183" s="12"/>
      <c r="D7183" s="18"/>
      <c r="F7183" s="28"/>
    </row>
    <row r="7184" spans="3:6" x14ac:dyDescent="0.35">
      <c r="C7184" s="13"/>
      <c r="D7184" s="18"/>
      <c r="F7184" s="28"/>
    </row>
    <row r="7185" spans="3:6" x14ac:dyDescent="0.35">
      <c r="C7185" s="13"/>
      <c r="D7185" s="18"/>
      <c r="F7185" s="28"/>
    </row>
    <row r="7186" spans="3:6" x14ac:dyDescent="0.35">
      <c r="C7186" s="13"/>
      <c r="D7186" s="18"/>
      <c r="F7186" s="28"/>
    </row>
    <row r="7187" spans="3:6" x14ac:dyDescent="0.35">
      <c r="C7187" s="13"/>
      <c r="D7187" s="18"/>
      <c r="F7187" s="28"/>
    </row>
    <row r="7188" spans="3:6" x14ac:dyDescent="0.35">
      <c r="C7188" s="13"/>
      <c r="D7188" s="18"/>
      <c r="F7188" s="28"/>
    </row>
    <row r="7189" spans="3:6" x14ac:dyDescent="0.35">
      <c r="C7189" s="13"/>
      <c r="D7189" s="18"/>
      <c r="F7189" s="28"/>
    </row>
    <row r="7190" spans="3:6" x14ac:dyDescent="0.35">
      <c r="C7190" s="14"/>
      <c r="D7190" s="18"/>
      <c r="F7190" s="28"/>
    </row>
    <row r="7191" spans="3:6" x14ac:dyDescent="0.35">
      <c r="C7191" s="14"/>
      <c r="D7191" s="18"/>
      <c r="F7191" s="28"/>
    </row>
    <row r="7192" spans="3:6" x14ac:dyDescent="0.35">
      <c r="C7192" s="14"/>
      <c r="D7192" s="18"/>
      <c r="F7192" s="28"/>
    </row>
    <row r="7193" spans="3:6" x14ac:dyDescent="0.35">
      <c r="C7193" s="14"/>
      <c r="D7193" s="18"/>
      <c r="F7193" s="28"/>
    </row>
    <row r="7194" spans="3:6" x14ac:dyDescent="0.35">
      <c r="C7194" s="14"/>
      <c r="D7194" s="18"/>
      <c r="F7194" s="28"/>
    </row>
    <row r="7195" spans="3:6" x14ac:dyDescent="0.35">
      <c r="C7195" s="14"/>
      <c r="D7195" s="18"/>
      <c r="F7195" s="28"/>
    </row>
    <row r="7196" spans="3:6" x14ac:dyDescent="0.35">
      <c r="C7196" s="15"/>
      <c r="D7196" s="18"/>
      <c r="F7196" s="28"/>
    </row>
    <row r="7197" spans="3:6" x14ac:dyDescent="0.35">
      <c r="C7197" s="15"/>
      <c r="D7197" s="18"/>
      <c r="F7197" s="28"/>
    </row>
    <row r="7198" spans="3:6" x14ac:dyDescent="0.35">
      <c r="C7198" s="15"/>
      <c r="D7198" s="18"/>
      <c r="F7198" s="28"/>
    </row>
    <row r="7199" spans="3:6" x14ac:dyDescent="0.35">
      <c r="C7199" s="15"/>
      <c r="D7199" s="18"/>
      <c r="F7199" s="28"/>
    </row>
    <row r="7200" spans="3:6" x14ac:dyDescent="0.35">
      <c r="C7200" s="15"/>
      <c r="D7200" s="18"/>
      <c r="F7200" s="28"/>
    </row>
    <row r="7201" spans="3:6" x14ac:dyDescent="0.35">
      <c r="C7201" s="15"/>
      <c r="D7201" s="18"/>
      <c r="F7201" s="28"/>
    </row>
    <row r="7202" spans="3:6" x14ac:dyDescent="0.35">
      <c r="C7202" s="7"/>
      <c r="D7202" s="18"/>
      <c r="F7202" s="28"/>
    </row>
    <row r="7203" spans="3:6" x14ac:dyDescent="0.35">
      <c r="C7203" s="7"/>
      <c r="D7203" s="18"/>
      <c r="F7203" s="28"/>
    </row>
    <row r="7204" spans="3:6" x14ac:dyDescent="0.35">
      <c r="C7204" s="7"/>
      <c r="D7204" s="18"/>
      <c r="F7204" s="28"/>
    </row>
    <row r="7205" spans="3:6" x14ac:dyDescent="0.35">
      <c r="C7205" s="7"/>
      <c r="D7205" s="18"/>
      <c r="F7205" s="28"/>
    </row>
    <row r="7206" spans="3:6" x14ac:dyDescent="0.35">
      <c r="C7206" s="7"/>
      <c r="D7206" s="18"/>
      <c r="F7206" s="28"/>
    </row>
    <row r="7207" spans="3:6" x14ac:dyDescent="0.35">
      <c r="C7207" s="7"/>
      <c r="D7207" s="18"/>
      <c r="F7207" s="28"/>
    </row>
    <row r="7208" spans="3:6" x14ac:dyDescent="0.35">
      <c r="C7208" s="16"/>
      <c r="D7208" s="18"/>
      <c r="F7208" s="28"/>
    </row>
    <row r="7209" spans="3:6" x14ac:dyDescent="0.35">
      <c r="C7209" s="16"/>
      <c r="D7209" s="18"/>
      <c r="F7209" s="28"/>
    </row>
    <row r="7210" spans="3:6" x14ac:dyDescent="0.35">
      <c r="C7210" s="16"/>
      <c r="D7210" s="18"/>
      <c r="F7210" s="28"/>
    </row>
    <row r="7211" spans="3:6" x14ac:dyDescent="0.35">
      <c r="C7211" s="16"/>
      <c r="D7211" s="18"/>
      <c r="F7211" s="28"/>
    </row>
    <row r="7212" spans="3:6" x14ac:dyDescent="0.35">
      <c r="C7212" s="16"/>
      <c r="D7212" s="18"/>
      <c r="F7212" s="28"/>
    </row>
    <row r="7213" spans="3:6" x14ac:dyDescent="0.35">
      <c r="C7213" s="16"/>
      <c r="D7213" s="18"/>
      <c r="F7213" s="28"/>
    </row>
    <row r="7214" spans="3:6" x14ac:dyDescent="0.35">
      <c r="C7214" s="7"/>
      <c r="D7214" s="18"/>
      <c r="F7214" s="28"/>
    </row>
    <row r="7215" spans="3:6" x14ac:dyDescent="0.35">
      <c r="C7215" s="7"/>
      <c r="D7215" s="18"/>
      <c r="F7215" s="28"/>
    </row>
    <row r="7216" spans="3:6" x14ac:dyDescent="0.35">
      <c r="C7216" s="7"/>
      <c r="D7216" s="18"/>
      <c r="F7216" s="28"/>
    </row>
    <row r="7217" spans="3:6" x14ac:dyDescent="0.35">
      <c r="C7217" s="7"/>
      <c r="D7217" s="18"/>
      <c r="F7217" s="28"/>
    </row>
    <row r="7218" spans="3:6" x14ac:dyDescent="0.35">
      <c r="C7218" s="7"/>
      <c r="D7218" s="18"/>
      <c r="F7218" s="28"/>
    </row>
    <row r="7219" spans="3:6" x14ac:dyDescent="0.35">
      <c r="C7219" s="7"/>
      <c r="D7219" s="18"/>
      <c r="F7219" s="28"/>
    </row>
  </sheetData>
  <autoFilter ref="A1:G7219"/>
  <phoneticPr fontId="9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"/>
  <sheetViews>
    <sheetView workbookViewId="0">
      <selection activeCell="B17" sqref="B17"/>
    </sheetView>
  </sheetViews>
  <sheetFormatPr defaultRowHeight="14.5" x14ac:dyDescent="0.35"/>
  <cols>
    <col min="2" max="2" width="17.26953125" customWidth="1"/>
    <col min="3" max="3" width="12.26953125" customWidth="1"/>
    <col min="4" max="4" width="16.26953125" customWidth="1"/>
  </cols>
  <sheetData>
    <row r="2" spans="1:4" ht="18" x14ac:dyDescent="0.35">
      <c r="A2" s="2" t="s">
        <v>0</v>
      </c>
      <c r="B2" s="3" t="s">
        <v>1</v>
      </c>
      <c r="C2" s="4" t="s">
        <v>2</v>
      </c>
      <c r="D2" s="4" t="s">
        <v>11</v>
      </c>
    </row>
    <row r="3" spans="1:4" x14ac:dyDescent="0.35">
      <c r="A3" s="5" t="s">
        <v>152</v>
      </c>
      <c r="B3" s="5" t="s">
        <v>3</v>
      </c>
      <c r="C3" s="6" t="s">
        <v>153</v>
      </c>
      <c r="D3" t="s">
        <v>154</v>
      </c>
    </row>
    <row r="4" spans="1:4" x14ac:dyDescent="0.35">
      <c r="A4" s="5" t="s">
        <v>77</v>
      </c>
      <c r="B4" s="5" t="s">
        <v>3</v>
      </c>
      <c r="C4" s="6" t="s">
        <v>155</v>
      </c>
      <c r="D4" t="s">
        <v>154</v>
      </c>
    </row>
    <row r="5" spans="1:4" x14ac:dyDescent="0.35">
      <c r="A5" s="5" t="s">
        <v>85</v>
      </c>
      <c r="B5" s="5" t="s">
        <v>3</v>
      </c>
      <c r="C5" s="6" t="s">
        <v>156</v>
      </c>
      <c r="D5" t="s">
        <v>154</v>
      </c>
    </row>
    <row r="6" spans="1:4" x14ac:dyDescent="0.35">
      <c r="A6" s="5" t="s">
        <v>86</v>
      </c>
      <c r="B6" s="5" t="s">
        <v>3</v>
      </c>
      <c r="C6" s="6" t="s">
        <v>157</v>
      </c>
      <c r="D6" t="s">
        <v>154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DISTRIBUIÇÃO NF4267</vt:lpstr>
      <vt:lpstr>Planilha2</vt:lpstr>
      <vt:lpstr>planilha de pedidos</vt:lpstr>
      <vt:lpstr>faturamento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Geovava</dc:creator>
  <cp:lastModifiedBy>operador</cp:lastModifiedBy>
  <dcterms:created xsi:type="dcterms:W3CDTF">2019-05-10T18:00:34Z</dcterms:created>
  <dcterms:modified xsi:type="dcterms:W3CDTF">2019-08-02T22:06:38Z</dcterms:modified>
</cp:coreProperties>
</file>